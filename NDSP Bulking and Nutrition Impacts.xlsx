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9585" yWindow="-15" windowWidth="5805" windowHeight="4140" tabRatio="974" activeTab="3"/>
  </bookViews>
  <sheets>
    <sheet name="BMC and Milk Procurement" sheetId="19" r:id="rId1"/>
    <sheet name="Comp B-BMC" sheetId="45" r:id="rId2"/>
    <sheet name="Feed and Fodder" sheetId="46" r:id="rId3"/>
    <sheet name="Feed and Fodder (F) Zone.1" sheetId="50" r:id="rId4"/>
    <sheet name="Feed and Fodder (F) Zone.2" sheetId="11" r:id="rId5"/>
    <sheet name="Feed and Fodder (E) Zone.1" sheetId="48" r:id="rId6"/>
    <sheet name="Feed and Fodder (E) Zone.2" sheetId="51" r:id="rId7"/>
  </sheets>
  <externalReferences>
    <externalReference r:id="rId8"/>
  </externalReferences>
  <definedNames>
    <definedName name="_AtRisk_SimSetting_AutomaticallyGenerateReports" hidden="1">TRUE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AMF12M">OFFSET('[1]LR charts'!$AI$116,0,0,COUNT('[1]LR charts'!$AI$1:$AI$65536)-109,1)</definedName>
    <definedName name="AMF5YR">OFFSET('[1]LR charts'!$AI$67,0,0,COUNT('[1]LR charts'!$AI$1:$AI$65536)-60,1)</definedName>
    <definedName name="cost" localSheetId="5">#REF!</definedName>
    <definedName name="cost" localSheetId="6">#REF!</definedName>
    <definedName name="cost" localSheetId="3">#REF!</definedName>
    <definedName name="cost">#REF!</definedName>
    <definedName name="date" localSheetId="5">#REF!</definedName>
    <definedName name="date" localSheetId="6">#REF!</definedName>
    <definedName name="date" localSheetId="3">#REF!</definedName>
    <definedName name="date">#REF!</definedName>
    <definedName name="LacEth" localSheetId="5">#REF!</definedName>
    <definedName name="LacEth" localSheetId="6">#REF!</definedName>
    <definedName name="LacEth" localSheetId="3">#REF!</definedName>
    <definedName name="LacEth">#REF!</definedName>
    <definedName name="MilkpermBS" localSheetId="5">#REF!</definedName>
    <definedName name="MilkpermBS" localSheetId="6">#REF!</definedName>
    <definedName name="MilkpermBS" localSheetId="3">#REF!</definedName>
    <definedName name="MilkpermBS">#REF!</definedName>
    <definedName name="MilkpermCas" localSheetId="5">#REF!</definedName>
    <definedName name="MilkpermCas" localSheetId="6">#REF!</definedName>
    <definedName name="MilkpermCas" localSheetId="3">#REF!</definedName>
    <definedName name="MilkpermCas">#REF!</definedName>
    <definedName name="MilkpermDS" localSheetId="5">#REF!</definedName>
    <definedName name="MilkpermDS" localSheetId="6">#REF!</definedName>
    <definedName name="MilkpermDS" localSheetId="3">#REF!</definedName>
    <definedName name="MilkpermDS">#REF!</definedName>
    <definedName name="MilkpermLC" localSheetId="5">#REF!</definedName>
    <definedName name="MilkpermLC" localSheetId="6">#REF!</definedName>
    <definedName name="MilkpermLC" localSheetId="3">#REF!</definedName>
    <definedName name="MilkpermLC">#REF!</definedName>
    <definedName name="milkpermMPC70" localSheetId="5">#REF!</definedName>
    <definedName name="milkpermMPC70" localSheetId="6">#REF!</definedName>
    <definedName name="milkpermMPC70" localSheetId="3">#REF!</definedName>
    <definedName name="milkpermMPC70">#REF!</definedName>
    <definedName name="MilkpermRC" localSheetId="5">#REF!</definedName>
    <definedName name="MilkpermRC" localSheetId="6">#REF!</definedName>
    <definedName name="MilkpermRC" localSheetId="3">#REF!</definedName>
    <definedName name="MilkpermRC">#REF!</definedName>
    <definedName name="_xlnm.Print_Area" localSheetId="2">'Feed and Fodder'!$A$1:$U$12</definedName>
    <definedName name="_xlnm.Print_Titles" localSheetId="2">'Feed and Fodder'!$A:$B,'Feed and Fodder'!$1:$1</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SMP12M">OFFSET('[1]LR charts'!$AL$116,0,0,COUNT('[1]LR charts'!$AL$1:$AL$65536)-109,1)</definedName>
    <definedName name="SMP5Yr">OFFSET('[1]LR charts'!$AL$67,0,0,COUNT('[1]LR charts'!$AL$1:$AL$65536)-60,1)</definedName>
    <definedName name="WMP5Yr">OFFSET('[1]LR charts'!$AN$67,0,0,COUNT('[1]LR charts'!$AN$1:$AN$65536)-60,1)</definedName>
    <definedName name="WMPGraph">OFFSET('[1]LR charts'!$AN$67,0,0,COUNT('[1]LR charts'!$AN$1:$AN$65536)-60,1)</definedName>
  </definedNames>
  <calcPr calcId="124519"/>
</workbook>
</file>

<file path=xl/calcChain.xml><?xml version="1.0" encoding="utf-8"?>
<calcChain xmlns="http://schemas.openxmlformats.org/spreadsheetml/2006/main">
  <c r="T20" i="45"/>
  <c r="T23" s="1"/>
  <c r="D71" i="50" l="1"/>
  <c r="G71" l="1"/>
  <c r="E59" i="51" l="1"/>
  <c r="E98"/>
  <c r="E59" i="48"/>
  <c r="E59" i="11"/>
  <c r="E122" i="19" l="1"/>
  <c r="F122"/>
  <c r="G122"/>
  <c r="H122"/>
  <c r="I122"/>
  <c r="J122"/>
  <c r="D122"/>
  <c r="AD94" i="51" l="1"/>
  <c r="E94"/>
  <c r="AD93"/>
  <c r="E93"/>
  <c r="C66"/>
  <c r="C68" s="1"/>
  <c r="C71" s="1"/>
  <c r="AD90"/>
  <c r="E90"/>
  <c r="B90"/>
  <c r="AD88"/>
  <c r="B88"/>
  <c r="AD86"/>
  <c r="E86"/>
  <c r="B86"/>
  <c r="AD90" i="48"/>
  <c r="E90"/>
  <c r="B90"/>
  <c r="AD88"/>
  <c r="B88"/>
  <c r="AD86"/>
  <c r="E86"/>
  <c r="B86"/>
  <c r="C83" i="51"/>
  <c r="AD82"/>
  <c r="AC82"/>
  <c r="AB82"/>
  <c r="AA82"/>
  <c r="Z82"/>
  <c r="Y82"/>
  <c r="X82"/>
  <c r="W82"/>
  <c r="V82"/>
  <c r="U82"/>
  <c r="T82"/>
  <c r="S82"/>
  <c r="R82"/>
  <c r="Q82"/>
  <c r="P82"/>
  <c r="O82"/>
  <c r="N82"/>
  <c r="M82"/>
  <c r="L82"/>
  <c r="K82"/>
  <c r="J82"/>
  <c r="AD81"/>
  <c r="AC81"/>
  <c r="AB81"/>
  <c r="AA81"/>
  <c r="Z81"/>
  <c r="Y81"/>
  <c r="X81"/>
  <c r="W81"/>
  <c r="V81"/>
  <c r="U81"/>
  <c r="T81"/>
  <c r="S81"/>
  <c r="R81"/>
  <c r="Q81"/>
  <c r="P81"/>
  <c r="O81"/>
  <c r="N81"/>
  <c r="M81"/>
  <c r="L81"/>
  <c r="K81"/>
  <c r="J81"/>
  <c r="I81"/>
  <c r="AD80"/>
  <c r="AC80"/>
  <c r="AB80"/>
  <c r="AA80"/>
  <c r="Z80"/>
  <c r="Y80"/>
  <c r="X80"/>
  <c r="W80"/>
  <c r="V80"/>
  <c r="U80"/>
  <c r="T80"/>
  <c r="S80"/>
  <c r="R80"/>
  <c r="Q80"/>
  <c r="P80"/>
  <c r="O80"/>
  <c r="N80"/>
  <c r="M80"/>
  <c r="L80"/>
  <c r="K80"/>
  <c r="J80"/>
  <c r="I80"/>
  <c r="H80"/>
  <c r="AD79"/>
  <c r="AC79"/>
  <c r="AB79"/>
  <c r="AA79"/>
  <c r="Z79"/>
  <c r="Y79"/>
  <c r="X79"/>
  <c r="W79"/>
  <c r="V79"/>
  <c r="U79"/>
  <c r="T79"/>
  <c r="S79"/>
  <c r="R79"/>
  <c r="Q79"/>
  <c r="P79"/>
  <c r="O79"/>
  <c r="N79"/>
  <c r="M79"/>
  <c r="L79"/>
  <c r="K79"/>
  <c r="J79"/>
  <c r="I79"/>
  <c r="H79"/>
  <c r="G79"/>
  <c r="AD78"/>
  <c r="AC78"/>
  <c r="AB78"/>
  <c r="AA78"/>
  <c r="Z78"/>
  <c r="Y78"/>
  <c r="X78"/>
  <c r="W78"/>
  <c r="V78"/>
  <c r="U78"/>
  <c r="T78"/>
  <c r="S78"/>
  <c r="R78"/>
  <c r="Q78"/>
  <c r="P78"/>
  <c r="O78"/>
  <c r="N78"/>
  <c r="M78"/>
  <c r="L78"/>
  <c r="K78"/>
  <c r="J78"/>
  <c r="I78"/>
  <c r="H78"/>
  <c r="G78"/>
  <c r="F78"/>
  <c r="AD77"/>
  <c r="AD83" s="1"/>
  <c r="AC77"/>
  <c r="AC83" s="1"/>
  <c r="AB77"/>
  <c r="AB83" s="1"/>
  <c r="AA77"/>
  <c r="AA83" s="1"/>
  <c r="Z77"/>
  <c r="Z83" s="1"/>
  <c r="Y77"/>
  <c r="Y83" s="1"/>
  <c r="X77"/>
  <c r="X83" s="1"/>
  <c r="W77"/>
  <c r="W83" s="1"/>
  <c r="V77"/>
  <c r="V83" s="1"/>
  <c r="U77"/>
  <c r="U83" s="1"/>
  <c r="T77"/>
  <c r="T83" s="1"/>
  <c r="S77"/>
  <c r="S83" s="1"/>
  <c r="R77"/>
  <c r="R83" s="1"/>
  <c r="Q77"/>
  <c r="Q83" s="1"/>
  <c r="P77"/>
  <c r="P83" s="1"/>
  <c r="O77"/>
  <c r="O83" s="1"/>
  <c r="N77"/>
  <c r="N83" s="1"/>
  <c r="M77"/>
  <c r="M83" s="1"/>
  <c r="L77"/>
  <c r="L83" s="1"/>
  <c r="K77"/>
  <c r="K83" s="1"/>
  <c r="J77"/>
  <c r="J83" s="1"/>
  <c r="I77"/>
  <c r="I83" s="1"/>
  <c r="H77"/>
  <c r="H83" s="1"/>
  <c r="G77"/>
  <c r="G83" s="1"/>
  <c r="F77"/>
  <c r="F83" s="1"/>
  <c r="E77"/>
  <c r="E83" s="1"/>
  <c r="E63"/>
  <c r="E50"/>
  <c r="C48"/>
  <c r="E48" s="1"/>
  <c r="C47"/>
  <c r="C44"/>
  <c r="K37"/>
  <c r="L37" s="1"/>
  <c r="M37" s="1"/>
  <c r="N37" s="1"/>
  <c r="O37" s="1"/>
  <c r="P37" s="1"/>
  <c r="Q37" s="1"/>
  <c r="R37" s="1"/>
  <c r="S37" s="1"/>
  <c r="T37" s="1"/>
  <c r="U37" s="1"/>
  <c r="V37" s="1"/>
  <c r="W37" s="1"/>
  <c r="X37" s="1"/>
  <c r="Y37" s="1"/>
  <c r="Z37" s="1"/>
  <c r="AA37" s="1"/>
  <c r="AB37" s="1"/>
  <c r="AC37" s="1"/>
  <c r="L35"/>
  <c r="M35" s="1"/>
  <c r="N35" s="1"/>
  <c r="O35" s="1"/>
  <c r="P35" s="1"/>
  <c r="Q35" s="1"/>
  <c r="R35" s="1"/>
  <c r="S35" s="1"/>
  <c r="T35" s="1"/>
  <c r="U35" s="1"/>
  <c r="V35" s="1"/>
  <c r="W35" s="1"/>
  <c r="X35" s="1"/>
  <c r="Y35" s="1"/>
  <c r="Z35" s="1"/>
  <c r="AA35" s="1"/>
  <c r="AB35" s="1"/>
  <c r="AC35" s="1"/>
  <c r="J34"/>
  <c r="J36" s="1"/>
  <c r="J38" s="1"/>
  <c r="I34"/>
  <c r="I36" s="1"/>
  <c r="I38" s="1"/>
  <c r="I39" s="1"/>
  <c r="H34"/>
  <c r="H36" s="1"/>
  <c r="H38" s="1"/>
  <c r="H39" s="1"/>
  <c r="G34"/>
  <c r="G36" s="1"/>
  <c r="G38" s="1"/>
  <c r="G39" s="1"/>
  <c r="F34"/>
  <c r="F36" s="1"/>
  <c r="F38" s="1"/>
  <c r="F39" s="1"/>
  <c r="E34"/>
  <c r="E36" s="1"/>
  <c r="E38" s="1"/>
  <c r="E39" s="1"/>
  <c r="K33"/>
  <c r="L33" s="1"/>
  <c r="M33" s="1"/>
  <c r="N33" s="1"/>
  <c r="O33" s="1"/>
  <c r="P33" s="1"/>
  <c r="Q33" s="1"/>
  <c r="R33" s="1"/>
  <c r="S33" s="1"/>
  <c r="T33" s="1"/>
  <c r="U33" s="1"/>
  <c r="V33" s="1"/>
  <c r="W33" s="1"/>
  <c r="X33" s="1"/>
  <c r="Y33" s="1"/>
  <c r="Z33" s="1"/>
  <c r="AA33" s="1"/>
  <c r="AB33" s="1"/>
  <c r="AC33" s="1"/>
  <c r="J33"/>
  <c r="I33"/>
  <c r="H33"/>
  <c r="G33"/>
  <c r="F33"/>
  <c r="E33"/>
  <c r="L32"/>
  <c r="M32" s="1"/>
  <c r="N32" s="1"/>
  <c r="O32" s="1"/>
  <c r="P32" s="1"/>
  <c r="Q32" s="1"/>
  <c r="R32" s="1"/>
  <c r="S32" s="1"/>
  <c r="T32" s="1"/>
  <c r="U32" s="1"/>
  <c r="V32" s="1"/>
  <c r="W32" s="1"/>
  <c r="X32" s="1"/>
  <c r="Y32" s="1"/>
  <c r="Z32" s="1"/>
  <c r="AA32" s="1"/>
  <c r="AB32" s="1"/>
  <c r="AC32" s="1"/>
  <c r="K32"/>
  <c r="L29"/>
  <c r="M29" s="1"/>
  <c r="N29" s="1"/>
  <c r="O29" s="1"/>
  <c r="P29" s="1"/>
  <c r="Q29" s="1"/>
  <c r="R29" s="1"/>
  <c r="S29" s="1"/>
  <c r="T29" s="1"/>
  <c r="U29" s="1"/>
  <c r="V29" s="1"/>
  <c r="W29" s="1"/>
  <c r="X29" s="1"/>
  <c r="Y29" s="1"/>
  <c r="Z29" s="1"/>
  <c r="AA29" s="1"/>
  <c r="AB29" s="1"/>
  <c r="AC29" s="1"/>
  <c r="K29"/>
  <c r="J27"/>
  <c r="J28" s="1"/>
  <c r="I27"/>
  <c r="I28" s="1"/>
  <c r="I30" s="1"/>
  <c r="I31" s="1"/>
  <c r="H27"/>
  <c r="H28" s="1"/>
  <c r="H30" s="1"/>
  <c r="H31" s="1"/>
  <c r="G27"/>
  <c r="G28" s="1"/>
  <c r="G30" s="1"/>
  <c r="G31" s="1"/>
  <c r="F27"/>
  <c r="F28" s="1"/>
  <c r="F30" s="1"/>
  <c r="F31" s="1"/>
  <c r="E27"/>
  <c r="E28" s="1"/>
  <c r="E30" s="1"/>
  <c r="E31" s="1"/>
  <c r="K26"/>
  <c r="L26" s="1"/>
  <c r="M26" s="1"/>
  <c r="N26" s="1"/>
  <c r="O26" s="1"/>
  <c r="P26" s="1"/>
  <c r="Q26" s="1"/>
  <c r="R26" s="1"/>
  <c r="S26" s="1"/>
  <c r="T26" s="1"/>
  <c r="U26" s="1"/>
  <c r="V26" s="1"/>
  <c r="W26" s="1"/>
  <c r="X26" s="1"/>
  <c r="Y26" s="1"/>
  <c r="Z26" s="1"/>
  <c r="AA26" s="1"/>
  <c r="AB26" s="1"/>
  <c r="AC26" s="1"/>
  <c r="J24"/>
  <c r="I24"/>
  <c r="H24"/>
  <c r="G24"/>
  <c r="F24"/>
  <c r="E24"/>
  <c r="K22"/>
  <c r="K24" s="1"/>
  <c r="T18"/>
  <c r="U18" s="1"/>
  <c r="V18" s="1"/>
  <c r="W18" s="1"/>
  <c r="X18" s="1"/>
  <c r="Y18" s="1"/>
  <c r="Z18" s="1"/>
  <c r="AA18" s="1"/>
  <c r="AB18" s="1"/>
  <c r="AC18" s="1"/>
  <c r="T16"/>
  <c r="U16" s="1"/>
  <c r="V16" s="1"/>
  <c r="W16" s="1"/>
  <c r="X16" s="1"/>
  <c r="Y16" s="1"/>
  <c r="Z16" s="1"/>
  <c r="AA16" s="1"/>
  <c r="AB16" s="1"/>
  <c r="AC16" s="1"/>
  <c r="J15"/>
  <c r="J17" s="1"/>
  <c r="J19" s="1"/>
  <c r="J20" s="1"/>
  <c r="I15"/>
  <c r="I17" s="1"/>
  <c r="I19" s="1"/>
  <c r="I20" s="1"/>
  <c r="H15"/>
  <c r="H17" s="1"/>
  <c r="H19" s="1"/>
  <c r="H20" s="1"/>
  <c r="G15"/>
  <c r="G17" s="1"/>
  <c r="G19" s="1"/>
  <c r="G20" s="1"/>
  <c r="F15"/>
  <c r="F17" s="1"/>
  <c r="F19" s="1"/>
  <c r="F20" s="1"/>
  <c r="E15"/>
  <c r="E17" s="1"/>
  <c r="E19" s="1"/>
  <c r="E20" s="1"/>
  <c r="U14"/>
  <c r="V14" s="1"/>
  <c r="W14" s="1"/>
  <c r="X14" s="1"/>
  <c r="Y14" s="1"/>
  <c r="Z14" s="1"/>
  <c r="AA14" s="1"/>
  <c r="AB14" s="1"/>
  <c r="AC14" s="1"/>
  <c r="T14"/>
  <c r="K13"/>
  <c r="K15" s="1"/>
  <c r="K17" s="1"/>
  <c r="K19" s="1"/>
  <c r="K20" s="1"/>
  <c r="T12"/>
  <c r="U12" s="1"/>
  <c r="V12" s="1"/>
  <c r="W12" s="1"/>
  <c r="X12" s="1"/>
  <c r="Y12" s="1"/>
  <c r="Z12" s="1"/>
  <c r="AA12" s="1"/>
  <c r="AB12" s="1"/>
  <c r="AC12" s="1"/>
  <c r="K11"/>
  <c r="L11" s="1"/>
  <c r="M11" s="1"/>
  <c r="N11" s="1"/>
  <c r="O11" s="1"/>
  <c r="P11" s="1"/>
  <c r="Q11" s="1"/>
  <c r="R11" s="1"/>
  <c r="S11" s="1"/>
  <c r="T11" s="1"/>
  <c r="U11" s="1"/>
  <c r="V11" s="1"/>
  <c r="W11" s="1"/>
  <c r="X11" s="1"/>
  <c r="Y11" s="1"/>
  <c r="Z11" s="1"/>
  <c r="AA11" s="1"/>
  <c r="AB11" s="1"/>
  <c r="AC11" s="1"/>
  <c r="E7"/>
  <c r="F7" s="1"/>
  <c r="G7" s="1"/>
  <c r="H7" s="1"/>
  <c r="I7" s="1"/>
  <c r="J7" s="1"/>
  <c r="K7" s="1"/>
  <c r="L7" s="1"/>
  <c r="M7" s="1"/>
  <c r="N7" s="1"/>
  <c r="O7" s="1"/>
  <c r="P7" s="1"/>
  <c r="Q7" s="1"/>
  <c r="R7" s="1"/>
  <c r="S7" s="1"/>
  <c r="T7" s="1"/>
  <c r="U7" s="1"/>
  <c r="V7" s="1"/>
  <c r="W7" s="1"/>
  <c r="X7" s="1"/>
  <c r="Y7" s="1"/>
  <c r="Z7" s="1"/>
  <c r="AA7" s="1"/>
  <c r="AB7" s="1"/>
  <c r="AC7" s="1"/>
  <c r="AB8"/>
  <c r="Z8"/>
  <c r="X8"/>
  <c r="V8"/>
  <c r="T8"/>
  <c r="R8"/>
  <c r="P8"/>
  <c r="N8"/>
  <c r="L40"/>
  <c r="J40"/>
  <c r="H40"/>
  <c r="F40"/>
  <c r="E40"/>
  <c r="K4"/>
  <c r="L4" s="1"/>
  <c r="M4" s="1"/>
  <c r="N4" s="1"/>
  <c r="O4" s="1"/>
  <c r="P4" s="1"/>
  <c r="Q4" s="1"/>
  <c r="R4" s="1"/>
  <c r="S4" s="1"/>
  <c r="AD90" i="50"/>
  <c r="E90"/>
  <c r="AD88"/>
  <c r="AD86"/>
  <c r="E86"/>
  <c r="AD86" i="11"/>
  <c r="AD88"/>
  <c r="AD90"/>
  <c r="E90"/>
  <c r="E86"/>
  <c r="B90" i="50"/>
  <c r="B88"/>
  <c r="B86"/>
  <c r="C83"/>
  <c r="AD82"/>
  <c r="AC82"/>
  <c r="AB82"/>
  <c r="AA82"/>
  <c r="Z82"/>
  <c r="Y82"/>
  <c r="X82"/>
  <c r="W82"/>
  <c r="V82"/>
  <c r="U82"/>
  <c r="T82"/>
  <c r="S82"/>
  <c r="R82"/>
  <c r="Q82"/>
  <c r="P82"/>
  <c r="O82"/>
  <c r="N82"/>
  <c r="M82"/>
  <c r="L82"/>
  <c r="K82"/>
  <c r="J82"/>
  <c r="AD81"/>
  <c r="AC81"/>
  <c r="AB81"/>
  <c r="AA81"/>
  <c r="Z81"/>
  <c r="Y81"/>
  <c r="X81"/>
  <c r="W81"/>
  <c r="V81"/>
  <c r="U81"/>
  <c r="T81"/>
  <c r="S81"/>
  <c r="R81"/>
  <c r="Q81"/>
  <c r="P81"/>
  <c r="O81"/>
  <c r="N81"/>
  <c r="M81"/>
  <c r="L81"/>
  <c r="K81"/>
  <c r="J81"/>
  <c r="I81"/>
  <c r="AD80"/>
  <c r="AC80"/>
  <c r="AB80"/>
  <c r="AA80"/>
  <c r="Z80"/>
  <c r="Y80"/>
  <c r="X80"/>
  <c r="W80"/>
  <c r="V80"/>
  <c r="U80"/>
  <c r="T80"/>
  <c r="S80"/>
  <c r="R80"/>
  <c r="Q80"/>
  <c r="P80"/>
  <c r="O80"/>
  <c r="N80"/>
  <c r="M80"/>
  <c r="L80"/>
  <c r="K80"/>
  <c r="J80"/>
  <c r="I80"/>
  <c r="H80"/>
  <c r="AD79"/>
  <c r="AC79"/>
  <c r="AB79"/>
  <c r="AA79"/>
  <c r="Z79"/>
  <c r="Y79"/>
  <c r="X79"/>
  <c r="W79"/>
  <c r="V79"/>
  <c r="U79"/>
  <c r="T79"/>
  <c r="S79"/>
  <c r="R79"/>
  <c r="Q79"/>
  <c r="P79"/>
  <c r="O79"/>
  <c r="N79"/>
  <c r="M79"/>
  <c r="L79"/>
  <c r="K79"/>
  <c r="J79"/>
  <c r="I79"/>
  <c r="H79"/>
  <c r="G79"/>
  <c r="AD78"/>
  <c r="AC78"/>
  <c r="AB78"/>
  <c r="AA78"/>
  <c r="Z78"/>
  <c r="Y78"/>
  <c r="X78"/>
  <c r="W78"/>
  <c r="V78"/>
  <c r="U78"/>
  <c r="T78"/>
  <c r="S78"/>
  <c r="R78"/>
  <c r="Q78"/>
  <c r="P78"/>
  <c r="O78"/>
  <c r="N78"/>
  <c r="M78"/>
  <c r="L78"/>
  <c r="K78"/>
  <c r="J78"/>
  <c r="I78"/>
  <c r="H78"/>
  <c r="G78"/>
  <c r="F78"/>
  <c r="AD77"/>
  <c r="AD83" s="1"/>
  <c r="AC77"/>
  <c r="AC83" s="1"/>
  <c r="AB77"/>
  <c r="AB83" s="1"/>
  <c r="AA77"/>
  <c r="AA83" s="1"/>
  <c r="Z77"/>
  <c r="Z83" s="1"/>
  <c r="Y77"/>
  <c r="Y83" s="1"/>
  <c r="X77"/>
  <c r="X83" s="1"/>
  <c r="W77"/>
  <c r="W83" s="1"/>
  <c r="V77"/>
  <c r="V83" s="1"/>
  <c r="U77"/>
  <c r="U83" s="1"/>
  <c r="T77"/>
  <c r="T83" s="1"/>
  <c r="S77"/>
  <c r="S83" s="1"/>
  <c r="R77"/>
  <c r="R83" s="1"/>
  <c r="Q77"/>
  <c r="Q83" s="1"/>
  <c r="P77"/>
  <c r="P83" s="1"/>
  <c r="O77"/>
  <c r="O83" s="1"/>
  <c r="N77"/>
  <c r="N83" s="1"/>
  <c r="M77"/>
  <c r="M83" s="1"/>
  <c r="L77"/>
  <c r="L83" s="1"/>
  <c r="K77"/>
  <c r="K83" s="1"/>
  <c r="J77"/>
  <c r="J83" s="1"/>
  <c r="I77"/>
  <c r="I83" s="1"/>
  <c r="H77"/>
  <c r="H83" s="1"/>
  <c r="G77"/>
  <c r="G83" s="1"/>
  <c r="F77"/>
  <c r="F83" s="1"/>
  <c r="E77"/>
  <c r="E83" s="1"/>
  <c r="C66"/>
  <c r="C68" s="1"/>
  <c r="C71" s="1"/>
  <c r="E63"/>
  <c r="E50"/>
  <c r="E48"/>
  <c r="E52" s="1"/>
  <c r="C48"/>
  <c r="C47"/>
  <c r="C44"/>
  <c r="G38"/>
  <c r="G39" s="1"/>
  <c r="L37"/>
  <c r="M37" s="1"/>
  <c r="N37" s="1"/>
  <c r="O37" s="1"/>
  <c r="P37" s="1"/>
  <c r="Q37" s="1"/>
  <c r="R37" s="1"/>
  <c r="S37" s="1"/>
  <c r="T37" s="1"/>
  <c r="U37" s="1"/>
  <c r="V37" s="1"/>
  <c r="W37" s="1"/>
  <c r="X37" s="1"/>
  <c r="Y37" s="1"/>
  <c r="Z37" s="1"/>
  <c r="AA37" s="1"/>
  <c r="AB37" s="1"/>
  <c r="AC37" s="1"/>
  <c r="K37"/>
  <c r="I36"/>
  <c r="I38" s="1"/>
  <c r="I39" s="1"/>
  <c r="G36"/>
  <c r="E36"/>
  <c r="E38" s="1"/>
  <c r="E39" s="1"/>
  <c r="N35"/>
  <c r="O35" s="1"/>
  <c r="P35" s="1"/>
  <c r="Q35" s="1"/>
  <c r="R35" s="1"/>
  <c r="S35" s="1"/>
  <c r="T35" s="1"/>
  <c r="U35" s="1"/>
  <c r="V35" s="1"/>
  <c r="W35" s="1"/>
  <c r="X35" s="1"/>
  <c r="Y35" s="1"/>
  <c r="Z35" s="1"/>
  <c r="AA35" s="1"/>
  <c r="AB35" s="1"/>
  <c r="AC35" s="1"/>
  <c r="L35"/>
  <c r="M35" s="1"/>
  <c r="J34"/>
  <c r="I34"/>
  <c r="H34"/>
  <c r="H36" s="1"/>
  <c r="H38" s="1"/>
  <c r="H39" s="1"/>
  <c r="G34"/>
  <c r="F34"/>
  <c r="F36" s="1"/>
  <c r="F38" s="1"/>
  <c r="F39" s="1"/>
  <c r="E34"/>
  <c r="K33"/>
  <c r="L33" s="1"/>
  <c r="M33" s="1"/>
  <c r="N33" s="1"/>
  <c r="O33" s="1"/>
  <c r="P33" s="1"/>
  <c r="Q33" s="1"/>
  <c r="R33" s="1"/>
  <c r="S33" s="1"/>
  <c r="T33" s="1"/>
  <c r="U33" s="1"/>
  <c r="V33" s="1"/>
  <c r="W33" s="1"/>
  <c r="X33" s="1"/>
  <c r="Y33" s="1"/>
  <c r="Z33" s="1"/>
  <c r="AA33" s="1"/>
  <c r="AB33" s="1"/>
  <c r="AC33" s="1"/>
  <c r="J33"/>
  <c r="I33"/>
  <c r="H33"/>
  <c r="G33"/>
  <c r="F33"/>
  <c r="E33"/>
  <c r="N32"/>
  <c r="O32" s="1"/>
  <c r="P32" s="1"/>
  <c r="Q32" s="1"/>
  <c r="R32" s="1"/>
  <c r="S32" s="1"/>
  <c r="T32" s="1"/>
  <c r="U32" s="1"/>
  <c r="V32" s="1"/>
  <c r="W32" s="1"/>
  <c r="X32" s="1"/>
  <c r="Y32" s="1"/>
  <c r="Z32" s="1"/>
  <c r="AA32" s="1"/>
  <c r="AB32" s="1"/>
  <c r="AC32" s="1"/>
  <c r="L32"/>
  <c r="M32" s="1"/>
  <c r="K32"/>
  <c r="L29"/>
  <c r="M29" s="1"/>
  <c r="N29" s="1"/>
  <c r="O29" s="1"/>
  <c r="P29" s="1"/>
  <c r="Q29" s="1"/>
  <c r="R29" s="1"/>
  <c r="S29" s="1"/>
  <c r="T29" s="1"/>
  <c r="U29" s="1"/>
  <c r="V29" s="1"/>
  <c r="W29" s="1"/>
  <c r="X29" s="1"/>
  <c r="Y29" s="1"/>
  <c r="Z29" s="1"/>
  <c r="AA29" s="1"/>
  <c r="AB29" s="1"/>
  <c r="AC29" s="1"/>
  <c r="K29"/>
  <c r="I28"/>
  <c r="I30" s="1"/>
  <c r="I31" s="1"/>
  <c r="G28"/>
  <c r="G30" s="1"/>
  <c r="G31" s="1"/>
  <c r="E28"/>
  <c r="E30" s="1"/>
  <c r="E31" s="1"/>
  <c r="J27"/>
  <c r="J28" s="1"/>
  <c r="I27"/>
  <c r="H27"/>
  <c r="H28" s="1"/>
  <c r="H30" s="1"/>
  <c r="H31" s="1"/>
  <c r="G27"/>
  <c r="F27"/>
  <c r="F28" s="1"/>
  <c r="F30" s="1"/>
  <c r="F31" s="1"/>
  <c r="E27"/>
  <c r="K26"/>
  <c r="L26" s="1"/>
  <c r="M26" s="1"/>
  <c r="N26" s="1"/>
  <c r="O26" s="1"/>
  <c r="P26" s="1"/>
  <c r="Q26" s="1"/>
  <c r="R26" s="1"/>
  <c r="S26" s="1"/>
  <c r="T26" s="1"/>
  <c r="U26" s="1"/>
  <c r="V26" s="1"/>
  <c r="W26" s="1"/>
  <c r="X26" s="1"/>
  <c r="Y26" s="1"/>
  <c r="Z26" s="1"/>
  <c r="AA26" s="1"/>
  <c r="AB26" s="1"/>
  <c r="AC26" s="1"/>
  <c r="J24"/>
  <c r="I24"/>
  <c r="H24"/>
  <c r="G24"/>
  <c r="F24"/>
  <c r="E24"/>
  <c r="K22"/>
  <c r="K24" s="1"/>
  <c r="T18"/>
  <c r="U18" s="1"/>
  <c r="V18" s="1"/>
  <c r="W18" s="1"/>
  <c r="X18" s="1"/>
  <c r="Y18" s="1"/>
  <c r="Z18" s="1"/>
  <c r="AA18" s="1"/>
  <c r="AB18" s="1"/>
  <c r="AC18" s="1"/>
  <c r="U16"/>
  <c r="V16" s="1"/>
  <c r="W16" s="1"/>
  <c r="X16" s="1"/>
  <c r="Y16" s="1"/>
  <c r="Z16" s="1"/>
  <c r="AA16" s="1"/>
  <c r="AB16" s="1"/>
  <c r="AC16" s="1"/>
  <c r="T16"/>
  <c r="J15"/>
  <c r="J17" s="1"/>
  <c r="J19" s="1"/>
  <c r="J20" s="1"/>
  <c r="I15"/>
  <c r="I17" s="1"/>
  <c r="I19" s="1"/>
  <c r="I20" s="1"/>
  <c r="H15"/>
  <c r="H17" s="1"/>
  <c r="H19" s="1"/>
  <c r="H20" s="1"/>
  <c r="G15"/>
  <c r="G17" s="1"/>
  <c r="G19" s="1"/>
  <c r="G20" s="1"/>
  <c r="F15"/>
  <c r="F17" s="1"/>
  <c r="F19" s="1"/>
  <c r="F20" s="1"/>
  <c r="E15"/>
  <c r="E17" s="1"/>
  <c r="E19" s="1"/>
  <c r="E20" s="1"/>
  <c r="T14"/>
  <c r="U14" s="1"/>
  <c r="V14" s="1"/>
  <c r="W14" s="1"/>
  <c r="X14" s="1"/>
  <c r="Y14" s="1"/>
  <c r="Z14" s="1"/>
  <c r="AA14" s="1"/>
  <c r="AB14" s="1"/>
  <c r="AC14" s="1"/>
  <c r="L13"/>
  <c r="L15" s="1"/>
  <c r="L17" s="1"/>
  <c r="L19" s="1"/>
  <c r="L20" s="1"/>
  <c r="K13"/>
  <c r="K15" s="1"/>
  <c r="K17" s="1"/>
  <c r="K19" s="1"/>
  <c r="K20" s="1"/>
  <c r="U12"/>
  <c r="V12" s="1"/>
  <c r="W12" s="1"/>
  <c r="X12" s="1"/>
  <c r="Y12" s="1"/>
  <c r="Z12" s="1"/>
  <c r="AA12" s="1"/>
  <c r="AB12" s="1"/>
  <c r="AC12" s="1"/>
  <c r="T12"/>
  <c r="K11"/>
  <c r="L11" s="1"/>
  <c r="M11" s="1"/>
  <c r="N11" s="1"/>
  <c r="O11" s="1"/>
  <c r="P11" s="1"/>
  <c r="Q11" s="1"/>
  <c r="R11" s="1"/>
  <c r="S11" s="1"/>
  <c r="T11" s="1"/>
  <c r="U11" s="1"/>
  <c r="V11" s="1"/>
  <c r="W11" s="1"/>
  <c r="X11" s="1"/>
  <c r="Y11" s="1"/>
  <c r="Z11" s="1"/>
  <c r="AA11" s="1"/>
  <c r="AB11" s="1"/>
  <c r="AC11" s="1"/>
  <c r="E7"/>
  <c r="F7" s="1"/>
  <c r="G7" s="1"/>
  <c r="H7" s="1"/>
  <c r="I7" s="1"/>
  <c r="J7" s="1"/>
  <c r="K7" s="1"/>
  <c r="L7" s="1"/>
  <c r="M7" s="1"/>
  <c r="N7" s="1"/>
  <c r="O7" s="1"/>
  <c r="P7" s="1"/>
  <c r="Q7" s="1"/>
  <c r="R7" s="1"/>
  <c r="S7" s="1"/>
  <c r="T7" s="1"/>
  <c r="U7" s="1"/>
  <c r="V7" s="1"/>
  <c r="W7" s="1"/>
  <c r="X7" s="1"/>
  <c r="Y7" s="1"/>
  <c r="Z7" s="1"/>
  <c r="AA7" s="1"/>
  <c r="AB7" s="1"/>
  <c r="AC7" s="1"/>
  <c r="D38" i="46"/>
  <c r="E8" i="50"/>
  <c r="K4"/>
  <c r="L4" s="1"/>
  <c r="M4" s="1"/>
  <c r="N4" s="1"/>
  <c r="O4" s="1"/>
  <c r="P4" s="1"/>
  <c r="Q4" s="1"/>
  <c r="R4" s="1"/>
  <c r="S4" s="1"/>
  <c r="E52" i="51" l="1"/>
  <c r="E88"/>
  <c r="AD96"/>
  <c r="AD98" s="1"/>
  <c r="F8" i="50"/>
  <c r="E88"/>
  <c r="E96" i="51"/>
  <c r="E99" s="1"/>
  <c r="J30"/>
  <c r="K28"/>
  <c r="L28" s="1"/>
  <c r="M28" s="1"/>
  <c r="N28" s="1"/>
  <c r="O28" s="1"/>
  <c r="P28" s="1"/>
  <c r="Q28" s="1"/>
  <c r="R28" s="1"/>
  <c r="S28" s="1"/>
  <c r="T28" s="1"/>
  <c r="U28" s="1"/>
  <c r="V28" s="1"/>
  <c r="W28" s="1"/>
  <c r="X28" s="1"/>
  <c r="Y28" s="1"/>
  <c r="Z28" s="1"/>
  <c r="AA28" s="1"/>
  <c r="AB28" s="1"/>
  <c r="AC28" s="1"/>
  <c r="M8"/>
  <c r="O8"/>
  <c r="Q8"/>
  <c r="S8"/>
  <c r="U8"/>
  <c r="W8"/>
  <c r="Y8"/>
  <c r="AA8"/>
  <c r="AC8"/>
  <c r="G40"/>
  <c r="I40"/>
  <c r="K40"/>
  <c r="E8"/>
  <c r="G8"/>
  <c r="I8"/>
  <c r="K8"/>
  <c r="L22"/>
  <c r="K27"/>
  <c r="L27" s="1"/>
  <c r="M27" s="1"/>
  <c r="N27" s="1"/>
  <c r="O27" s="1"/>
  <c r="P27" s="1"/>
  <c r="Q27" s="1"/>
  <c r="R27" s="1"/>
  <c r="S27" s="1"/>
  <c r="T27" s="1"/>
  <c r="U27" s="1"/>
  <c r="V27" s="1"/>
  <c r="W27" s="1"/>
  <c r="X27" s="1"/>
  <c r="Y27" s="1"/>
  <c r="Z27" s="1"/>
  <c r="AA27" s="1"/>
  <c r="AB27" s="1"/>
  <c r="AC27" s="1"/>
  <c r="J39"/>
  <c r="K38"/>
  <c r="F8"/>
  <c r="H8"/>
  <c r="J8"/>
  <c r="L8"/>
  <c r="L13"/>
  <c r="AB47"/>
  <c r="AB48" s="1"/>
  <c r="AB88" s="1"/>
  <c r="G47"/>
  <c r="G48" s="1"/>
  <c r="G88" s="1"/>
  <c r="I47"/>
  <c r="I48" s="1"/>
  <c r="I88" s="1"/>
  <c r="K47"/>
  <c r="K48" s="1"/>
  <c r="K88" s="1"/>
  <c r="M47"/>
  <c r="M48" s="1"/>
  <c r="M88" s="1"/>
  <c r="O47"/>
  <c r="O48" s="1"/>
  <c r="O88" s="1"/>
  <c r="Q47"/>
  <c r="Q48" s="1"/>
  <c r="Q88" s="1"/>
  <c r="S47"/>
  <c r="S48" s="1"/>
  <c r="S88" s="1"/>
  <c r="U47"/>
  <c r="U48" s="1"/>
  <c r="U88" s="1"/>
  <c r="W47"/>
  <c r="W48" s="1"/>
  <c r="W88" s="1"/>
  <c r="Y47"/>
  <c r="Y48" s="1"/>
  <c r="Y88" s="1"/>
  <c r="AA47"/>
  <c r="AA48" s="1"/>
  <c r="AA88" s="1"/>
  <c r="AC47"/>
  <c r="AC48" s="1"/>
  <c r="AC88" s="1"/>
  <c r="K34"/>
  <c r="E44"/>
  <c r="F47"/>
  <c r="F48" s="1"/>
  <c r="F88" s="1"/>
  <c r="H47"/>
  <c r="H48" s="1"/>
  <c r="H88" s="1"/>
  <c r="J47"/>
  <c r="J48" s="1"/>
  <c r="J88" s="1"/>
  <c r="L47"/>
  <c r="L48" s="1"/>
  <c r="L88" s="1"/>
  <c r="N47"/>
  <c r="N48" s="1"/>
  <c r="N88" s="1"/>
  <c r="P47"/>
  <c r="P48" s="1"/>
  <c r="P88" s="1"/>
  <c r="R47"/>
  <c r="R48" s="1"/>
  <c r="R88" s="1"/>
  <c r="T47"/>
  <c r="T48" s="1"/>
  <c r="T88" s="1"/>
  <c r="V47"/>
  <c r="V48" s="1"/>
  <c r="V88" s="1"/>
  <c r="X47"/>
  <c r="X48" s="1"/>
  <c r="X88" s="1"/>
  <c r="Z47"/>
  <c r="Z48" s="1"/>
  <c r="Z88" s="1"/>
  <c r="H8" i="50"/>
  <c r="J8"/>
  <c r="L8"/>
  <c r="N8"/>
  <c r="K28"/>
  <c r="L28" s="1"/>
  <c r="M28" s="1"/>
  <c r="N28" s="1"/>
  <c r="O28" s="1"/>
  <c r="P28" s="1"/>
  <c r="Q28" s="1"/>
  <c r="R28" s="1"/>
  <c r="S28" s="1"/>
  <c r="T28" s="1"/>
  <c r="U28" s="1"/>
  <c r="V28" s="1"/>
  <c r="W28" s="1"/>
  <c r="X28" s="1"/>
  <c r="Y28" s="1"/>
  <c r="Z28" s="1"/>
  <c r="AA28" s="1"/>
  <c r="AB28" s="1"/>
  <c r="AC28" s="1"/>
  <c r="J30"/>
  <c r="P8"/>
  <c r="R8"/>
  <c r="T8"/>
  <c r="V8"/>
  <c r="X8"/>
  <c r="Z8"/>
  <c r="AB8"/>
  <c r="AA47"/>
  <c r="AA48" s="1"/>
  <c r="AA88" s="1"/>
  <c r="G8"/>
  <c r="I8"/>
  <c r="K8"/>
  <c r="M8"/>
  <c r="O8"/>
  <c r="Q8"/>
  <c r="S8"/>
  <c r="U8"/>
  <c r="W8"/>
  <c r="Y8"/>
  <c r="AA8"/>
  <c r="AC8"/>
  <c r="J36"/>
  <c r="J38" s="1"/>
  <c r="K34"/>
  <c r="E44"/>
  <c r="M13"/>
  <c r="L22"/>
  <c r="K27"/>
  <c r="L27" s="1"/>
  <c r="M27" s="1"/>
  <c r="N27" s="1"/>
  <c r="O27" s="1"/>
  <c r="P27" s="1"/>
  <c r="Q27" s="1"/>
  <c r="R27" s="1"/>
  <c r="S27" s="1"/>
  <c r="T27" s="1"/>
  <c r="U27" s="1"/>
  <c r="V27" s="1"/>
  <c r="W27" s="1"/>
  <c r="X27" s="1"/>
  <c r="Y27" s="1"/>
  <c r="Z27" s="1"/>
  <c r="AA27" s="1"/>
  <c r="AB27" s="1"/>
  <c r="AC27" s="1"/>
  <c r="G47"/>
  <c r="G48" s="1"/>
  <c r="G88" s="1"/>
  <c r="K47"/>
  <c r="K48" s="1"/>
  <c r="K88" s="1"/>
  <c r="O47"/>
  <c r="O48" s="1"/>
  <c r="O88" s="1"/>
  <c r="S47"/>
  <c r="S48" s="1"/>
  <c r="S88" s="1"/>
  <c r="W47"/>
  <c r="W48" s="1"/>
  <c r="W88" s="1"/>
  <c r="AB47"/>
  <c r="AB48" s="1"/>
  <c r="AB88" s="1"/>
  <c r="Z47"/>
  <c r="Z48" s="1"/>
  <c r="Z88" s="1"/>
  <c r="X47"/>
  <c r="X48" s="1"/>
  <c r="X88" s="1"/>
  <c r="V47"/>
  <c r="V48" s="1"/>
  <c r="V88" s="1"/>
  <c r="T47"/>
  <c r="T48" s="1"/>
  <c r="T88" s="1"/>
  <c r="R47"/>
  <c r="R48" s="1"/>
  <c r="R88" s="1"/>
  <c r="P47"/>
  <c r="P48" s="1"/>
  <c r="P88" s="1"/>
  <c r="N47"/>
  <c r="N48" s="1"/>
  <c r="N88" s="1"/>
  <c r="L47"/>
  <c r="L48" s="1"/>
  <c r="L88" s="1"/>
  <c r="J47"/>
  <c r="J48" s="1"/>
  <c r="J88" s="1"/>
  <c r="H47"/>
  <c r="H48" s="1"/>
  <c r="H88" s="1"/>
  <c r="F47"/>
  <c r="F48" s="1"/>
  <c r="F88" s="1"/>
  <c r="I47"/>
  <c r="I48" s="1"/>
  <c r="I88" s="1"/>
  <c r="M47"/>
  <c r="M48" s="1"/>
  <c r="M88" s="1"/>
  <c r="Q47"/>
  <c r="Q48" s="1"/>
  <c r="Q88" s="1"/>
  <c r="U47"/>
  <c r="U48" s="1"/>
  <c r="U88" s="1"/>
  <c r="Y47"/>
  <c r="Y48" s="1"/>
  <c r="Y88" s="1"/>
  <c r="AC47"/>
  <c r="AC48" s="1"/>
  <c r="AC88" s="1"/>
  <c r="AD99" i="51" l="1"/>
  <c r="J31"/>
  <c r="K30"/>
  <c r="K36"/>
  <c r="L36" s="1"/>
  <c r="M36" s="1"/>
  <c r="N36" s="1"/>
  <c r="O36" s="1"/>
  <c r="P36" s="1"/>
  <c r="Q36" s="1"/>
  <c r="R36" s="1"/>
  <c r="S36" s="1"/>
  <c r="T36" s="1"/>
  <c r="U36" s="1"/>
  <c r="V36" s="1"/>
  <c r="W36" s="1"/>
  <c r="X36" s="1"/>
  <c r="Y36" s="1"/>
  <c r="Z36" s="1"/>
  <c r="AA36" s="1"/>
  <c r="AB36" s="1"/>
  <c r="AC36" s="1"/>
  <c r="L34"/>
  <c r="M34" s="1"/>
  <c r="N34" s="1"/>
  <c r="O34" s="1"/>
  <c r="P34" s="1"/>
  <c r="Q34" s="1"/>
  <c r="R34" s="1"/>
  <c r="S34" s="1"/>
  <c r="T34" s="1"/>
  <c r="U34" s="1"/>
  <c r="V34" s="1"/>
  <c r="W34" s="1"/>
  <c r="X34" s="1"/>
  <c r="Y34" s="1"/>
  <c r="Z34" s="1"/>
  <c r="AA34" s="1"/>
  <c r="AB34" s="1"/>
  <c r="AC34" s="1"/>
  <c r="L15"/>
  <c r="L17" s="1"/>
  <c r="L19" s="1"/>
  <c r="L20" s="1"/>
  <c r="M13"/>
  <c r="K39"/>
  <c r="L38"/>
  <c r="L24"/>
  <c r="M22"/>
  <c r="L24" i="50"/>
  <c r="M22"/>
  <c r="L34"/>
  <c r="M34" s="1"/>
  <c r="N34" s="1"/>
  <c r="O34" s="1"/>
  <c r="P34" s="1"/>
  <c r="Q34" s="1"/>
  <c r="R34" s="1"/>
  <c r="S34" s="1"/>
  <c r="T34" s="1"/>
  <c r="U34" s="1"/>
  <c r="V34" s="1"/>
  <c r="W34" s="1"/>
  <c r="X34" s="1"/>
  <c r="Y34" s="1"/>
  <c r="Z34" s="1"/>
  <c r="AA34" s="1"/>
  <c r="AB34" s="1"/>
  <c r="AC34" s="1"/>
  <c r="K36"/>
  <c r="L36" s="1"/>
  <c r="M36" s="1"/>
  <c r="N36" s="1"/>
  <c r="O36" s="1"/>
  <c r="P36" s="1"/>
  <c r="Q36" s="1"/>
  <c r="R36" s="1"/>
  <c r="S36" s="1"/>
  <c r="T36" s="1"/>
  <c r="U36" s="1"/>
  <c r="V36" s="1"/>
  <c r="W36" s="1"/>
  <c r="X36" s="1"/>
  <c r="Y36" s="1"/>
  <c r="Z36" s="1"/>
  <c r="AA36" s="1"/>
  <c r="AB36" s="1"/>
  <c r="AC36" s="1"/>
  <c r="M15"/>
  <c r="M17" s="1"/>
  <c r="M19" s="1"/>
  <c r="M20" s="1"/>
  <c r="N13"/>
  <c r="J39"/>
  <c r="K38"/>
  <c r="J31"/>
  <c r="K30"/>
  <c r="M24" i="51" l="1"/>
  <c r="N22"/>
  <c r="L39"/>
  <c r="M38"/>
  <c r="M15"/>
  <c r="M17" s="1"/>
  <c r="M19" s="1"/>
  <c r="M20" s="1"/>
  <c r="N13"/>
  <c r="K31"/>
  <c r="L30"/>
  <c r="K31" i="50"/>
  <c r="L30"/>
  <c r="K39"/>
  <c r="L38"/>
  <c r="N15"/>
  <c r="N17" s="1"/>
  <c r="N19" s="1"/>
  <c r="N20" s="1"/>
  <c r="O13"/>
  <c r="M24"/>
  <c r="N22"/>
  <c r="L31" i="51" l="1"/>
  <c r="M30"/>
  <c r="N15"/>
  <c r="N17" s="1"/>
  <c r="N19" s="1"/>
  <c r="N20" s="1"/>
  <c r="O13"/>
  <c r="M39"/>
  <c r="N38"/>
  <c r="N24"/>
  <c r="O22"/>
  <c r="N24" i="50"/>
  <c r="O22"/>
  <c r="O15"/>
  <c r="O17" s="1"/>
  <c r="O19" s="1"/>
  <c r="O20" s="1"/>
  <c r="P13"/>
  <c r="L39"/>
  <c r="M38"/>
  <c r="L31"/>
  <c r="M30"/>
  <c r="O24" i="51" l="1"/>
  <c r="P22"/>
  <c r="O15"/>
  <c r="O17" s="1"/>
  <c r="O19" s="1"/>
  <c r="O20" s="1"/>
  <c r="P13"/>
  <c r="N39"/>
  <c r="O38"/>
  <c r="M31"/>
  <c r="N30"/>
  <c r="M39" i="50"/>
  <c r="N38"/>
  <c r="P15"/>
  <c r="P17" s="1"/>
  <c r="P19" s="1"/>
  <c r="P20" s="1"/>
  <c r="Q13"/>
  <c r="O24"/>
  <c r="P22"/>
  <c r="M31"/>
  <c r="N30"/>
  <c r="N31" i="51" l="1"/>
  <c r="O30"/>
  <c r="O39"/>
  <c r="P38"/>
  <c r="P15"/>
  <c r="P17" s="1"/>
  <c r="P19" s="1"/>
  <c r="P20" s="1"/>
  <c r="Q13"/>
  <c r="P24"/>
  <c r="Q22"/>
  <c r="N31" i="50"/>
  <c r="O30"/>
  <c r="P24"/>
  <c r="Q22"/>
  <c r="Q15"/>
  <c r="Q17" s="1"/>
  <c r="Q19" s="1"/>
  <c r="Q20" s="1"/>
  <c r="R13"/>
  <c r="N39"/>
  <c r="O38"/>
  <c r="Q24" i="51" l="1"/>
  <c r="R22"/>
  <c r="Q15"/>
  <c r="Q17" s="1"/>
  <c r="Q19" s="1"/>
  <c r="Q20" s="1"/>
  <c r="R13"/>
  <c r="P39"/>
  <c r="Q38"/>
  <c r="O31"/>
  <c r="P30"/>
  <c r="O39" i="50"/>
  <c r="P38"/>
  <c r="R15"/>
  <c r="R17" s="1"/>
  <c r="R19" s="1"/>
  <c r="R20" s="1"/>
  <c r="S13"/>
  <c r="Q24"/>
  <c r="R22"/>
  <c r="O31"/>
  <c r="P30"/>
  <c r="P31" i="51" l="1"/>
  <c r="Q30"/>
  <c r="Q39"/>
  <c r="R38"/>
  <c r="R15"/>
  <c r="R17" s="1"/>
  <c r="R19" s="1"/>
  <c r="R20" s="1"/>
  <c r="S13"/>
  <c r="R24"/>
  <c r="S22"/>
  <c r="P31" i="50"/>
  <c r="Q30"/>
  <c r="R24"/>
  <c r="S22"/>
  <c r="S15"/>
  <c r="T13"/>
  <c r="U13" s="1"/>
  <c r="V13" s="1"/>
  <c r="W13" s="1"/>
  <c r="X13" s="1"/>
  <c r="Y13" s="1"/>
  <c r="Z13" s="1"/>
  <c r="AA13" s="1"/>
  <c r="AB13" s="1"/>
  <c r="AC13" s="1"/>
  <c r="P39"/>
  <c r="Q38"/>
  <c r="S24" i="51" l="1"/>
  <c r="T22"/>
  <c r="S15"/>
  <c r="T13"/>
  <c r="U13" s="1"/>
  <c r="V13" s="1"/>
  <c r="W13" s="1"/>
  <c r="X13" s="1"/>
  <c r="Y13" s="1"/>
  <c r="Z13" s="1"/>
  <c r="AA13" s="1"/>
  <c r="AB13" s="1"/>
  <c r="AC13" s="1"/>
  <c r="Q31"/>
  <c r="R30"/>
  <c r="R39"/>
  <c r="S38"/>
  <c r="Q39" i="50"/>
  <c r="R38"/>
  <c r="S17"/>
  <c r="T15"/>
  <c r="U15" s="1"/>
  <c r="V15" s="1"/>
  <c r="W15" s="1"/>
  <c r="X15" s="1"/>
  <c r="Y15" s="1"/>
  <c r="Z15" s="1"/>
  <c r="AA15" s="1"/>
  <c r="AB15" s="1"/>
  <c r="AC15" s="1"/>
  <c r="S24"/>
  <c r="T22"/>
  <c r="Q31"/>
  <c r="R30"/>
  <c r="S39" i="51" l="1"/>
  <c r="T39" s="1"/>
  <c r="U39" s="1"/>
  <c r="V39" s="1"/>
  <c r="W39" s="1"/>
  <c r="X39" s="1"/>
  <c r="Y39" s="1"/>
  <c r="Z39" s="1"/>
  <c r="AA39" s="1"/>
  <c r="AB39" s="1"/>
  <c r="AC39" s="1"/>
  <c r="T38"/>
  <c r="U38" s="1"/>
  <c r="V38" s="1"/>
  <c r="W38" s="1"/>
  <c r="X38" s="1"/>
  <c r="Y38" s="1"/>
  <c r="Z38" s="1"/>
  <c r="AA38" s="1"/>
  <c r="AB38" s="1"/>
  <c r="AC38" s="1"/>
  <c r="R31"/>
  <c r="S30"/>
  <c r="T24"/>
  <c r="U22"/>
  <c r="S17"/>
  <c r="T15"/>
  <c r="U15" s="1"/>
  <c r="V15" s="1"/>
  <c r="W15" s="1"/>
  <c r="X15" s="1"/>
  <c r="Y15" s="1"/>
  <c r="Z15" s="1"/>
  <c r="AA15" s="1"/>
  <c r="AB15" s="1"/>
  <c r="AC15" s="1"/>
  <c r="R31" i="50"/>
  <c r="S30"/>
  <c r="T24"/>
  <c r="U22"/>
  <c r="R39"/>
  <c r="S38"/>
  <c r="S19"/>
  <c r="T17"/>
  <c r="U17" s="1"/>
  <c r="V17" s="1"/>
  <c r="W17" s="1"/>
  <c r="X17" s="1"/>
  <c r="Y17" s="1"/>
  <c r="Z17" s="1"/>
  <c r="AA17" s="1"/>
  <c r="AB17" s="1"/>
  <c r="AC17" s="1"/>
  <c r="U24" i="51" l="1"/>
  <c r="V22"/>
  <c r="S31"/>
  <c r="T31" s="1"/>
  <c r="U31" s="1"/>
  <c r="V31" s="1"/>
  <c r="W31" s="1"/>
  <c r="X31" s="1"/>
  <c r="Y31" s="1"/>
  <c r="Z31" s="1"/>
  <c r="AA31" s="1"/>
  <c r="AB31" s="1"/>
  <c r="AC31" s="1"/>
  <c r="T30"/>
  <c r="U30" s="1"/>
  <c r="V30" s="1"/>
  <c r="W30" s="1"/>
  <c r="X30" s="1"/>
  <c r="Y30" s="1"/>
  <c r="Z30" s="1"/>
  <c r="AA30" s="1"/>
  <c r="AB30" s="1"/>
  <c r="AC30" s="1"/>
  <c r="S19"/>
  <c r="T17"/>
  <c r="U17" s="1"/>
  <c r="V17" s="1"/>
  <c r="W17" s="1"/>
  <c r="X17" s="1"/>
  <c r="Y17" s="1"/>
  <c r="Z17" s="1"/>
  <c r="AA17" s="1"/>
  <c r="AB17" s="1"/>
  <c r="AC17" s="1"/>
  <c r="S39" i="50"/>
  <c r="T39" s="1"/>
  <c r="U39" s="1"/>
  <c r="V39" s="1"/>
  <c r="W39" s="1"/>
  <c r="X39" s="1"/>
  <c r="Y39" s="1"/>
  <c r="Z39" s="1"/>
  <c r="AA39" s="1"/>
  <c r="AB39" s="1"/>
  <c r="AC39" s="1"/>
  <c r="T38"/>
  <c r="U38" s="1"/>
  <c r="V38" s="1"/>
  <c r="W38" s="1"/>
  <c r="X38" s="1"/>
  <c r="Y38" s="1"/>
  <c r="Z38" s="1"/>
  <c r="AA38" s="1"/>
  <c r="AB38" s="1"/>
  <c r="AC38" s="1"/>
  <c r="U24"/>
  <c r="V22"/>
  <c r="S31"/>
  <c r="T31" s="1"/>
  <c r="U31" s="1"/>
  <c r="V31" s="1"/>
  <c r="W31" s="1"/>
  <c r="X31" s="1"/>
  <c r="Y31" s="1"/>
  <c r="Z31" s="1"/>
  <c r="AA31" s="1"/>
  <c r="AB31" s="1"/>
  <c r="AC31" s="1"/>
  <c r="T30"/>
  <c r="U30" s="1"/>
  <c r="V30" s="1"/>
  <c r="W30" s="1"/>
  <c r="X30" s="1"/>
  <c r="Y30" s="1"/>
  <c r="Z30" s="1"/>
  <c r="AA30" s="1"/>
  <c r="AB30" s="1"/>
  <c r="AC30" s="1"/>
  <c r="S20"/>
  <c r="T20" s="1"/>
  <c r="U20" s="1"/>
  <c r="V20" s="1"/>
  <c r="W20" s="1"/>
  <c r="X20" s="1"/>
  <c r="Y20" s="1"/>
  <c r="Z20" s="1"/>
  <c r="AA20" s="1"/>
  <c r="AB20" s="1"/>
  <c r="AC20" s="1"/>
  <c r="T19"/>
  <c r="U19" s="1"/>
  <c r="V19" s="1"/>
  <c r="W19" s="1"/>
  <c r="X19" s="1"/>
  <c r="Y19" s="1"/>
  <c r="Z19" s="1"/>
  <c r="AA19" s="1"/>
  <c r="AB19" s="1"/>
  <c r="AC19" s="1"/>
  <c r="V24" i="51" l="1"/>
  <c r="W22"/>
  <c r="S20"/>
  <c r="T20" s="1"/>
  <c r="U20" s="1"/>
  <c r="V20" s="1"/>
  <c r="W20" s="1"/>
  <c r="X20" s="1"/>
  <c r="Y20" s="1"/>
  <c r="Z20" s="1"/>
  <c r="AA20" s="1"/>
  <c r="AB20" s="1"/>
  <c r="AC20" s="1"/>
  <c r="T19"/>
  <c r="U19" s="1"/>
  <c r="V19" s="1"/>
  <c r="W19" s="1"/>
  <c r="X19" s="1"/>
  <c r="Y19" s="1"/>
  <c r="Z19" s="1"/>
  <c r="AA19" s="1"/>
  <c r="AB19" s="1"/>
  <c r="AC19" s="1"/>
  <c r="V24" i="50"/>
  <c r="W22"/>
  <c r="W24" i="51" l="1"/>
  <c r="X22"/>
  <c r="W24" i="50"/>
  <c r="X22"/>
  <c r="X24" i="51" l="1"/>
  <c r="Y22"/>
  <c r="X24" i="50"/>
  <c r="Y22"/>
  <c r="Y24" i="51" l="1"/>
  <c r="Z22"/>
  <c r="Y24" i="50"/>
  <c r="Z22"/>
  <c r="Z24" i="51" l="1"/>
  <c r="AA22"/>
  <c r="Z24" i="50"/>
  <c r="AA22"/>
  <c r="AA24" i="51" l="1"/>
  <c r="AB22"/>
  <c r="AA24" i="50"/>
  <c r="AB22"/>
  <c r="AB24" i="51" l="1"/>
  <c r="AC22"/>
  <c r="AC24" s="1"/>
  <c r="AB24" i="50"/>
  <c r="AC22"/>
  <c r="AC24" s="1"/>
  <c r="C83" i="48" l="1"/>
  <c r="AD82"/>
  <c r="AC82"/>
  <c r="AB82"/>
  <c r="AA82"/>
  <c r="Z82"/>
  <c r="Y82"/>
  <c r="X82"/>
  <c r="W82"/>
  <c r="V82"/>
  <c r="U82"/>
  <c r="T82"/>
  <c r="S82"/>
  <c r="R82"/>
  <c r="Q82"/>
  <c r="P82"/>
  <c r="O82"/>
  <c r="N82"/>
  <c r="M82"/>
  <c r="L82"/>
  <c r="K82"/>
  <c r="J82"/>
  <c r="AD81"/>
  <c r="AC81"/>
  <c r="AB81"/>
  <c r="AA81"/>
  <c r="Z81"/>
  <c r="Y81"/>
  <c r="X81"/>
  <c r="W81"/>
  <c r="V81"/>
  <c r="U81"/>
  <c r="T81"/>
  <c r="S81"/>
  <c r="R81"/>
  <c r="Q81"/>
  <c r="P81"/>
  <c r="O81"/>
  <c r="N81"/>
  <c r="M81"/>
  <c r="L81"/>
  <c r="K81"/>
  <c r="J81"/>
  <c r="I81"/>
  <c r="AD80"/>
  <c r="AC80"/>
  <c r="AB80"/>
  <c r="AA80"/>
  <c r="Z80"/>
  <c r="Y80"/>
  <c r="X80"/>
  <c r="W80"/>
  <c r="V80"/>
  <c r="U80"/>
  <c r="T80"/>
  <c r="S80"/>
  <c r="R80"/>
  <c r="Q80"/>
  <c r="P80"/>
  <c r="O80"/>
  <c r="N80"/>
  <c r="M80"/>
  <c r="L80"/>
  <c r="K80"/>
  <c r="J80"/>
  <c r="I80"/>
  <c r="H80"/>
  <c r="AD79"/>
  <c r="AC79"/>
  <c r="AB79"/>
  <c r="AA79"/>
  <c r="Z79"/>
  <c r="Y79"/>
  <c r="X79"/>
  <c r="W79"/>
  <c r="V79"/>
  <c r="U79"/>
  <c r="T79"/>
  <c r="S79"/>
  <c r="R79"/>
  <c r="Q79"/>
  <c r="P79"/>
  <c r="O79"/>
  <c r="N79"/>
  <c r="M79"/>
  <c r="L79"/>
  <c r="K79"/>
  <c r="J79"/>
  <c r="I79"/>
  <c r="H79"/>
  <c r="G79"/>
  <c r="AD78"/>
  <c r="AC78"/>
  <c r="AB78"/>
  <c r="AA78"/>
  <c r="Z78"/>
  <c r="Y78"/>
  <c r="X78"/>
  <c r="W78"/>
  <c r="V78"/>
  <c r="U78"/>
  <c r="T78"/>
  <c r="S78"/>
  <c r="R78"/>
  <c r="Q78"/>
  <c r="P78"/>
  <c r="O78"/>
  <c r="N78"/>
  <c r="M78"/>
  <c r="L78"/>
  <c r="K78"/>
  <c r="J78"/>
  <c r="I78"/>
  <c r="H78"/>
  <c r="G78"/>
  <c r="F78"/>
  <c r="AD77"/>
  <c r="AD83" s="1"/>
  <c r="AC77"/>
  <c r="AC83" s="1"/>
  <c r="AB77"/>
  <c r="AB83" s="1"/>
  <c r="AA77"/>
  <c r="AA83" s="1"/>
  <c r="Z77"/>
  <c r="Z83" s="1"/>
  <c r="Y77"/>
  <c r="Y83" s="1"/>
  <c r="X77"/>
  <c r="X83" s="1"/>
  <c r="W77"/>
  <c r="W83" s="1"/>
  <c r="V77"/>
  <c r="V83" s="1"/>
  <c r="U77"/>
  <c r="U83" s="1"/>
  <c r="T77"/>
  <c r="T83" s="1"/>
  <c r="S77"/>
  <c r="S83" s="1"/>
  <c r="R77"/>
  <c r="R83" s="1"/>
  <c r="Q77"/>
  <c r="Q83" s="1"/>
  <c r="P77"/>
  <c r="P83" s="1"/>
  <c r="O77"/>
  <c r="O83" s="1"/>
  <c r="N77"/>
  <c r="N83" s="1"/>
  <c r="M77"/>
  <c r="M83" s="1"/>
  <c r="L77"/>
  <c r="L83" s="1"/>
  <c r="K77"/>
  <c r="K83" s="1"/>
  <c r="J77"/>
  <c r="J83" s="1"/>
  <c r="I77"/>
  <c r="I83" s="1"/>
  <c r="H77"/>
  <c r="H83" s="1"/>
  <c r="G77"/>
  <c r="G83" s="1"/>
  <c r="F77"/>
  <c r="F83" s="1"/>
  <c r="E77"/>
  <c r="E83" s="1"/>
  <c r="E63"/>
  <c r="C48"/>
  <c r="E48" s="1"/>
  <c r="E88" s="1"/>
  <c r="C47"/>
  <c r="C44"/>
  <c r="F47"/>
  <c r="F48" l="1"/>
  <c r="F88" s="1"/>
  <c r="AB47"/>
  <c r="AB48" s="1"/>
  <c r="AB88" s="1"/>
  <c r="G47"/>
  <c r="G48" s="1"/>
  <c r="G88" s="1"/>
  <c r="I47"/>
  <c r="I48" s="1"/>
  <c r="I88" s="1"/>
  <c r="K47"/>
  <c r="K48" s="1"/>
  <c r="K88" s="1"/>
  <c r="M47"/>
  <c r="M48" s="1"/>
  <c r="M88" s="1"/>
  <c r="O47"/>
  <c r="O48" s="1"/>
  <c r="O88" s="1"/>
  <c r="Q47"/>
  <c r="Q48" s="1"/>
  <c r="Q88" s="1"/>
  <c r="S47"/>
  <c r="S48" s="1"/>
  <c r="S88" s="1"/>
  <c r="U47"/>
  <c r="U48" s="1"/>
  <c r="U88" s="1"/>
  <c r="W47"/>
  <c r="W48" s="1"/>
  <c r="W88" s="1"/>
  <c r="Y47"/>
  <c r="Y48" s="1"/>
  <c r="Y88" s="1"/>
  <c r="AA47"/>
  <c r="AA48" s="1"/>
  <c r="AA88" s="1"/>
  <c r="AC47"/>
  <c r="AC48" s="1"/>
  <c r="AC88" s="1"/>
  <c r="E44"/>
  <c r="H47"/>
  <c r="H48" s="1"/>
  <c r="H88" s="1"/>
  <c r="J47"/>
  <c r="J48" s="1"/>
  <c r="J88" s="1"/>
  <c r="L47"/>
  <c r="L48" s="1"/>
  <c r="L88" s="1"/>
  <c r="N47"/>
  <c r="N48" s="1"/>
  <c r="N88" s="1"/>
  <c r="P47"/>
  <c r="P48" s="1"/>
  <c r="P88" s="1"/>
  <c r="R47"/>
  <c r="R48" s="1"/>
  <c r="R88" s="1"/>
  <c r="T47"/>
  <c r="T48" s="1"/>
  <c r="T88" s="1"/>
  <c r="V47"/>
  <c r="V48" s="1"/>
  <c r="V88" s="1"/>
  <c r="X47"/>
  <c r="X48" s="1"/>
  <c r="X88" s="1"/>
  <c r="Z47"/>
  <c r="Z48" s="1"/>
  <c r="Z88" s="1"/>
  <c r="C66" l="1"/>
  <c r="C68" s="1"/>
  <c r="C71" s="1"/>
  <c r="E50" l="1"/>
  <c r="E52" l="1"/>
  <c r="C144" i="19"/>
  <c r="L77" i="11"/>
  <c r="M77"/>
  <c r="N77"/>
  <c r="O77"/>
  <c r="P77"/>
  <c r="Q77"/>
  <c r="R77"/>
  <c r="S77"/>
  <c r="T77"/>
  <c r="U77"/>
  <c r="V77"/>
  <c r="W77"/>
  <c r="X77"/>
  <c r="Y77"/>
  <c r="Z77"/>
  <c r="AA77"/>
  <c r="AB77"/>
  <c r="AC77"/>
  <c r="AD77"/>
  <c r="L78"/>
  <c r="M78"/>
  <c r="N78"/>
  <c r="O78"/>
  <c r="P78"/>
  <c r="Q78"/>
  <c r="R78"/>
  <c r="S78"/>
  <c r="T78"/>
  <c r="U78"/>
  <c r="V78"/>
  <c r="W78"/>
  <c r="X78"/>
  <c r="Y78"/>
  <c r="Z78"/>
  <c r="AA78"/>
  <c r="AB78"/>
  <c r="AC78"/>
  <c r="AD78"/>
  <c r="L79"/>
  <c r="M79"/>
  <c r="N79"/>
  <c r="O79"/>
  <c r="P79"/>
  <c r="Q79"/>
  <c r="R79"/>
  <c r="S79"/>
  <c r="T79"/>
  <c r="U79"/>
  <c r="V79"/>
  <c r="W79"/>
  <c r="X79"/>
  <c r="Y79"/>
  <c r="Z79"/>
  <c r="AA79"/>
  <c r="AB79"/>
  <c r="AC79"/>
  <c r="AD79"/>
  <c r="L80"/>
  <c r="M80"/>
  <c r="N80"/>
  <c r="O80"/>
  <c r="P80"/>
  <c r="Q80"/>
  <c r="R80"/>
  <c r="S80"/>
  <c r="T80"/>
  <c r="U80"/>
  <c r="V80"/>
  <c r="W80"/>
  <c r="X80"/>
  <c r="Y80"/>
  <c r="Z80"/>
  <c r="AA80"/>
  <c r="AB80"/>
  <c r="AC80"/>
  <c r="AD80"/>
  <c r="L81"/>
  <c r="M81"/>
  <c r="N81"/>
  <c r="O81"/>
  <c r="P81"/>
  <c r="Q81"/>
  <c r="R81"/>
  <c r="S81"/>
  <c r="T81"/>
  <c r="U81"/>
  <c r="V81"/>
  <c r="W81"/>
  <c r="X81"/>
  <c r="Y81"/>
  <c r="Z81"/>
  <c r="AA81"/>
  <c r="AB81"/>
  <c r="AC81"/>
  <c r="AD81"/>
  <c r="L82"/>
  <c r="M82"/>
  <c r="N82"/>
  <c r="O82"/>
  <c r="P82"/>
  <c r="Q82"/>
  <c r="R82"/>
  <c r="S82"/>
  <c r="T82"/>
  <c r="U82"/>
  <c r="V82"/>
  <c r="W82"/>
  <c r="X82"/>
  <c r="Y82"/>
  <c r="Z82"/>
  <c r="AA82"/>
  <c r="AB82"/>
  <c r="AC82"/>
  <c r="AD82"/>
  <c r="K82"/>
  <c r="J81"/>
  <c r="K81"/>
  <c r="I80"/>
  <c r="J80"/>
  <c r="K80"/>
  <c r="H79"/>
  <c r="I79"/>
  <c r="J79"/>
  <c r="K79"/>
  <c r="G78"/>
  <c r="H78"/>
  <c r="I78"/>
  <c r="J78"/>
  <c r="K78"/>
  <c r="J82"/>
  <c r="I81"/>
  <c r="H80"/>
  <c r="G79"/>
  <c r="F78"/>
  <c r="G77"/>
  <c r="H77"/>
  <c r="I77"/>
  <c r="J77"/>
  <c r="K77"/>
  <c r="F77"/>
  <c r="E77"/>
  <c r="B90"/>
  <c r="B88"/>
  <c r="B86"/>
  <c r="C83"/>
  <c r="AC83"/>
  <c r="Y83"/>
  <c r="U83"/>
  <c r="Q83"/>
  <c r="O83"/>
  <c r="M83"/>
  <c r="K83"/>
  <c r="I83"/>
  <c r="G83"/>
  <c r="E83"/>
  <c r="J138" i="19"/>
  <c r="K138"/>
  <c r="L138"/>
  <c r="M138"/>
  <c r="N138"/>
  <c r="O138"/>
  <c r="P138"/>
  <c r="Q138"/>
  <c r="R138"/>
  <c r="S138"/>
  <c r="T138"/>
  <c r="U138"/>
  <c r="V138"/>
  <c r="W138"/>
  <c r="X138"/>
  <c r="Y138"/>
  <c r="Z138"/>
  <c r="AA138"/>
  <c r="AB138"/>
  <c r="AC138"/>
  <c r="J139"/>
  <c r="K139"/>
  <c r="L139"/>
  <c r="M139"/>
  <c r="N139"/>
  <c r="O139"/>
  <c r="P139"/>
  <c r="Q139"/>
  <c r="R139"/>
  <c r="S139"/>
  <c r="T139"/>
  <c r="U139"/>
  <c r="V139"/>
  <c r="W139"/>
  <c r="X139"/>
  <c r="Y139"/>
  <c r="Z139"/>
  <c r="AA139"/>
  <c r="AB139"/>
  <c r="AC139"/>
  <c r="J140"/>
  <c r="K140"/>
  <c r="L140"/>
  <c r="M140"/>
  <c r="N140"/>
  <c r="O140"/>
  <c r="P140"/>
  <c r="Q140"/>
  <c r="R140"/>
  <c r="S140"/>
  <c r="T140"/>
  <c r="U140"/>
  <c r="V140"/>
  <c r="W140"/>
  <c r="X140"/>
  <c r="Y140"/>
  <c r="Z140"/>
  <c r="AA140"/>
  <c r="AB140"/>
  <c r="AC140"/>
  <c r="J141"/>
  <c r="K141"/>
  <c r="L141"/>
  <c r="M141"/>
  <c r="N141"/>
  <c r="O141"/>
  <c r="P141"/>
  <c r="Q141"/>
  <c r="R141"/>
  <c r="S141"/>
  <c r="T141"/>
  <c r="U141"/>
  <c r="V141"/>
  <c r="W141"/>
  <c r="X141"/>
  <c r="Y141"/>
  <c r="Z141"/>
  <c r="AA141"/>
  <c r="AB141"/>
  <c r="AC141"/>
  <c r="J142"/>
  <c r="K142"/>
  <c r="L142"/>
  <c r="M142"/>
  <c r="N142"/>
  <c r="O142"/>
  <c r="P142"/>
  <c r="Q142"/>
  <c r="R142"/>
  <c r="S142"/>
  <c r="T142"/>
  <c r="U142"/>
  <c r="V142"/>
  <c r="W142"/>
  <c r="X142"/>
  <c r="Y142"/>
  <c r="Z142"/>
  <c r="AA142"/>
  <c r="AB142"/>
  <c r="AC142"/>
  <c r="J143"/>
  <c r="J144" s="1"/>
  <c r="K143"/>
  <c r="K144" s="1"/>
  <c r="L143"/>
  <c r="L144" s="1"/>
  <c r="M143"/>
  <c r="M144" s="1"/>
  <c r="N143"/>
  <c r="O143"/>
  <c r="P143"/>
  <c r="Q143"/>
  <c r="R143"/>
  <c r="S143"/>
  <c r="T143"/>
  <c r="U143"/>
  <c r="V143"/>
  <c r="W143"/>
  <c r="X143"/>
  <c r="Y143"/>
  <c r="Z143"/>
  <c r="AA143"/>
  <c r="AB143"/>
  <c r="AC143"/>
  <c r="I142"/>
  <c r="I143"/>
  <c r="H142"/>
  <c r="H141"/>
  <c r="I141"/>
  <c r="G141"/>
  <c r="G140"/>
  <c r="H140"/>
  <c r="I140"/>
  <c r="F140"/>
  <c r="F139"/>
  <c r="G139"/>
  <c r="H139"/>
  <c r="I139"/>
  <c r="E139"/>
  <c r="E138"/>
  <c r="F138"/>
  <c r="G138"/>
  <c r="H138"/>
  <c r="I138"/>
  <c r="D138"/>
  <c r="D144" s="1"/>
  <c r="D131"/>
  <c r="E131"/>
  <c r="F131"/>
  <c r="G131"/>
  <c r="H131"/>
  <c r="I131"/>
  <c r="J131"/>
  <c r="AA83" i="11" l="1"/>
  <c r="W83"/>
  <c r="S83"/>
  <c r="F83"/>
  <c r="H83"/>
  <c r="J83"/>
  <c r="L83"/>
  <c r="N83"/>
  <c r="P83"/>
  <c r="R83"/>
  <c r="T83"/>
  <c r="V83"/>
  <c r="X83"/>
  <c r="Z83"/>
  <c r="AB83"/>
  <c r="AD83"/>
  <c r="AB144" i="19"/>
  <c r="Z144"/>
  <c r="X144"/>
  <c r="V144"/>
  <c r="T144"/>
  <c r="R144"/>
  <c r="P144"/>
  <c r="N144"/>
  <c r="AC144"/>
  <c r="AA144"/>
  <c r="Y144"/>
  <c r="W144"/>
  <c r="U144"/>
  <c r="S144"/>
  <c r="Q144"/>
  <c r="O144"/>
  <c r="E144"/>
  <c r="F144"/>
  <c r="G144"/>
  <c r="I144"/>
  <c r="H144"/>
  <c r="K130"/>
  <c r="K131" s="1"/>
  <c r="C133"/>
  <c r="J134" s="1"/>
  <c r="J148" s="1"/>
  <c r="J155" s="1"/>
  <c r="G134" l="1"/>
  <c r="G148" s="1"/>
  <c r="G155" s="1"/>
  <c r="D134"/>
  <c r="D148" s="1"/>
  <c r="D155" s="1"/>
  <c r="H134"/>
  <c r="E134"/>
  <c r="E148" s="1"/>
  <c r="E155" s="1"/>
  <c r="I134"/>
  <c r="I148" s="1"/>
  <c r="I155" s="1"/>
  <c r="F134"/>
  <c r="F148" s="1"/>
  <c r="F155" s="1"/>
  <c r="H148"/>
  <c r="H155" s="1"/>
  <c r="K134"/>
  <c r="K148" s="1"/>
  <c r="K155" s="1"/>
  <c r="L130"/>
  <c r="L131" s="1"/>
  <c r="L134" l="1"/>
  <c r="L148" s="1"/>
  <c r="L155" s="1"/>
  <c r="M130"/>
  <c r="M131" s="1"/>
  <c r="N130" l="1"/>
  <c r="N131" s="1"/>
  <c r="M134"/>
  <c r="M148" s="1"/>
  <c r="M155" s="1"/>
  <c r="O130" l="1"/>
  <c r="O131" s="1"/>
  <c r="N134"/>
  <c r="N148" s="1"/>
  <c r="N155" s="1"/>
  <c r="P130" l="1"/>
  <c r="P131" s="1"/>
  <c r="O134"/>
  <c r="O148" s="1"/>
  <c r="O155" s="1"/>
  <c r="Q130" l="1"/>
  <c r="Q131" s="1"/>
  <c r="P134"/>
  <c r="P148" s="1"/>
  <c r="P155" s="1"/>
  <c r="R130" l="1"/>
  <c r="R131" s="1"/>
  <c r="Q134"/>
  <c r="Q148" s="1"/>
  <c r="Q155" s="1"/>
  <c r="S130" l="1"/>
  <c r="S131" s="1"/>
  <c r="R134"/>
  <c r="R148" s="1"/>
  <c r="R155" s="1"/>
  <c r="T130" l="1"/>
  <c r="T131" s="1"/>
  <c r="S134"/>
  <c r="S148" s="1"/>
  <c r="S155" s="1"/>
  <c r="U130" l="1"/>
  <c r="U131" s="1"/>
  <c r="T134"/>
  <c r="T148" s="1"/>
  <c r="T155" s="1"/>
  <c r="V130" l="1"/>
  <c r="V131" s="1"/>
  <c r="U134"/>
  <c r="U148" s="1"/>
  <c r="U155" s="1"/>
  <c r="W130" l="1"/>
  <c r="W131" s="1"/>
  <c r="V134"/>
  <c r="V148" s="1"/>
  <c r="V155" s="1"/>
  <c r="X130" l="1"/>
  <c r="X131" s="1"/>
  <c r="W134"/>
  <c r="W148" s="1"/>
  <c r="W155" s="1"/>
  <c r="Y130" l="1"/>
  <c r="Y131" s="1"/>
  <c r="X134"/>
  <c r="X148" s="1"/>
  <c r="X155" s="1"/>
  <c r="Z130" l="1"/>
  <c r="Z131" s="1"/>
  <c r="Y134"/>
  <c r="Y148" s="1"/>
  <c r="Y155" s="1"/>
  <c r="AA130" l="1"/>
  <c r="AA131" s="1"/>
  <c r="Z134"/>
  <c r="Z148" s="1"/>
  <c r="Z155" s="1"/>
  <c r="AB130" l="1"/>
  <c r="AB131" s="1"/>
  <c r="AA134"/>
  <c r="AA148" s="1"/>
  <c r="AA155" s="1"/>
  <c r="AC130" l="1"/>
  <c r="AB134"/>
  <c r="AB148" s="1"/>
  <c r="AB155" s="1"/>
  <c r="AC134" l="1"/>
  <c r="AC148" s="1"/>
  <c r="AC155" s="1"/>
  <c r="AC131"/>
  <c r="E121"/>
  <c r="F121"/>
  <c r="G121"/>
  <c r="H121"/>
  <c r="I121"/>
  <c r="J121"/>
  <c r="K121"/>
  <c r="L121"/>
  <c r="M121"/>
  <c r="N121"/>
  <c r="O121"/>
  <c r="P121"/>
  <c r="Q121"/>
  <c r="R121"/>
  <c r="S121"/>
  <c r="T121"/>
  <c r="U121"/>
  <c r="V121"/>
  <c r="W121"/>
  <c r="X121"/>
  <c r="Y121"/>
  <c r="Z121"/>
  <c r="AA121"/>
  <c r="AB121"/>
  <c r="AC121"/>
  <c r="D121"/>
  <c r="J20" i="45" l="1"/>
  <c r="E27" i="46" l="1"/>
  <c r="K37" i="48"/>
  <c r="L37" s="1"/>
  <c r="M37" s="1"/>
  <c r="N37" s="1"/>
  <c r="O37" s="1"/>
  <c r="P37" s="1"/>
  <c r="Q37" s="1"/>
  <c r="R37" s="1"/>
  <c r="S37" s="1"/>
  <c r="T37" s="1"/>
  <c r="U37" s="1"/>
  <c r="V37" s="1"/>
  <c r="W37" s="1"/>
  <c r="X37" s="1"/>
  <c r="Y37" s="1"/>
  <c r="Z37" s="1"/>
  <c r="AA37" s="1"/>
  <c r="AB37" s="1"/>
  <c r="AC37" s="1"/>
  <c r="J36"/>
  <c r="J38" s="1"/>
  <c r="H36"/>
  <c r="H38" s="1"/>
  <c r="H39" s="1"/>
  <c r="F36"/>
  <c r="F38" s="1"/>
  <c r="F39" s="1"/>
  <c r="M35"/>
  <c r="N35" s="1"/>
  <c r="O35" s="1"/>
  <c r="P35" s="1"/>
  <c r="Q35" s="1"/>
  <c r="R35" s="1"/>
  <c r="S35" s="1"/>
  <c r="T35" s="1"/>
  <c r="U35" s="1"/>
  <c r="V35" s="1"/>
  <c r="W35" s="1"/>
  <c r="X35" s="1"/>
  <c r="Y35" s="1"/>
  <c r="Z35" s="1"/>
  <c r="AA35" s="1"/>
  <c r="AB35" s="1"/>
  <c r="AC35" s="1"/>
  <c r="L35"/>
  <c r="K34"/>
  <c r="K36" s="1"/>
  <c r="L36" s="1"/>
  <c r="M36" s="1"/>
  <c r="N36" s="1"/>
  <c r="O36" s="1"/>
  <c r="P36" s="1"/>
  <c r="Q36" s="1"/>
  <c r="R36" s="1"/>
  <c r="S36" s="1"/>
  <c r="T36" s="1"/>
  <c r="U36" s="1"/>
  <c r="V36" s="1"/>
  <c r="W36" s="1"/>
  <c r="X36" s="1"/>
  <c r="Y36" s="1"/>
  <c r="Z36" s="1"/>
  <c r="AA36" s="1"/>
  <c r="AB36" s="1"/>
  <c r="AC36" s="1"/>
  <c r="J34"/>
  <c r="I34"/>
  <c r="I36" s="1"/>
  <c r="I38" s="1"/>
  <c r="I39" s="1"/>
  <c r="H34"/>
  <c r="G34"/>
  <c r="G36" s="1"/>
  <c r="G38" s="1"/>
  <c r="G39" s="1"/>
  <c r="F34"/>
  <c r="E34"/>
  <c r="E36" s="1"/>
  <c r="E38" s="1"/>
  <c r="E39" s="1"/>
  <c r="J33"/>
  <c r="K33" s="1"/>
  <c r="L33" s="1"/>
  <c r="M33" s="1"/>
  <c r="N33" s="1"/>
  <c r="O33" s="1"/>
  <c r="P33" s="1"/>
  <c r="Q33" s="1"/>
  <c r="R33" s="1"/>
  <c r="S33" s="1"/>
  <c r="T33" s="1"/>
  <c r="U33" s="1"/>
  <c r="V33" s="1"/>
  <c r="W33" s="1"/>
  <c r="X33" s="1"/>
  <c r="Y33" s="1"/>
  <c r="Z33" s="1"/>
  <c r="AA33" s="1"/>
  <c r="AB33" s="1"/>
  <c r="AC33" s="1"/>
  <c r="I33"/>
  <c r="H33"/>
  <c r="G33"/>
  <c r="F33"/>
  <c r="E33"/>
  <c r="K32"/>
  <c r="L32" s="1"/>
  <c r="M32" s="1"/>
  <c r="N32" s="1"/>
  <c r="O32" s="1"/>
  <c r="P32" s="1"/>
  <c r="Q32" s="1"/>
  <c r="R32" s="1"/>
  <c r="S32" s="1"/>
  <c r="T32" s="1"/>
  <c r="U32" s="1"/>
  <c r="V32" s="1"/>
  <c r="W32" s="1"/>
  <c r="X32" s="1"/>
  <c r="Y32" s="1"/>
  <c r="Z32" s="1"/>
  <c r="AA32" s="1"/>
  <c r="AB32" s="1"/>
  <c r="AC32" s="1"/>
  <c r="L29"/>
  <c r="M29" s="1"/>
  <c r="N29" s="1"/>
  <c r="O29" s="1"/>
  <c r="P29" s="1"/>
  <c r="Q29" s="1"/>
  <c r="R29" s="1"/>
  <c r="S29" s="1"/>
  <c r="T29" s="1"/>
  <c r="U29" s="1"/>
  <c r="V29" s="1"/>
  <c r="W29" s="1"/>
  <c r="X29" s="1"/>
  <c r="Y29" s="1"/>
  <c r="Z29" s="1"/>
  <c r="AA29" s="1"/>
  <c r="AB29" s="1"/>
  <c r="AC29" s="1"/>
  <c r="K29"/>
  <c r="I28"/>
  <c r="I30" s="1"/>
  <c r="I31" s="1"/>
  <c r="G28"/>
  <c r="G30" s="1"/>
  <c r="G31" s="1"/>
  <c r="E28"/>
  <c r="E30" s="1"/>
  <c r="E31" s="1"/>
  <c r="J27"/>
  <c r="J28" s="1"/>
  <c r="I27"/>
  <c r="H27"/>
  <c r="H28" s="1"/>
  <c r="H30" s="1"/>
  <c r="H31" s="1"/>
  <c r="G27"/>
  <c r="F27"/>
  <c r="F28" s="1"/>
  <c r="F30" s="1"/>
  <c r="F31" s="1"/>
  <c r="E27"/>
  <c r="K26"/>
  <c r="L26" s="1"/>
  <c r="M26" s="1"/>
  <c r="N26" s="1"/>
  <c r="O26" s="1"/>
  <c r="P26" s="1"/>
  <c r="Q26" s="1"/>
  <c r="R26" s="1"/>
  <c r="S26" s="1"/>
  <c r="T26" s="1"/>
  <c r="U26" s="1"/>
  <c r="V26" s="1"/>
  <c r="W26" s="1"/>
  <c r="X26" s="1"/>
  <c r="Y26" s="1"/>
  <c r="Z26" s="1"/>
  <c r="AA26" s="1"/>
  <c r="AB26" s="1"/>
  <c r="AC26" s="1"/>
  <c r="J24"/>
  <c r="I24"/>
  <c r="H24"/>
  <c r="G24"/>
  <c r="F24"/>
  <c r="E24"/>
  <c r="K22"/>
  <c r="T18"/>
  <c r="U18" s="1"/>
  <c r="V18" s="1"/>
  <c r="W18" s="1"/>
  <c r="X18" s="1"/>
  <c r="Y18" s="1"/>
  <c r="Z18" s="1"/>
  <c r="AA18" s="1"/>
  <c r="AB18" s="1"/>
  <c r="AC18" s="1"/>
  <c r="T16"/>
  <c r="U16" s="1"/>
  <c r="V16" s="1"/>
  <c r="W16" s="1"/>
  <c r="X16" s="1"/>
  <c r="Y16" s="1"/>
  <c r="Z16" s="1"/>
  <c r="AA16" s="1"/>
  <c r="AB16" s="1"/>
  <c r="AC16" s="1"/>
  <c r="J15"/>
  <c r="J17" s="1"/>
  <c r="J19" s="1"/>
  <c r="J20" s="1"/>
  <c r="I15"/>
  <c r="I17" s="1"/>
  <c r="I19" s="1"/>
  <c r="I20" s="1"/>
  <c r="H15"/>
  <c r="H17" s="1"/>
  <c r="H19" s="1"/>
  <c r="H20" s="1"/>
  <c r="G15"/>
  <c r="G17" s="1"/>
  <c r="G19" s="1"/>
  <c r="G20" s="1"/>
  <c r="F15"/>
  <c r="F17" s="1"/>
  <c r="F19" s="1"/>
  <c r="F20" s="1"/>
  <c r="E15"/>
  <c r="E17" s="1"/>
  <c r="E19" s="1"/>
  <c r="E20" s="1"/>
  <c r="U14"/>
  <c r="V14" s="1"/>
  <c r="W14" s="1"/>
  <c r="X14" s="1"/>
  <c r="Y14" s="1"/>
  <c r="Z14" s="1"/>
  <c r="AA14" s="1"/>
  <c r="AB14" s="1"/>
  <c r="AC14" s="1"/>
  <c r="T14"/>
  <c r="K13"/>
  <c r="K15" s="1"/>
  <c r="K17" s="1"/>
  <c r="K19" s="1"/>
  <c r="K20" s="1"/>
  <c r="T12"/>
  <c r="U12" s="1"/>
  <c r="V12" s="1"/>
  <c r="W12" s="1"/>
  <c r="X12" s="1"/>
  <c r="Y12" s="1"/>
  <c r="Z12" s="1"/>
  <c r="AA12" s="1"/>
  <c r="AB12" s="1"/>
  <c r="AC12" s="1"/>
  <c r="K11"/>
  <c r="L11" s="1"/>
  <c r="M11" s="1"/>
  <c r="N11" s="1"/>
  <c r="O11" s="1"/>
  <c r="P11" s="1"/>
  <c r="Q11" s="1"/>
  <c r="R11" s="1"/>
  <c r="S11" s="1"/>
  <c r="T11" s="1"/>
  <c r="U11" s="1"/>
  <c r="V11" s="1"/>
  <c r="W11" s="1"/>
  <c r="X11" s="1"/>
  <c r="Y11" s="1"/>
  <c r="Z11" s="1"/>
  <c r="AA11" s="1"/>
  <c r="AB11" s="1"/>
  <c r="AC11" s="1"/>
  <c r="E7"/>
  <c r="F7" s="1"/>
  <c r="G7" s="1"/>
  <c r="H7" s="1"/>
  <c r="I7" s="1"/>
  <c r="J7" s="1"/>
  <c r="K7" s="1"/>
  <c r="L7" s="1"/>
  <c r="M7" s="1"/>
  <c r="N7" s="1"/>
  <c r="O7" s="1"/>
  <c r="P7" s="1"/>
  <c r="Q7" s="1"/>
  <c r="R7" s="1"/>
  <c r="S7" s="1"/>
  <c r="T7" s="1"/>
  <c r="U7" s="1"/>
  <c r="V7" s="1"/>
  <c r="W7" s="1"/>
  <c r="X7" s="1"/>
  <c r="Y7" s="1"/>
  <c r="Z7" s="1"/>
  <c r="AA7" s="1"/>
  <c r="AB7" s="1"/>
  <c r="AC7" s="1"/>
  <c r="H40"/>
  <c r="F40"/>
  <c r="K4"/>
  <c r="L4" s="1"/>
  <c r="M4" s="1"/>
  <c r="N4" s="1"/>
  <c r="O4" s="1"/>
  <c r="P4" s="1"/>
  <c r="Q4" s="1"/>
  <c r="R4" s="1"/>
  <c r="S4" s="1"/>
  <c r="E8" l="1"/>
  <c r="E40"/>
  <c r="G8"/>
  <c r="G40"/>
  <c r="J40"/>
  <c r="I40"/>
  <c r="F8"/>
  <c r="H8"/>
  <c r="J8"/>
  <c r="K40"/>
  <c r="K28"/>
  <c r="L28" s="1"/>
  <c r="M28" s="1"/>
  <c r="N28" s="1"/>
  <c r="O28" s="1"/>
  <c r="P28" s="1"/>
  <c r="Q28" s="1"/>
  <c r="R28" s="1"/>
  <c r="S28" s="1"/>
  <c r="T28" s="1"/>
  <c r="U28" s="1"/>
  <c r="V28" s="1"/>
  <c r="W28" s="1"/>
  <c r="X28" s="1"/>
  <c r="Y28" s="1"/>
  <c r="Z28" s="1"/>
  <c r="AA28" s="1"/>
  <c r="AB28" s="1"/>
  <c r="AC28" s="1"/>
  <c r="J30"/>
  <c r="J39"/>
  <c r="K38"/>
  <c r="I8"/>
  <c r="K24"/>
  <c r="L22"/>
  <c r="L13"/>
  <c r="K27"/>
  <c r="L27" s="1"/>
  <c r="M27" s="1"/>
  <c r="N27" s="1"/>
  <c r="O27" s="1"/>
  <c r="P27" s="1"/>
  <c r="Q27" s="1"/>
  <c r="R27" s="1"/>
  <c r="S27" s="1"/>
  <c r="T27" s="1"/>
  <c r="U27" s="1"/>
  <c r="V27" s="1"/>
  <c r="W27" s="1"/>
  <c r="X27" s="1"/>
  <c r="Y27" s="1"/>
  <c r="Z27" s="1"/>
  <c r="AA27" s="1"/>
  <c r="AB27" s="1"/>
  <c r="AC27" s="1"/>
  <c r="L34"/>
  <c r="M34" s="1"/>
  <c r="N34" s="1"/>
  <c r="O34" s="1"/>
  <c r="P34" s="1"/>
  <c r="Q34" s="1"/>
  <c r="R34" s="1"/>
  <c r="S34" s="1"/>
  <c r="T34" s="1"/>
  <c r="U34" s="1"/>
  <c r="V34" s="1"/>
  <c r="W34" s="1"/>
  <c r="X34" s="1"/>
  <c r="Y34" s="1"/>
  <c r="Z34" s="1"/>
  <c r="AA34" s="1"/>
  <c r="AB34" s="1"/>
  <c r="AC34" s="1"/>
  <c r="L15" l="1"/>
  <c r="L17" s="1"/>
  <c r="L19" s="1"/>
  <c r="L20" s="1"/>
  <c r="M13"/>
  <c r="L24"/>
  <c r="M22"/>
  <c r="K39"/>
  <c r="L38"/>
  <c r="J31"/>
  <c r="K30"/>
  <c r="L40"/>
  <c r="K8"/>
  <c r="L8" l="1"/>
  <c r="M15"/>
  <c r="M17" s="1"/>
  <c r="M19" s="1"/>
  <c r="M20" s="1"/>
  <c r="N13"/>
  <c r="K31"/>
  <c r="L30"/>
  <c r="L39"/>
  <c r="M38"/>
  <c r="M24"/>
  <c r="N22"/>
  <c r="O22" l="1"/>
  <c r="N24"/>
  <c r="M39"/>
  <c r="N38"/>
  <c r="L31"/>
  <c r="M30"/>
  <c r="N15"/>
  <c r="N17" s="1"/>
  <c r="N19" s="1"/>
  <c r="N20" s="1"/>
  <c r="O13"/>
  <c r="M8"/>
  <c r="M19" i="46"/>
  <c r="N8" i="48" l="1"/>
  <c r="O24"/>
  <c r="P22"/>
  <c r="O15"/>
  <c r="O17" s="1"/>
  <c r="O19" s="1"/>
  <c r="O20" s="1"/>
  <c r="P13"/>
  <c r="M31"/>
  <c r="N30"/>
  <c r="N39"/>
  <c r="O38"/>
  <c r="P24" l="1"/>
  <c r="Q22"/>
  <c r="O8"/>
  <c r="O39"/>
  <c r="P38"/>
  <c r="N31"/>
  <c r="O30"/>
  <c r="P15"/>
  <c r="P17" s="1"/>
  <c r="P19" s="1"/>
  <c r="P20" s="1"/>
  <c r="Q13"/>
  <c r="C44" i="11"/>
  <c r="Q15" i="48" l="1"/>
  <c r="Q17" s="1"/>
  <c r="Q19" s="1"/>
  <c r="Q20" s="1"/>
  <c r="R13"/>
  <c r="O31"/>
  <c r="P30"/>
  <c r="P39"/>
  <c r="Q38"/>
  <c r="Q24"/>
  <c r="R22"/>
  <c r="P8"/>
  <c r="K97" i="19"/>
  <c r="K98" s="1"/>
  <c r="J97"/>
  <c r="J98" s="1"/>
  <c r="I97"/>
  <c r="I98" s="1"/>
  <c r="H97"/>
  <c r="K100" s="1"/>
  <c r="G97"/>
  <c r="J100" s="1"/>
  <c r="F97"/>
  <c r="I100" s="1"/>
  <c r="K96"/>
  <c r="J96"/>
  <c r="I96"/>
  <c r="H96"/>
  <c r="G96"/>
  <c r="J99" s="1"/>
  <c r="F96"/>
  <c r="F95" s="1"/>
  <c r="E96"/>
  <c r="H99" s="1"/>
  <c r="Q8" i="48" l="1"/>
  <c r="Q39"/>
  <c r="R38"/>
  <c r="P31"/>
  <c r="Q30"/>
  <c r="R15"/>
  <c r="R17" s="1"/>
  <c r="R19" s="1"/>
  <c r="R20" s="1"/>
  <c r="S13"/>
  <c r="S22"/>
  <c r="R24"/>
  <c r="G98" i="19"/>
  <c r="I99"/>
  <c r="I95" s="1"/>
  <c r="K99"/>
  <c r="J101"/>
  <c r="J95" s="1"/>
  <c r="E95"/>
  <c r="G95"/>
  <c r="H98"/>
  <c r="H95" s="1"/>
  <c r="K101"/>
  <c r="K95" s="1"/>
  <c r="L95" s="1"/>
  <c r="M95" s="1"/>
  <c r="N95" s="1"/>
  <c r="O95" s="1"/>
  <c r="P95" s="1"/>
  <c r="Q95" s="1"/>
  <c r="R95" s="1"/>
  <c r="S95" s="1"/>
  <c r="T95" s="1"/>
  <c r="U95" s="1"/>
  <c r="V95" s="1"/>
  <c r="W95" s="1"/>
  <c r="X95" s="1"/>
  <c r="Y95" s="1"/>
  <c r="Z95" s="1"/>
  <c r="AA95" s="1"/>
  <c r="AB95" s="1"/>
  <c r="AC95" s="1"/>
  <c r="S24" i="48" l="1"/>
  <c r="T22"/>
  <c r="S15"/>
  <c r="T13"/>
  <c r="U13" s="1"/>
  <c r="V13" s="1"/>
  <c r="W13" s="1"/>
  <c r="X13" s="1"/>
  <c r="Y13" s="1"/>
  <c r="Z13" s="1"/>
  <c r="AA13" s="1"/>
  <c r="AB13" s="1"/>
  <c r="AC13" s="1"/>
  <c r="Q31"/>
  <c r="R30"/>
  <c r="R39"/>
  <c r="S38"/>
  <c r="R8"/>
  <c r="J102" i="19"/>
  <c r="J103" s="1"/>
  <c r="H102"/>
  <c r="H103" s="1"/>
  <c r="F102"/>
  <c r="F103" s="1"/>
  <c r="J24" i="11"/>
  <c r="I24"/>
  <c r="I102" i="19" s="1"/>
  <c r="I103" s="1"/>
  <c r="H24" i="11"/>
  <c r="G24"/>
  <c r="G102" i="19" s="1"/>
  <c r="G103" s="1"/>
  <c r="F24" i="11"/>
  <c r="E24"/>
  <c r="E102" i="19" s="1"/>
  <c r="E103" s="1"/>
  <c r="B54"/>
  <c r="S8" i="48" l="1"/>
  <c r="R31"/>
  <c r="S30"/>
  <c r="T24"/>
  <c r="U22"/>
  <c r="S17"/>
  <c r="T15"/>
  <c r="U15" s="1"/>
  <c r="V15" s="1"/>
  <c r="W15" s="1"/>
  <c r="X15" s="1"/>
  <c r="Y15" s="1"/>
  <c r="Z15" s="1"/>
  <c r="AA15" s="1"/>
  <c r="AB15" s="1"/>
  <c r="AC15" s="1"/>
  <c r="S39"/>
  <c r="T39" s="1"/>
  <c r="U39" s="1"/>
  <c r="V39" s="1"/>
  <c r="W39" s="1"/>
  <c r="X39" s="1"/>
  <c r="Y39" s="1"/>
  <c r="Z39" s="1"/>
  <c r="AA39" s="1"/>
  <c r="AB39" s="1"/>
  <c r="AC39" s="1"/>
  <c r="T38"/>
  <c r="U38" s="1"/>
  <c r="V38" s="1"/>
  <c r="W38" s="1"/>
  <c r="X38" s="1"/>
  <c r="Y38" s="1"/>
  <c r="Z38" s="1"/>
  <c r="AA38" s="1"/>
  <c r="AB38" s="1"/>
  <c r="AC38" s="1"/>
  <c r="K22" i="11"/>
  <c r="K24" s="1"/>
  <c r="K102" i="19" s="1"/>
  <c r="K103" s="1"/>
  <c r="L22" i="11" l="1"/>
  <c r="U24" i="48"/>
  <c r="V22"/>
  <c r="S31"/>
  <c r="T31" s="1"/>
  <c r="U31" s="1"/>
  <c r="V31" s="1"/>
  <c r="W31" s="1"/>
  <c r="X31" s="1"/>
  <c r="Y31" s="1"/>
  <c r="Z31" s="1"/>
  <c r="AA31" s="1"/>
  <c r="AB31" s="1"/>
  <c r="AC31" s="1"/>
  <c r="T30"/>
  <c r="U30" s="1"/>
  <c r="V30" s="1"/>
  <c r="W30" s="1"/>
  <c r="X30" s="1"/>
  <c r="Y30" s="1"/>
  <c r="Z30" s="1"/>
  <c r="AA30" s="1"/>
  <c r="AB30" s="1"/>
  <c r="AC30" s="1"/>
  <c r="S19"/>
  <c r="T17"/>
  <c r="U17" s="1"/>
  <c r="V17" s="1"/>
  <c r="W17" s="1"/>
  <c r="X17" s="1"/>
  <c r="Y17" s="1"/>
  <c r="Z17" s="1"/>
  <c r="AA17" s="1"/>
  <c r="AB17" s="1"/>
  <c r="AC17" s="1"/>
  <c r="T8"/>
  <c r="M22" i="11" l="1"/>
  <c r="L24"/>
  <c r="L102" i="19" s="1"/>
  <c r="U8" i="48"/>
  <c r="W22"/>
  <c r="V24"/>
  <c r="S20"/>
  <c r="T20" s="1"/>
  <c r="U20" s="1"/>
  <c r="V20" s="1"/>
  <c r="W20" s="1"/>
  <c r="X20" s="1"/>
  <c r="Y20" s="1"/>
  <c r="Z20" s="1"/>
  <c r="AA20" s="1"/>
  <c r="AB20" s="1"/>
  <c r="AC20" s="1"/>
  <c r="T19"/>
  <c r="U19" s="1"/>
  <c r="V19" s="1"/>
  <c r="W19" s="1"/>
  <c r="X19" s="1"/>
  <c r="Y19" s="1"/>
  <c r="Z19" s="1"/>
  <c r="AA19" s="1"/>
  <c r="AB19" s="1"/>
  <c r="AC19" s="1"/>
  <c r="N22" i="11" l="1"/>
  <c r="M24"/>
  <c r="M102" i="19" s="1"/>
  <c r="W24" i="48"/>
  <c r="X22"/>
  <c r="V8"/>
  <c r="O22" i="11" l="1"/>
  <c r="N24"/>
  <c r="N102" i="19" s="1"/>
  <c r="W8" i="48"/>
  <c r="X24"/>
  <c r="Y22"/>
  <c r="P22" i="11" l="1"/>
  <c r="O24"/>
  <c r="O102" i="19" s="1"/>
  <c r="Y24" i="48"/>
  <c r="Z22"/>
  <c r="X8"/>
  <c r="Q22" i="11" l="1"/>
  <c r="P24"/>
  <c r="P102" i="19" s="1"/>
  <c r="Y8" i="48"/>
  <c r="AA22"/>
  <c r="Z24"/>
  <c r="R22" i="11" l="1"/>
  <c r="Q24"/>
  <c r="Q102" i="19" s="1"/>
  <c r="AA24" i="48"/>
  <c r="AB22"/>
  <c r="Z8"/>
  <c r="S15" i="46"/>
  <c r="E7" i="11"/>
  <c r="S14" i="46"/>
  <c r="Q16"/>
  <c r="Q15"/>
  <c r="Q14"/>
  <c r="Q13"/>
  <c r="S22" i="11" l="1"/>
  <c r="R24"/>
  <c r="R102" i="19" s="1"/>
  <c r="AA8" i="48"/>
  <c r="AB24"/>
  <c r="AC22"/>
  <c r="AC24" s="1"/>
  <c r="E8" i="11"/>
  <c r="T22" l="1"/>
  <c r="S24"/>
  <c r="S102" i="19" s="1"/>
  <c r="AB8" i="48"/>
  <c r="U22" i="11" l="1"/>
  <c r="T24"/>
  <c r="T102" i="19" s="1"/>
  <c r="AC8" i="48"/>
  <c r="K9" i="19"/>
  <c r="V22" i="11" l="1"/>
  <c r="U24"/>
  <c r="U102" i="19" s="1"/>
  <c r="L9"/>
  <c r="W22" i="11" l="1"/>
  <c r="V24"/>
  <c r="V102" i="19" s="1"/>
  <c r="M9"/>
  <c r="X22" i="11" l="1"/>
  <c r="W24"/>
  <c r="W102" i="19" s="1"/>
  <c r="N9"/>
  <c r="Y22" i="11" l="1"/>
  <c r="X24"/>
  <c r="X102" i="19" s="1"/>
  <c r="O9"/>
  <c r="Z22" i="11" l="1"/>
  <c r="Y24"/>
  <c r="Y102" i="19" s="1"/>
  <c r="P9"/>
  <c r="AA22" i="11" l="1"/>
  <c r="Z24"/>
  <c r="Z102" i="19" s="1"/>
  <c r="Q9"/>
  <c r="AB22" i="11" l="1"/>
  <c r="AA24"/>
  <c r="AA102" i="19" s="1"/>
  <c r="R9"/>
  <c r="AC22" i="11" l="1"/>
  <c r="AC24" s="1"/>
  <c r="AC102" i="19" s="1"/>
  <c r="AB24" i="11"/>
  <c r="AB102" i="19" s="1"/>
  <c r="S9"/>
  <c r="T9" l="1"/>
  <c r="U9" l="1"/>
  <c r="V9" l="1"/>
  <c r="W9" l="1"/>
  <c r="X9" l="1"/>
  <c r="Y9" l="1"/>
  <c r="Z9" l="1"/>
  <c r="AA9" l="1"/>
  <c r="AB9" l="1"/>
  <c r="AC9" l="1"/>
  <c r="C110"/>
  <c r="K13" l="1"/>
  <c r="L13" s="1"/>
  <c r="M13" s="1"/>
  <c r="N13" s="1"/>
  <c r="O13" s="1"/>
  <c r="P13" s="1"/>
  <c r="Q13" s="1"/>
  <c r="R13" s="1"/>
  <c r="S13" s="1"/>
  <c r="T13" s="1"/>
  <c r="U13" s="1"/>
  <c r="V13" s="1"/>
  <c r="W13" s="1"/>
  <c r="X13" s="1"/>
  <c r="Y13" s="1"/>
  <c r="Z13" s="1"/>
  <c r="AA13" s="1"/>
  <c r="AB13" s="1"/>
  <c r="AC13" s="1"/>
  <c r="L80" l="1"/>
  <c r="K78"/>
  <c r="K80" s="1"/>
  <c r="J78"/>
  <c r="I78"/>
  <c r="H78"/>
  <c r="G78"/>
  <c r="F78" l="1"/>
  <c r="J80"/>
  <c r="J29" s="1"/>
  <c r="I80"/>
  <c r="I29" s="1"/>
  <c r="H80"/>
  <c r="H29" s="1"/>
  <c r="G80"/>
  <c r="G29" s="1"/>
  <c r="F80"/>
  <c r="F29" s="1"/>
  <c r="E80" l="1"/>
  <c r="E29" s="1"/>
  <c r="J61" l="1"/>
  <c r="I61"/>
  <c r="H61"/>
  <c r="G61"/>
  <c r="F61"/>
  <c r="E61"/>
  <c r="K109" l="1"/>
  <c r="L109" l="1"/>
  <c r="J92"/>
  <c r="I92"/>
  <c r="I14" s="1"/>
  <c r="H92"/>
  <c r="H14" s="1"/>
  <c r="G92"/>
  <c r="G14" s="1"/>
  <c r="F92"/>
  <c r="F14" s="1"/>
  <c r="E92"/>
  <c r="E14" s="1"/>
  <c r="M109" l="1"/>
  <c r="J14"/>
  <c r="K92"/>
  <c r="N109" l="1"/>
  <c r="L92"/>
  <c r="K14"/>
  <c r="O109" l="1"/>
  <c r="M92"/>
  <c r="L14"/>
  <c r="P109" l="1"/>
  <c r="N92"/>
  <c r="M14"/>
  <c r="Q109" l="1"/>
  <c r="O92"/>
  <c r="N14"/>
  <c r="R109" l="1"/>
  <c r="P92"/>
  <c r="O14"/>
  <c r="K85"/>
  <c r="J85"/>
  <c r="I85"/>
  <c r="H85"/>
  <c r="G85"/>
  <c r="F85"/>
  <c r="E83"/>
  <c r="S109" l="1"/>
  <c r="Q92"/>
  <c r="P14"/>
  <c r="T109" l="1"/>
  <c r="R92"/>
  <c r="Q14"/>
  <c r="U109" l="1"/>
  <c r="S92"/>
  <c r="R14"/>
  <c r="V109" l="1"/>
  <c r="T92"/>
  <c r="S14"/>
  <c r="W109" l="1"/>
  <c r="U92"/>
  <c r="T14"/>
  <c r="X109" l="1"/>
  <c r="V92"/>
  <c r="U14"/>
  <c r="Y109" l="1"/>
  <c r="W92"/>
  <c r="V14"/>
  <c r="Z109" l="1"/>
  <c r="X92"/>
  <c r="W14"/>
  <c r="AA109" l="1"/>
  <c r="Y92"/>
  <c r="X14"/>
  <c r="AB109" l="1"/>
  <c r="Z92"/>
  <c r="Y14"/>
  <c r="AC109" l="1"/>
  <c r="AA92"/>
  <c r="Z14"/>
  <c r="AB92" l="1"/>
  <c r="AA14"/>
  <c r="AC92" l="1"/>
  <c r="AC14" s="1"/>
  <c r="AB14"/>
  <c r="F83" l="1"/>
  <c r="E7"/>
  <c r="G83" l="1"/>
  <c r="F7"/>
  <c r="H83" l="1"/>
  <c r="G7"/>
  <c r="G74" l="1"/>
  <c r="F5"/>
  <c r="F74"/>
  <c r="I83"/>
  <c r="H7"/>
  <c r="G5"/>
  <c r="E74"/>
  <c r="E5" l="1"/>
  <c r="H5"/>
  <c r="K4" l="1"/>
  <c r="L4" s="1"/>
  <c r="M4" s="1"/>
  <c r="N4" s="1"/>
  <c r="O4" s="1"/>
  <c r="P4" s="1"/>
  <c r="Q4" s="1"/>
  <c r="R4" s="1"/>
  <c r="S4" s="1"/>
  <c r="T4" s="1"/>
  <c r="U4" s="1"/>
  <c r="V4" s="1"/>
  <c r="W4" s="1"/>
  <c r="X4" s="1"/>
  <c r="Y4" s="1"/>
  <c r="Z4" s="1"/>
  <c r="AA4" s="1"/>
  <c r="AB4" s="1"/>
  <c r="AC4" s="1"/>
  <c r="J83" l="1"/>
  <c r="I7"/>
  <c r="I5" s="1"/>
  <c r="K3" l="1"/>
  <c r="L3" l="1"/>
  <c r="K83"/>
  <c r="J7"/>
  <c r="J5" s="1"/>
  <c r="M3" l="1"/>
  <c r="L83"/>
  <c r="K7"/>
  <c r="K5" s="1"/>
  <c r="E63" i="11"/>
  <c r="C59" l="1"/>
  <c r="N3" i="19"/>
  <c r="C59" i="51" l="1"/>
  <c r="C59" i="48"/>
  <c r="C59" i="50"/>
  <c r="G59" i="11"/>
  <c r="C41"/>
  <c r="C42"/>
  <c r="O3" i="19"/>
  <c r="D59" i="50" l="1"/>
  <c r="D55" s="1"/>
  <c r="G59"/>
  <c r="E57" s="1"/>
  <c r="C41"/>
  <c r="G59" i="51"/>
  <c r="C41"/>
  <c r="G59" i="48"/>
  <c r="C41"/>
  <c r="H43" i="11"/>
  <c r="J43"/>
  <c r="L43"/>
  <c r="N43"/>
  <c r="P43"/>
  <c r="R43"/>
  <c r="T43"/>
  <c r="V43"/>
  <c r="X43"/>
  <c r="Z43"/>
  <c r="AB43"/>
  <c r="F43"/>
  <c r="G43"/>
  <c r="I43"/>
  <c r="K43"/>
  <c r="M43"/>
  <c r="O43"/>
  <c r="Q43"/>
  <c r="S43"/>
  <c r="U43"/>
  <c r="W43"/>
  <c r="Y43"/>
  <c r="AA43"/>
  <c r="AC43"/>
  <c r="J56"/>
  <c r="J57" s="1"/>
  <c r="P3" i="19"/>
  <c r="M83"/>
  <c r="L7"/>
  <c r="L5" s="1"/>
  <c r="C42" i="48" l="1"/>
  <c r="G45"/>
  <c r="AA45"/>
  <c r="R45"/>
  <c r="X45"/>
  <c r="L45"/>
  <c r="U45"/>
  <c r="V45"/>
  <c r="S45"/>
  <c r="J45"/>
  <c r="I45"/>
  <c r="T45"/>
  <c r="AC45"/>
  <c r="W45"/>
  <c r="N45"/>
  <c r="K45"/>
  <c r="H45"/>
  <c r="Q45"/>
  <c r="AB45"/>
  <c r="O45"/>
  <c r="F45"/>
  <c r="Z45"/>
  <c r="P45"/>
  <c r="Y45"/>
  <c r="M45"/>
  <c r="AA45" i="51"/>
  <c r="K45"/>
  <c r="R45"/>
  <c r="N45"/>
  <c r="O45"/>
  <c r="V45"/>
  <c r="L45"/>
  <c r="AB45"/>
  <c r="U45"/>
  <c r="H45"/>
  <c r="X45"/>
  <c r="Q45"/>
  <c r="C42"/>
  <c r="S45"/>
  <c r="Z45"/>
  <c r="J45"/>
  <c r="W45"/>
  <c r="G45"/>
  <c r="F45"/>
  <c r="T45"/>
  <c r="M45"/>
  <c r="AC45"/>
  <c r="P45"/>
  <c r="I45"/>
  <c r="Y45"/>
  <c r="C42" i="50"/>
  <c r="T45"/>
  <c r="O45"/>
  <c r="F45"/>
  <c r="H45"/>
  <c r="X45"/>
  <c r="Y45"/>
  <c r="Q45"/>
  <c r="I45"/>
  <c r="R45"/>
  <c r="L45"/>
  <c r="AA45"/>
  <c r="K45"/>
  <c r="E71"/>
  <c r="W45"/>
  <c r="G45"/>
  <c r="V45"/>
  <c r="P45"/>
  <c r="AC45"/>
  <c r="U45"/>
  <c r="M45"/>
  <c r="J45"/>
  <c r="Z45"/>
  <c r="AB45"/>
  <c r="S45"/>
  <c r="N45"/>
  <c r="J58" i="11"/>
  <c r="K57"/>
  <c r="K58" s="1"/>
  <c r="Q3" i="19"/>
  <c r="C48" i="11"/>
  <c r="E48" s="1"/>
  <c r="E88" s="1"/>
  <c r="D25" i="46"/>
  <c r="D24"/>
  <c r="H41"/>
  <c r="H40"/>
  <c r="Q11"/>
  <c r="Q10"/>
  <c r="R10" s="1"/>
  <c r="Q9"/>
  <c r="R9" s="1"/>
  <c r="Q8"/>
  <c r="Q7"/>
  <c r="M5"/>
  <c r="Q5" s="1"/>
  <c r="R5" s="1"/>
  <c r="S6" s="1"/>
  <c r="Q4"/>
  <c r="Q3"/>
  <c r="S86" i="50" l="1"/>
  <c r="Z86"/>
  <c r="M86"/>
  <c r="AC86"/>
  <c r="V86"/>
  <c r="W86"/>
  <c r="K86"/>
  <c r="L86"/>
  <c r="I86"/>
  <c r="Y86"/>
  <c r="H86"/>
  <c r="O86"/>
  <c r="J43"/>
  <c r="W43"/>
  <c r="N43"/>
  <c r="S43"/>
  <c r="L43"/>
  <c r="Z43"/>
  <c r="J56"/>
  <c r="J57" s="1"/>
  <c r="T43"/>
  <c r="I43"/>
  <c r="Y43"/>
  <c r="X43"/>
  <c r="M43"/>
  <c r="AC43"/>
  <c r="F43"/>
  <c r="O43"/>
  <c r="AA43"/>
  <c r="K43"/>
  <c r="AB43"/>
  <c r="V43"/>
  <c r="G43"/>
  <c r="P43"/>
  <c r="Q43"/>
  <c r="R43"/>
  <c r="H43"/>
  <c r="U43"/>
  <c r="I86" i="51"/>
  <c r="AC86"/>
  <c r="T86"/>
  <c r="G86"/>
  <c r="J86"/>
  <c r="S86"/>
  <c r="Q86"/>
  <c r="H86"/>
  <c r="AB86"/>
  <c r="V86"/>
  <c r="N86"/>
  <c r="K86"/>
  <c r="M86" i="48"/>
  <c r="P86"/>
  <c r="F86"/>
  <c r="AB86"/>
  <c r="H86"/>
  <c r="N86"/>
  <c r="AC86"/>
  <c r="I86"/>
  <c r="S86"/>
  <c r="U86"/>
  <c r="X86"/>
  <c r="AA86"/>
  <c r="J56"/>
  <c r="J57" s="1"/>
  <c r="W43"/>
  <c r="O43"/>
  <c r="G43"/>
  <c r="V43"/>
  <c r="N43"/>
  <c r="F43"/>
  <c r="Y43"/>
  <c r="Q43"/>
  <c r="I43"/>
  <c r="X43"/>
  <c r="P43"/>
  <c r="H43"/>
  <c r="AA43"/>
  <c r="S43"/>
  <c r="K43"/>
  <c r="Z43"/>
  <c r="R43"/>
  <c r="J43"/>
  <c r="AC43"/>
  <c r="U43"/>
  <c r="M43"/>
  <c r="AB43"/>
  <c r="T43"/>
  <c r="L43"/>
  <c r="N86" i="50"/>
  <c r="AB86"/>
  <c r="J86"/>
  <c r="U86"/>
  <c r="P86"/>
  <c r="G86"/>
  <c r="AA86"/>
  <c r="R86"/>
  <c r="Q86"/>
  <c r="X86"/>
  <c r="F86"/>
  <c r="T86"/>
  <c r="Y86" i="51"/>
  <c r="P86"/>
  <c r="M86"/>
  <c r="F86"/>
  <c r="W86"/>
  <c r="Z86"/>
  <c r="AC43"/>
  <c r="U43"/>
  <c r="M43"/>
  <c r="AB43"/>
  <c r="T43"/>
  <c r="L43"/>
  <c r="J56"/>
  <c r="J57" s="1"/>
  <c r="W43"/>
  <c r="O43"/>
  <c r="G43"/>
  <c r="V43"/>
  <c r="N43"/>
  <c r="F43"/>
  <c r="Y43"/>
  <c r="Q43"/>
  <c r="I43"/>
  <c r="X43"/>
  <c r="P43"/>
  <c r="H43"/>
  <c r="AA43"/>
  <c r="S43"/>
  <c r="K43"/>
  <c r="Z43"/>
  <c r="R43"/>
  <c r="J43"/>
  <c r="X86"/>
  <c r="U86"/>
  <c r="L86"/>
  <c r="O86"/>
  <c r="R86"/>
  <c r="AA86"/>
  <c r="Y86" i="48"/>
  <c r="Z86"/>
  <c r="O86"/>
  <c r="Q86"/>
  <c r="K86"/>
  <c r="W86"/>
  <c r="T86"/>
  <c r="J86"/>
  <c r="V86"/>
  <c r="L86"/>
  <c r="R86"/>
  <c r="G86"/>
  <c r="R3" i="19"/>
  <c r="D27" i="46"/>
  <c r="D30" s="1"/>
  <c r="F7" i="11"/>
  <c r="F8" s="1"/>
  <c r="D32" i="46"/>
  <c r="D33" s="1"/>
  <c r="D9" i="45"/>
  <c r="C9"/>
  <c r="E8"/>
  <c r="J7"/>
  <c r="I7"/>
  <c r="J6"/>
  <c r="I6"/>
  <c r="K6" s="1"/>
  <c r="E6"/>
  <c r="J5"/>
  <c r="J8" s="1"/>
  <c r="I5"/>
  <c r="I8" s="1"/>
  <c r="E5"/>
  <c r="K4"/>
  <c r="E9"/>
  <c r="J50" i="51" l="1"/>
  <c r="J93"/>
  <c r="J44"/>
  <c r="Z50"/>
  <c r="Z93"/>
  <c r="Z44"/>
  <c r="S50"/>
  <c r="S93"/>
  <c r="S44"/>
  <c r="H44"/>
  <c r="H93"/>
  <c r="H50"/>
  <c r="X44"/>
  <c r="X93"/>
  <c r="X50"/>
  <c r="Q44"/>
  <c r="Q93"/>
  <c r="Q50"/>
  <c r="F50"/>
  <c r="F93"/>
  <c r="F44"/>
  <c r="V50"/>
  <c r="V93"/>
  <c r="V44"/>
  <c r="O50"/>
  <c r="O93"/>
  <c r="O44"/>
  <c r="J58"/>
  <c r="K57"/>
  <c r="K58" s="1"/>
  <c r="T93"/>
  <c r="T50"/>
  <c r="T44"/>
  <c r="M93"/>
  <c r="M50"/>
  <c r="M44"/>
  <c r="AC93"/>
  <c r="AC96" s="1"/>
  <c r="AC98" s="1"/>
  <c r="AC50"/>
  <c r="AC44"/>
  <c r="T94"/>
  <c r="T50" i="48"/>
  <c r="T44"/>
  <c r="M94" i="51"/>
  <c r="M50" i="48"/>
  <c r="M44"/>
  <c r="AC94" i="51"/>
  <c r="AC50" i="48"/>
  <c r="AC44"/>
  <c r="R94" i="51"/>
  <c r="R50" i="48"/>
  <c r="R44"/>
  <c r="K94" i="51"/>
  <c r="K50" i="48"/>
  <c r="K44"/>
  <c r="AA94" i="51"/>
  <c r="AA50" i="48"/>
  <c r="AA44"/>
  <c r="P94" i="51"/>
  <c r="P50" i="48"/>
  <c r="P44"/>
  <c r="I94" i="51"/>
  <c r="I50" i="48"/>
  <c r="I44"/>
  <c r="Y94" i="51"/>
  <c r="Y50" i="48"/>
  <c r="Y44"/>
  <c r="N94" i="51"/>
  <c r="N50" i="48"/>
  <c r="N44"/>
  <c r="G94" i="51"/>
  <c r="G50" i="48"/>
  <c r="G44"/>
  <c r="W94" i="51"/>
  <c r="W50" i="48"/>
  <c r="W44"/>
  <c r="U50" i="50"/>
  <c r="U44"/>
  <c r="R44"/>
  <c r="R50"/>
  <c r="P50"/>
  <c r="P44"/>
  <c r="V44"/>
  <c r="V50"/>
  <c r="K50"/>
  <c r="K44"/>
  <c r="O50"/>
  <c r="O44"/>
  <c r="AC44"/>
  <c r="AC50"/>
  <c r="X44"/>
  <c r="X50"/>
  <c r="I44"/>
  <c r="I50"/>
  <c r="J58"/>
  <c r="K57"/>
  <c r="K58" s="1"/>
  <c r="L44"/>
  <c r="L50"/>
  <c r="N50"/>
  <c r="N44"/>
  <c r="J44"/>
  <c r="J50"/>
  <c r="W94"/>
  <c r="R93" i="51"/>
  <c r="R44"/>
  <c r="R50"/>
  <c r="K93"/>
  <c r="K44"/>
  <c r="K50"/>
  <c r="AA93"/>
  <c r="AA96" s="1"/>
  <c r="AA98" s="1"/>
  <c r="AA44"/>
  <c r="AA50"/>
  <c r="P93"/>
  <c r="P50"/>
  <c r="P44"/>
  <c r="I93"/>
  <c r="I50"/>
  <c r="I44"/>
  <c r="Y93"/>
  <c r="Y50"/>
  <c r="Y44"/>
  <c r="N93"/>
  <c r="N44"/>
  <c r="N50"/>
  <c r="G93"/>
  <c r="G44"/>
  <c r="G50"/>
  <c r="W93"/>
  <c r="W44"/>
  <c r="W50"/>
  <c r="L44"/>
  <c r="L93"/>
  <c r="L50"/>
  <c r="AB44"/>
  <c r="AB93"/>
  <c r="AB50"/>
  <c r="U44"/>
  <c r="U93"/>
  <c r="U50"/>
  <c r="L44" i="48"/>
  <c r="L94" i="51"/>
  <c r="L50" i="48"/>
  <c r="AB44"/>
  <c r="AB94" i="51"/>
  <c r="AB50" i="48"/>
  <c r="U44"/>
  <c r="U94" i="51"/>
  <c r="U50" i="48"/>
  <c r="J44"/>
  <c r="J94" i="51"/>
  <c r="J50" i="48"/>
  <c r="Z44"/>
  <c r="Z94" i="51"/>
  <c r="Z50" i="48"/>
  <c r="S44"/>
  <c r="S94" i="51"/>
  <c r="S50" i="48"/>
  <c r="H44"/>
  <c r="H94" i="51"/>
  <c r="H50" i="48"/>
  <c r="X44"/>
  <c r="X94" i="51"/>
  <c r="X50" i="48"/>
  <c r="Q44"/>
  <c r="Q94" i="51"/>
  <c r="Q50" i="48"/>
  <c r="F44"/>
  <c r="F94" i="51"/>
  <c r="F50" i="48"/>
  <c r="V44"/>
  <c r="V94" i="51"/>
  <c r="V50" i="48"/>
  <c r="O44"/>
  <c r="O94" i="51"/>
  <c r="O50" i="48"/>
  <c r="K57"/>
  <c r="K58" s="1"/>
  <c r="J58"/>
  <c r="H50" i="50"/>
  <c r="H44"/>
  <c r="Q50"/>
  <c r="Q44"/>
  <c r="G50"/>
  <c r="G44"/>
  <c r="AB50"/>
  <c r="AB44"/>
  <c r="AA50"/>
  <c r="AA44"/>
  <c r="F44"/>
  <c r="F50"/>
  <c r="M44"/>
  <c r="M50"/>
  <c r="Y44"/>
  <c r="Y50"/>
  <c r="T44"/>
  <c r="T50"/>
  <c r="Z50"/>
  <c r="Z44"/>
  <c r="S44"/>
  <c r="S50"/>
  <c r="W44"/>
  <c r="W50"/>
  <c r="S3" i="19"/>
  <c r="D34" i="46"/>
  <c r="C47" i="11"/>
  <c r="N83" i="19"/>
  <c r="M7"/>
  <c r="M5" s="1"/>
  <c r="G7" i="11"/>
  <c r="G8" s="1"/>
  <c r="K8" i="45"/>
  <c r="K5"/>
  <c r="Z90" i="50" l="1"/>
  <c r="Z52"/>
  <c r="AB90"/>
  <c r="AB52"/>
  <c r="Q90"/>
  <c r="Q52"/>
  <c r="V90" i="48"/>
  <c r="V52"/>
  <c r="H90"/>
  <c r="H52"/>
  <c r="Z90"/>
  <c r="Z52"/>
  <c r="W90" i="50"/>
  <c r="W52"/>
  <c r="S90"/>
  <c r="S52"/>
  <c r="T90"/>
  <c r="T52"/>
  <c r="Y90"/>
  <c r="Y52"/>
  <c r="M90"/>
  <c r="M52"/>
  <c r="F90"/>
  <c r="F52"/>
  <c r="O90" i="48"/>
  <c r="O52"/>
  <c r="F90"/>
  <c r="F52"/>
  <c r="X90"/>
  <c r="X52"/>
  <c r="S90"/>
  <c r="S52"/>
  <c r="J90"/>
  <c r="J52"/>
  <c r="AB90"/>
  <c r="AB52"/>
  <c r="U90" i="51"/>
  <c r="U52"/>
  <c r="L90"/>
  <c r="L52"/>
  <c r="G90"/>
  <c r="G52"/>
  <c r="G96"/>
  <c r="G98"/>
  <c r="Y96"/>
  <c r="Y98"/>
  <c r="I90"/>
  <c r="I52"/>
  <c r="P96"/>
  <c r="P98"/>
  <c r="K90"/>
  <c r="K52"/>
  <c r="K96"/>
  <c r="K98"/>
  <c r="N90" i="50"/>
  <c r="N52"/>
  <c r="O90"/>
  <c r="O52"/>
  <c r="K90"/>
  <c r="K52"/>
  <c r="P90"/>
  <c r="P52"/>
  <c r="U90"/>
  <c r="U52"/>
  <c r="W90" i="48"/>
  <c r="W52"/>
  <c r="N90"/>
  <c r="N52"/>
  <c r="I90"/>
  <c r="I52"/>
  <c r="AA90"/>
  <c r="AA52"/>
  <c r="R90"/>
  <c r="R52"/>
  <c r="M90"/>
  <c r="M52"/>
  <c r="AC90" i="51"/>
  <c r="AC52"/>
  <c r="M96"/>
  <c r="M98"/>
  <c r="T90"/>
  <c r="T52"/>
  <c r="O90"/>
  <c r="O52"/>
  <c r="V96"/>
  <c r="V98"/>
  <c r="F90"/>
  <c r="F52"/>
  <c r="Q96"/>
  <c r="Q98"/>
  <c r="X90"/>
  <c r="X52"/>
  <c r="H96"/>
  <c r="H98"/>
  <c r="S90"/>
  <c r="S52"/>
  <c r="Z96"/>
  <c r="Z98"/>
  <c r="J90"/>
  <c r="J52"/>
  <c r="V99"/>
  <c r="Q99"/>
  <c r="H99"/>
  <c r="Z99"/>
  <c r="AB96"/>
  <c r="AB98" s="1"/>
  <c r="G99"/>
  <c r="Y99"/>
  <c r="P99"/>
  <c r="K99"/>
  <c r="AC99"/>
  <c r="AA90" i="50"/>
  <c r="AA52"/>
  <c r="G90"/>
  <c r="G52"/>
  <c r="H90"/>
  <c r="H52"/>
  <c r="Q90" i="48"/>
  <c r="Q52"/>
  <c r="U90"/>
  <c r="U52"/>
  <c r="L90"/>
  <c r="L52"/>
  <c r="U96" i="51"/>
  <c r="AB90"/>
  <c r="AB52"/>
  <c r="L96"/>
  <c r="W90"/>
  <c r="W52"/>
  <c r="W96"/>
  <c r="N90"/>
  <c r="N52"/>
  <c r="N96"/>
  <c r="Y90"/>
  <c r="Y52"/>
  <c r="I96"/>
  <c r="P90"/>
  <c r="P52"/>
  <c r="AA90"/>
  <c r="AA52"/>
  <c r="R90"/>
  <c r="R52"/>
  <c r="R96"/>
  <c r="J90" i="50"/>
  <c r="J52"/>
  <c r="L90"/>
  <c r="L52"/>
  <c r="I90"/>
  <c r="I52"/>
  <c r="X90"/>
  <c r="X52"/>
  <c r="AC90"/>
  <c r="AC52"/>
  <c r="V90"/>
  <c r="V52"/>
  <c r="R90"/>
  <c r="R52"/>
  <c r="G90" i="48"/>
  <c r="G52"/>
  <c r="Y90"/>
  <c r="Y52"/>
  <c r="P90"/>
  <c r="P52"/>
  <c r="K90"/>
  <c r="K52"/>
  <c r="AC90"/>
  <c r="AC52"/>
  <c r="T90"/>
  <c r="T52"/>
  <c r="M90" i="51"/>
  <c r="M52"/>
  <c r="T96"/>
  <c r="O96"/>
  <c r="V90"/>
  <c r="V52"/>
  <c r="Q90"/>
  <c r="Q52"/>
  <c r="X96"/>
  <c r="H90"/>
  <c r="H52"/>
  <c r="S96"/>
  <c r="Z90"/>
  <c r="Z52"/>
  <c r="J96"/>
  <c r="J99"/>
  <c r="AB99"/>
  <c r="W99"/>
  <c r="N99"/>
  <c r="I99"/>
  <c r="AA99"/>
  <c r="R99"/>
  <c r="M99"/>
  <c r="F96"/>
  <c r="F98" s="1"/>
  <c r="AC47" i="11"/>
  <c r="AC48" s="1"/>
  <c r="AC88" s="1"/>
  <c r="AA47"/>
  <c r="AA48" s="1"/>
  <c r="AA88" s="1"/>
  <c r="Y47"/>
  <c r="Y48" s="1"/>
  <c r="Y88" s="1"/>
  <c r="W47"/>
  <c r="W48" s="1"/>
  <c r="W88" s="1"/>
  <c r="U47"/>
  <c r="U48" s="1"/>
  <c r="U88" s="1"/>
  <c r="S47"/>
  <c r="S48" s="1"/>
  <c r="S88" s="1"/>
  <c r="Q47"/>
  <c r="Q48" s="1"/>
  <c r="Q88" s="1"/>
  <c r="O47"/>
  <c r="O48" s="1"/>
  <c r="O88" s="1"/>
  <c r="M47"/>
  <c r="M48" s="1"/>
  <c r="M88" s="1"/>
  <c r="K47"/>
  <c r="K48" s="1"/>
  <c r="K88" s="1"/>
  <c r="I47"/>
  <c r="I48" s="1"/>
  <c r="I88" s="1"/>
  <c r="G47"/>
  <c r="G48" s="1"/>
  <c r="G88" s="1"/>
  <c r="AB47"/>
  <c r="AB48" s="1"/>
  <c r="AB88" s="1"/>
  <c r="Z47"/>
  <c r="Z48" s="1"/>
  <c r="Z88" s="1"/>
  <c r="X47"/>
  <c r="X48" s="1"/>
  <c r="X88" s="1"/>
  <c r="V47"/>
  <c r="V48" s="1"/>
  <c r="V88" s="1"/>
  <c r="T47"/>
  <c r="T48" s="1"/>
  <c r="T88" s="1"/>
  <c r="R47"/>
  <c r="R48" s="1"/>
  <c r="R88" s="1"/>
  <c r="P47"/>
  <c r="P48" s="1"/>
  <c r="P88" s="1"/>
  <c r="N47"/>
  <c r="N48" s="1"/>
  <c r="N88" s="1"/>
  <c r="L47"/>
  <c r="L48" s="1"/>
  <c r="L88" s="1"/>
  <c r="J47"/>
  <c r="J48" s="1"/>
  <c r="J88" s="1"/>
  <c r="H47"/>
  <c r="H48" s="1"/>
  <c r="H88" s="1"/>
  <c r="F47"/>
  <c r="F48" s="1"/>
  <c r="F88" s="1"/>
  <c r="T3" i="19"/>
  <c r="H7" i="11"/>
  <c r="H8" s="1"/>
  <c r="O99" i="51" l="1"/>
  <c r="AF90"/>
  <c r="AF88"/>
  <c r="AF86"/>
  <c r="S99"/>
  <c r="J98"/>
  <c r="K61" i="50" s="1"/>
  <c r="S98" i="51"/>
  <c r="X98"/>
  <c r="O98"/>
  <c r="T98"/>
  <c r="R98"/>
  <c r="I98"/>
  <c r="N98"/>
  <c r="W98"/>
  <c r="L98"/>
  <c r="U98"/>
  <c r="T99"/>
  <c r="U99"/>
  <c r="O101"/>
  <c r="AF90" i="48"/>
  <c r="AF88"/>
  <c r="AF86"/>
  <c r="AF90" i="50"/>
  <c r="AC92"/>
  <c r="AF88"/>
  <c r="AF86"/>
  <c r="F99" i="51"/>
  <c r="L99"/>
  <c r="X99"/>
  <c r="K13" i="11"/>
  <c r="U3" i="19"/>
  <c r="O83"/>
  <c r="N7"/>
  <c r="N5" s="1"/>
  <c r="I7" i="11"/>
  <c r="I8" s="1"/>
  <c r="K15" i="19" l="1"/>
  <c r="V3"/>
  <c r="J7" i="11"/>
  <c r="L15" i="19" l="1"/>
  <c r="M15" s="1"/>
  <c r="N15" s="1"/>
  <c r="O15" s="1"/>
  <c r="P15" s="1"/>
  <c r="Q15" s="1"/>
  <c r="R15" s="1"/>
  <c r="S15" s="1"/>
  <c r="T15" s="1"/>
  <c r="U15" s="1"/>
  <c r="V15" s="1"/>
  <c r="W15" s="1"/>
  <c r="X15" s="1"/>
  <c r="Y15" s="1"/>
  <c r="Z15" s="1"/>
  <c r="AA15" s="1"/>
  <c r="AB15" s="1"/>
  <c r="AC15" s="1"/>
  <c r="W3"/>
  <c r="K7" i="11"/>
  <c r="J8"/>
  <c r="X3" i="19" l="1"/>
  <c r="L7" i="11"/>
  <c r="Y3" i="19" l="1"/>
  <c r="M7" i="11"/>
  <c r="P83" i="19"/>
  <c r="O7"/>
  <c r="O5" s="1"/>
  <c r="Z3" l="1"/>
  <c r="N7" i="11"/>
  <c r="Q83" i="19"/>
  <c r="P7"/>
  <c r="P5" s="1"/>
  <c r="AA3" l="1"/>
  <c r="O7" i="11"/>
  <c r="AB3" i="19" l="1"/>
  <c r="P7" i="11"/>
  <c r="R83" i="19"/>
  <c r="Q7"/>
  <c r="Q5" s="1"/>
  <c r="AC3" l="1"/>
  <c r="Q7" i="11"/>
  <c r="R7" l="1"/>
  <c r="S7" l="1"/>
  <c r="S83" i="19"/>
  <c r="R7"/>
  <c r="R5" s="1"/>
  <c r="T7" i="11" l="1"/>
  <c r="U7" l="1"/>
  <c r="T83" i="19"/>
  <c r="S7"/>
  <c r="S5" s="1"/>
  <c r="V7" i="11" l="1"/>
  <c r="T7" i="19"/>
  <c r="T5" s="1"/>
  <c r="U83"/>
  <c r="U82"/>
  <c r="W7" i="11" l="1"/>
  <c r="U7" i="19"/>
  <c r="U5" s="1"/>
  <c r="V83"/>
  <c r="V82"/>
  <c r="X7" i="11" l="1"/>
  <c r="V7" i="19"/>
  <c r="V5" s="1"/>
  <c r="W82"/>
  <c r="W83"/>
  <c r="Y7" i="11" l="1"/>
  <c r="W7" i="19"/>
  <c r="W5" s="1"/>
  <c r="X82"/>
  <c r="X83"/>
  <c r="Z7" i="11" l="1"/>
  <c r="X7" i="19"/>
  <c r="X5" s="1"/>
  <c r="Y82"/>
  <c r="Y83"/>
  <c r="AA7" i="11" l="1"/>
  <c r="Y7" i="19"/>
  <c r="Y5" s="1"/>
  <c r="Z82"/>
  <c r="Z83"/>
  <c r="AB7" i="11" l="1"/>
  <c r="Z7" i="19"/>
  <c r="Z5" s="1"/>
  <c r="AA82"/>
  <c r="AA83"/>
  <c r="AC7" i="11" l="1"/>
  <c r="AA7" i="19"/>
  <c r="AA5" s="1"/>
  <c r="AB82"/>
  <c r="AB83"/>
  <c r="AB7" l="1"/>
  <c r="AB5" s="1"/>
  <c r="AC82"/>
  <c r="AC83"/>
  <c r="AC7" l="1"/>
  <c r="AC5" s="1"/>
  <c r="K8" i="11" l="1"/>
  <c r="L8" l="1"/>
  <c r="M8" l="1"/>
  <c r="N8" l="1"/>
  <c r="F30" i="19"/>
  <c r="G30"/>
  <c r="H30"/>
  <c r="I30"/>
  <c r="J30"/>
  <c r="O8" i="11" l="1"/>
  <c r="L12" i="19"/>
  <c r="P8" i="11" l="1"/>
  <c r="M12" i="19"/>
  <c r="Q8" i="11" l="1"/>
  <c r="N12" i="19"/>
  <c r="F42"/>
  <c r="G42"/>
  <c r="H42"/>
  <c r="I42"/>
  <c r="J42"/>
  <c r="K42"/>
  <c r="L42"/>
  <c r="M42"/>
  <c r="N42"/>
  <c r="O42"/>
  <c r="P42"/>
  <c r="Q42"/>
  <c r="R42"/>
  <c r="S42"/>
  <c r="T42"/>
  <c r="U42"/>
  <c r="V42"/>
  <c r="W42"/>
  <c r="X42"/>
  <c r="Y42"/>
  <c r="Z42"/>
  <c r="AA42"/>
  <c r="AB42"/>
  <c r="AC42"/>
  <c r="E42"/>
  <c r="F40"/>
  <c r="G40"/>
  <c r="H40"/>
  <c r="I40"/>
  <c r="J40"/>
  <c r="K40"/>
  <c r="L40"/>
  <c r="M40"/>
  <c r="N40"/>
  <c r="O40"/>
  <c r="P40"/>
  <c r="Q40"/>
  <c r="R40"/>
  <c r="S40"/>
  <c r="T40"/>
  <c r="U40"/>
  <c r="V40"/>
  <c r="W40"/>
  <c r="X40"/>
  <c r="Y40"/>
  <c r="Z40"/>
  <c r="AA40"/>
  <c r="AB40"/>
  <c r="AC40"/>
  <c r="R8" i="11" l="1"/>
  <c r="O12" i="19"/>
  <c r="S8" i="11" l="1"/>
  <c r="P12" i="19"/>
  <c r="T8" i="11" l="1"/>
  <c r="Q12" i="19"/>
  <c r="U8" i="11" l="1"/>
  <c r="R12" i="19"/>
  <c r="V8" i="11" l="1"/>
  <c r="S12" i="19"/>
  <c r="W8" i="11" l="1"/>
  <c r="T12" i="19"/>
  <c r="X8" i="11" l="1"/>
  <c r="U12" i="19"/>
  <c r="Y8" i="11" l="1"/>
  <c r="V12" i="19"/>
  <c r="Z8" i="11" l="1"/>
  <c r="W12" i="19"/>
  <c r="AA8" i="11" l="1"/>
  <c r="X12" i="19"/>
  <c r="AC8" i="11" l="1"/>
  <c r="AB8"/>
  <c r="Y12" i="19"/>
  <c r="Z12" l="1"/>
  <c r="AA12" l="1"/>
  <c r="K48"/>
  <c r="J48"/>
  <c r="F48"/>
  <c r="G48"/>
  <c r="H48"/>
  <c r="I48"/>
  <c r="K46"/>
  <c r="M46"/>
  <c r="J46"/>
  <c r="J67" s="1"/>
  <c r="F46"/>
  <c r="F67" s="1"/>
  <c r="G46"/>
  <c r="G67" s="1"/>
  <c r="H46"/>
  <c r="H67" s="1"/>
  <c r="L46"/>
  <c r="I46"/>
  <c r="I67" s="1"/>
  <c r="N46"/>
  <c r="AB12" l="1"/>
  <c r="L11"/>
  <c r="M11" l="1"/>
  <c r="AC12"/>
  <c r="N11" l="1"/>
  <c r="O11" l="1"/>
  <c r="P11" l="1"/>
  <c r="Q11" l="1"/>
  <c r="R11" l="1"/>
  <c r="S11" l="1"/>
  <c r="T11" l="1"/>
  <c r="U11" l="1"/>
  <c r="V11" l="1"/>
  <c r="W11" l="1"/>
  <c r="X11" l="1"/>
  <c r="Y11" l="1"/>
  <c r="Z11" l="1"/>
  <c r="AA11" l="1"/>
  <c r="AB11" l="1"/>
  <c r="AC46" l="1"/>
  <c r="AB46"/>
  <c r="AA46"/>
  <c r="Z46"/>
  <c r="Y46"/>
  <c r="X46"/>
  <c r="W46"/>
  <c r="V46"/>
  <c r="U46"/>
  <c r="T46"/>
  <c r="S46"/>
  <c r="R46"/>
  <c r="Q46"/>
  <c r="P46"/>
  <c r="O46"/>
  <c r="AC48"/>
  <c r="AB48"/>
  <c r="AA48"/>
  <c r="Z48"/>
  <c r="Y48"/>
  <c r="X48"/>
  <c r="W48"/>
  <c r="V48"/>
  <c r="U48"/>
  <c r="T48"/>
  <c r="S48"/>
  <c r="R48"/>
  <c r="Q48"/>
  <c r="P48"/>
  <c r="O48"/>
  <c r="N48"/>
  <c r="M48"/>
  <c r="L48"/>
  <c r="E48"/>
  <c r="AC34"/>
  <c r="AB34"/>
  <c r="AA34"/>
  <c r="Z34"/>
  <c r="Y34"/>
  <c r="X34"/>
  <c r="W34"/>
  <c r="V34"/>
  <c r="U34"/>
  <c r="T34"/>
  <c r="S34"/>
  <c r="R34"/>
  <c r="Q34"/>
  <c r="P34"/>
  <c r="O34"/>
  <c r="N34"/>
  <c r="M34"/>
  <c r="L34"/>
  <c r="K34"/>
  <c r="J34"/>
  <c r="I34"/>
  <c r="H34"/>
  <c r="G34"/>
  <c r="F34"/>
  <c r="E34"/>
  <c r="AC11"/>
  <c r="AC26"/>
  <c r="AB26"/>
  <c r="AA26"/>
  <c r="Z26"/>
  <c r="Y26"/>
  <c r="X26"/>
  <c r="W26"/>
  <c r="V26"/>
  <c r="U26"/>
  <c r="T26"/>
  <c r="S26"/>
  <c r="R26"/>
  <c r="Q26"/>
  <c r="P26"/>
  <c r="O26"/>
  <c r="N26"/>
  <c r="M26"/>
  <c r="L26"/>
  <c r="K26"/>
  <c r="J26"/>
  <c r="I26"/>
  <c r="H26"/>
  <c r="G26"/>
  <c r="F26"/>
  <c r="E26"/>
  <c r="E46" l="1"/>
  <c r="E67" s="1"/>
  <c r="F44"/>
  <c r="G44"/>
  <c r="H44"/>
  <c r="I44"/>
  <c r="J44"/>
  <c r="K44"/>
  <c r="L44"/>
  <c r="M44"/>
  <c r="N44"/>
  <c r="O44"/>
  <c r="P44"/>
  <c r="Q44"/>
  <c r="R44"/>
  <c r="S44"/>
  <c r="T44"/>
  <c r="U44"/>
  <c r="V44"/>
  <c r="W44"/>
  <c r="X44"/>
  <c r="Y44"/>
  <c r="Z44"/>
  <c r="AA44"/>
  <c r="AB44"/>
  <c r="AC44"/>
  <c r="E40"/>
  <c r="F38"/>
  <c r="G38"/>
  <c r="H38"/>
  <c r="I38"/>
  <c r="J38"/>
  <c r="K38"/>
  <c r="L38"/>
  <c r="M38"/>
  <c r="N38"/>
  <c r="O38"/>
  <c r="P38"/>
  <c r="Q38"/>
  <c r="R38"/>
  <c r="S38"/>
  <c r="T38"/>
  <c r="U38"/>
  <c r="V38"/>
  <c r="W38"/>
  <c r="X38"/>
  <c r="Y38"/>
  <c r="Z38"/>
  <c r="AA38"/>
  <c r="AB38"/>
  <c r="AC38"/>
  <c r="E38"/>
  <c r="F36"/>
  <c r="G36"/>
  <c r="H36"/>
  <c r="I36"/>
  <c r="J36"/>
  <c r="K36"/>
  <c r="L36"/>
  <c r="M36"/>
  <c r="N36"/>
  <c r="O36"/>
  <c r="P36"/>
  <c r="Q36"/>
  <c r="R36"/>
  <c r="S36"/>
  <c r="T36"/>
  <c r="U36"/>
  <c r="V36"/>
  <c r="W36"/>
  <c r="X36"/>
  <c r="Y36"/>
  <c r="Z36"/>
  <c r="AA36"/>
  <c r="AB36"/>
  <c r="AC36"/>
  <c r="E36"/>
  <c r="F32"/>
  <c r="G32"/>
  <c r="H32"/>
  <c r="I32"/>
  <c r="J32"/>
  <c r="K32"/>
  <c r="L32"/>
  <c r="M32"/>
  <c r="N32"/>
  <c r="O32"/>
  <c r="P32"/>
  <c r="Q32"/>
  <c r="R32"/>
  <c r="S32"/>
  <c r="T32"/>
  <c r="U32"/>
  <c r="V32"/>
  <c r="W32"/>
  <c r="X32"/>
  <c r="Y32"/>
  <c r="Z32"/>
  <c r="AA32"/>
  <c r="AB32"/>
  <c r="AC32"/>
  <c r="E32"/>
  <c r="K30"/>
  <c r="L30"/>
  <c r="M30"/>
  <c r="N30"/>
  <c r="O30"/>
  <c r="P30"/>
  <c r="Q30"/>
  <c r="R30"/>
  <c r="S30"/>
  <c r="T30"/>
  <c r="U30"/>
  <c r="V30"/>
  <c r="W30"/>
  <c r="X30"/>
  <c r="Y30"/>
  <c r="Z30"/>
  <c r="AA30"/>
  <c r="AB30"/>
  <c r="AC30"/>
  <c r="E30"/>
  <c r="F28"/>
  <c r="G28"/>
  <c r="H28"/>
  <c r="I28"/>
  <c r="J28"/>
  <c r="K28"/>
  <c r="L28"/>
  <c r="M28"/>
  <c r="N28"/>
  <c r="O28"/>
  <c r="P28"/>
  <c r="Q28"/>
  <c r="R28"/>
  <c r="S28"/>
  <c r="T28"/>
  <c r="U28"/>
  <c r="V28"/>
  <c r="W28"/>
  <c r="X28"/>
  <c r="Y28"/>
  <c r="Z28"/>
  <c r="AA28"/>
  <c r="AB28"/>
  <c r="AC28"/>
  <c r="E28"/>
  <c r="K24"/>
  <c r="L24"/>
  <c r="M24"/>
  <c r="N24"/>
  <c r="O24"/>
  <c r="P24"/>
  <c r="Q24"/>
  <c r="R24"/>
  <c r="S24"/>
  <c r="T24"/>
  <c r="U24"/>
  <c r="V24"/>
  <c r="W24"/>
  <c r="X24"/>
  <c r="Y24"/>
  <c r="Z24"/>
  <c r="AA24"/>
  <c r="AB24"/>
  <c r="AC24"/>
  <c r="K49" l="1"/>
  <c r="AC49"/>
  <c r="AA49"/>
  <c r="Y49"/>
  <c r="W49"/>
  <c r="U49"/>
  <c r="S49"/>
  <c r="Q49"/>
  <c r="O49"/>
  <c r="M49"/>
  <c r="AB49"/>
  <c r="Z49"/>
  <c r="X49"/>
  <c r="V49"/>
  <c r="T49"/>
  <c r="R49"/>
  <c r="P49"/>
  <c r="N49"/>
  <c r="L49"/>
  <c r="T12" i="11" l="1"/>
  <c r="U12" s="1"/>
  <c r="V12" s="1"/>
  <c r="W12" s="1"/>
  <c r="X12" s="1"/>
  <c r="Y12" s="1"/>
  <c r="Z12" s="1"/>
  <c r="AA12" s="1"/>
  <c r="AB12" s="1"/>
  <c r="AC12" s="1"/>
  <c r="T14"/>
  <c r="U14" s="1"/>
  <c r="V14" s="1"/>
  <c r="W14" s="1"/>
  <c r="X14" s="1"/>
  <c r="Y14" s="1"/>
  <c r="Z14" s="1"/>
  <c r="AA14" s="1"/>
  <c r="AB14" s="1"/>
  <c r="AC14" s="1"/>
  <c r="T16"/>
  <c r="U16" s="1"/>
  <c r="V16" s="1"/>
  <c r="W16" s="1"/>
  <c r="X16" s="1"/>
  <c r="Y16" s="1"/>
  <c r="Z16" s="1"/>
  <c r="AA16" s="1"/>
  <c r="AB16" s="1"/>
  <c r="AC16" s="1"/>
  <c r="T18"/>
  <c r="U18" s="1"/>
  <c r="V18" s="1"/>
  <c r="W18" s="1"/>
  <c r="X18" s="1"/>
  <c r="Y18" s="1"/>
  <c r="Z18" s="1"/>
  <c r="AA18" s="1"/>
  <c r="AB18" s="1"/>
  <c r="AC18" s="1"/>
  <c r="I110" i="19" l="1"/>
  <c r="I111"/>
  <c r="G110"/>
  <c r="G111"/>
  <c r="J110"/>
  <c r="H110"/>
  <c r="H111"/>
  <c r="F110"/>
  <c r="F111"/>
  <c r="L110" l="1"/>
  <c r="H108"/>
  <c r="H16" s="1"/>
  <c r="G108"/>
  <c r="G16" s="1"/>
  <c r="E110"/>
  <c r="E111"/>
  <c r="F108"/>
  <c r="F16" s="1"/>
  <c r="I108"/>
  <c r="I16" s="1"/>
  <c r="J111"/>
  <c r="J108" s="1"/>
  <c r="J16" s="1"/>
  <c r="K110" l="1"/>
  <c r="J17"/>
  <c r="I17"/>
  <c r="H17"/>
  <c r="F17"/>
  <c r="G17"/>
  <c r="K111"/>
  <c r="E108"/>
  <c r="E16" s="1"/>
  <c r="K108" l="1"/>
  <c r="K16" s="1"/>
  <c r="M110"/>
  <c r="K17"/>
  <c r="L111"/>
  <c r="L108" s="1"/>
  <c r="L16" s="1"/>
  <c r="K37" i="11"/>
  <c r="L37" s="1"/>
  <c r="M37" s="1"/>
  <c r="N37" s="1"/>
  <c r="O37" s="1"/>
  <c r="P37" s="1"/>
  <c r="Q37" s="1"/>
  <c r="R37" s="1"/>
  <c r="S37" s="1"/>
  <c r="T37" s="1"/>
  <c r="U37" s="1"/>
  <c r="V37" s="1"/>
  <c r="W37" s="1"/>
  <c r="X37" s="1"/>
  <c r="Y37" s="1"/>
  <c r="Z37" s="1"/>
  <c r="AA37" s="1"/>
  <c r="AB37" s="1"/>
  <c r="AC37" s="1"/>
  <c r="L35"/>
  <c r="M35" s="1"/>
  <c r="N35" s="1"/>
  <c r="O35" s="1"/>
  <c r="P35" s="1"/>
  <c r="Q35" s="1"/>
  <c r="R35" s="1"/>
  <c r="S35" s="1"/>
  <c r="T35" s="1"/>
  <c r="U35" s="1"/>
  <c r="V35" s="1"/>
  <c r="W35" s="1"/>
  <c r="X35" s="1"/>
  <c r="Y35" s="1"/>
  <c r="Z35" s="1"/>
  <c r="AA35" s="1"/>
  <c r="AB35" s="1"/>
  <c r="AC35" s="1"/>
  <c r="K32"/>
  <c r="L32" s="1"/>
  <c r="M32" s="1"/>
  <c r="N32" s="1"/>
  <c r="O32" s="1"/>
  <c r="P32" s="1"/>
  <c r="Q32" s="1"/>
  <c r="R32" s="1"/>
  <c r="S32" s="1"/>
  <c r="T32" s="1"/>
  <c r="U32" s="1"/>
  <c r="V32" s="1"/>
  <c r="W32" s="1"/>
  <c r="X32" s="1"/>
  <c r="Y32" s="1"/>
  <c r="Z32" s="1"/>
  <c r="AA32" s="1"/>
  <c r="AB32" s="1"/>
  <c r="AC32" s="1"/>
  <c r="K29"/>
  <c r="L29" s="1"/>
  <c r="M29" s="1"/>
  <c r="N29" s="1"/>
  <c r="O29" s="1"/>
  <c r="P29" s="1"/>
  <c r="Q29" s="1"/>
  <c r="R29" s="1"/>
  <c r="S29" s="1"/>
  <c r="T29" s="1"/>
  <c r="U29" s="1"/>
  <c r="V29" s="1"/>
  <c r="W29" s="1"/>
  <c r="X29" s="1"/>
  <c r="Y29" s="1"/>
  <c r="Z29" s="1"/>
  <c r="AA29" s="1"/>
  <c r="AB29" s="1"/>
  <c r="AC29" s="1"/>
  <c r="K26"/>
  <c r="L26" s="1"/>
  <c r="M26" s="1"/>
  <c r="N26" s="1"/>
  <c r="O26" s="1"/>
  <c r="P26" s="1"/>
  <c r="Q26" s="1"/>
  <c r="R26" s="1"/>
  <c r="S26" s="1"/>
  <c r="T26" s="1"/>
  <c r="U26" s="1"/>
  <c r="V26" s="1"/>
  <c r="W26" s="1"/>
  <c r="X26" s="1"/>
  <c r="Y26" s="1"/>
  <c r="Z26" s="1"/>
  <c r="AA26" s="1"/>
  <c r="AB26" s="1"/>
  <c r="AC26" s="1"/>
  <c r="K11"/>
  <c r="L11" s="1"/>
  <c r="M11" s="1"/>
  <c r="N11" s="1"/>
  <c r="O11" s="1"/>
  <c r="P11" s="1"/>
  <c r="Q11" s="1"/>
  <c r="R11" s="1"/>
  <c r="S11" s="1"/>
  <c r="T11" s="1"/>
  <c r="U11" s="1"/>
  <c r="V11" s="1"/>
  <c r="W11" s="1"/>
  <c r="X11" s="1"/>
  <c r="Y11" s="1"/>
  <c r="Z11" s="1"/>
  <c r="AA11" s="1"/>
  <c r="AB11" s="1"/>
  <c r="AC11" s="1"/>
  <c r="N110" i="19" l="1"/>
  <c r="L17"/>
  <c r="D61"/>
  <c r="M111"/>
  <c r="M108" s="1"/>
  <c r="M16" s="1"/>
  <c r="L13" i="11"/>
  <c r="L103" i="19" s="1"/>
  <c r="O110" l="1"/>
  <c r="M17"/>
  <c r="N111"/>
  <c r="N108" s="1"/>
  <c r="N16" s="1"/>
  <c r="M13" i="11"/>
  <c r="M103" i="19" s="1"/>
  <c r="P110" l="1"/>
  <c r="N17"/>
  <c r="O111"/>
  <c r="O108" s="1"/>
  <c r="O16" s="1"/>
  <c r="N13" i="11"/>
  <c r="N103" i="19" s="1"/>
  <c r="J34" i="11"/>
  <c r="I34"/>
  <c r="I36" s="1"/>
  <c r="I38" s="1"/>
  <c r="H34"/>
  <c r="H36" s="1"/>
  <c r="H38" s="1"/>
  <c r="G34"/>
  <c r="G36" s="1"/>
  <c r="G38" s="1"/>
  <c r="F34"/>
  <c r="F36" s="1"/>
  <c r="F38" s="1"/>
  <c r="E34"/>
  <c r="E36" s="1"/>
  <c r="E38" s="1"/>
  <c r="J33"/>
  <c r="K33" s="1"/>
  <c r="L33" s="1"/>
  <c r="M33" s="1"/>
  <c r="N33" s="1"/>
  <c r="O33" s="1"/>
  <c r="P33" s="1"/>
  <c r="Q33" s="1"/>
  <c r="R33" s="1"/>
  <c r="S33" s="1"/>
  <c r="T33" s="1"/>
  <c r="U33" s="1"/>
  <c r="V33" s="1"/>
  <c r="W33" s="1"/>
  <c r="X33" s="1"/>
  <c r="Y33" s="1"/>
  <c r="Z33" s="1"/>
  <c r="AA33" s="1"/>
  <c r="AB33" s="1"/>
  <c r="AC33" s="1"/>
  <c r="I33"/>
  <c r="H33"/>
  <c r="G33"/>
  <c r="F33"/>
  <c r="E33"/>
  <c r="J27"/>
  <c r="I27"/>
  <c r="I28" s="1"/>
  <c r="I30" s="1"/>
  <c r="H27"/>
  <c r="H28" s="1"/>
  <c r="H30" s="1"/>
  <c r="G27"/>
  <c r="G28" s="1"/>
  <c r="G30" s="1"/>
  <c r="F27"/>
  <c r="F28" s="1"/>
  <c r="F30" s="1"/>
  <c r="E27"/>
  <c r="E28" s="1"/>
  <c r="E30" s="1"/>
  <c r="N15"/>
  <c r="N17" s="1"/>
  <c r="N19" s="1"/>
  <c r="M15"/>
  <c r="M17" s="1"/>
  <c r="M19" s="1"/>
  <c r="L15"/>
  <c r="L17" s="1"/>
  <c r="L19" s="1"/>
  <c r="K15"/>
  <c r="K17" s="1"/>
  <c r="K19" s="1"/>
  <c r="J15"/>
  <c r="J17" s="1"/>
  <c r="J19" s="1"/>
  <c r="I15"/>
  <c r="I17" s="1"/>
  <c r="I19" s="1"/>
  <c r="H15"/>
  <c r="H17" s="1"/>
  <c r="H19" s="1"/>
  <c r="G15"/>
  <c r="G17" s="1"/>
  <c r="G19" s="1"/>
  <c r="F15"/>
  <c r="F17" s="1"/>
  <c r="F19" s="1"/>
  <c r="E15"/>
  <c r="E17" s="1"/>
  <c r="E19" s="1"/>
  <c r="K4"/>
  <c r="Q110" i="19" l="1"/>
  <c r="O17"/>
  <c r="P111"/>
  <c r="P108" s="1"/>
  <c r="P16" s="1"/>
  <c r="O13" i="11"/>
  <c r="O103" i="19" s="1"/>
  <c r="G44" i="11"/>
  <c r="E20"/>
  <c r="G20"/>
  <c r="I20"/>
  <c r="K20"/>
  <c r="M20"/>
  <c r="E31"/>
  <c r="G31"/>
  <c r="I31"/>
  <c r="E39"/>
  <c r="G39"/>
  <c r="I39"/>
  <c r="F20"/>
  <c r="H20"/>
  <c r="J20"/>
  <c r="L20"/>
  <c r="N20"/>
  <c r="F31"/>
  <c r="H31"/>
  <c r="F39"/>
  <c r="H39"/>
  <c r="J28"/>
  <c r="K27"/>
  <c r="L27" s="1"/>
  <c r="M27" s="1"/>
  <c r="N27" s="1"/>
  <c r="O27" s="1"/>
  <c r="P27" s="1"/>
  <c r="Q27" s="1"/>
  <c r="R27" s="1"/>
  <c r="S27" s="1"/>
  <c r="T27" s="1"/>
  <c r="U27" s="1"/>
  <c r="V27" s="1"/>
  <c r="W27" s="1"/>
  <c r="X27" s="1"/>
  <c r="Y27" s="1"/>
  <c r="Z27" s="1"/>
  <c r="AA27" s="1"/>
  <c r="AB27" s="1"/>
  <c r="AC27" s="1"/>
  <c r="J36"/>
  <c r="J38" s="1"/>
  <c r="K34"/>
  <c r="L4"/>
  <c r="R110" i="19" l="1"/>
  <c r="P17"/>
  <c r="Q111"/>
  <c r="Q108" s="1"/>
  <c r="Q16" s="1"/>
  <c r="E44" i="11"/>
  <c r="J44"/>
  <c r="M44"/>
  <c r="N44"/>
  <c r="F44"/>
  <c r="I44"/>
  <c r="P44"/>
  <c r="L44"/>
  <c r="H44"/>
  <c r="O44"/>
  <c r="K44"/>
  <c r="P13"/>
  <c r="P103" i="19" s="1"/>
  <c r="O15" i="11"/>
  <c r="O17" s="1"/>
  <c r="O19" s="1"/>
  <c r="L34"/>
  <c r="M34" s="1"/>
  <c r="N34" s="1"/>
  <c r="O34" s="1"/>
  <c r="P34" s="1"/>
  <c r="Q34" s="1"/>
  <c r="R34" s="1"/>
  <c r="S34" s="1"/>
  <c r="T34" s="1"/>
  <c r="U34" s="1"/>
  <c r="V34" s="1"/>
  <c r="W34" s="1"/>
  <c r="X34" s="1"/>
  <c r="Y34" s="1"/>
  <c r="Z34" s="1"/>
  <c r="AA34" s="1"/>
  <c r="AB34" s="1"/>
  <c r="AC34" s="1"/>
  <c r="K36"/>
  <c r="L36" s="1"/>
  <c r="M36" s="1"/>
  <c r="N36" s="1"/>
  <c r="O36" s="1"/>
  <c r="P36" s="1"/>
  <c r="Q36" s="1"/>
  <c r="R36" s="1"/>
  <c r="S36" s="1"/>
  <c r="T36" s="1"/>
  <c r="U36" s="1"/>
  <c r="V36" s="1"/>
  <c r="W36" s="1"/>
  <c r="X36" s="1"/>
  <c r="Y36" s="1"/>
  <c r="Z36" s="1"/>
  <c r="AA36" s="1"/>
  <c r="AB36" s="1"/>
  <c r="AC36" s="1"/>
  <c r="K38"/>
  <c r="J39"/>
  <c r="J30"/>
  <c r="K28"/>
  <c r="L28" s="1"/>
  <c r="M28" s="1"/>
  <c r="N28" s="1"/>
  <c r="O28" s="1"/>
  <c r="P28" s="1"/>
  <c r="Q28" s="1"/>
  <c r="R28" s="1"/>
  <c r="S28" s="1"/>
  <c r="T28" s="1"/>
  <c r="U28" s="1"/>
  <c r="V28" s="1"/>
  <c r="W28" s="1"/>
  <c r="X28" s="1"/>
  <c r="Y28" s="1"/>
  <c r="Z28" s="1"/>
  <c r="AA28" s="1"/>
  <c r="AB28" s="1"/>
  <c r="AC28" s="1"/>
  <c r="M4"/>
  <c r="Q17" i="19" l="1"/>
  <c r="R111"/>
  <c r="R108" s="1"/>
  <c r="R16" s="1"/>
  <c r="S110"/>
  <c r="O20" i="11"/>
  <c r="Q13"/>
  <c r="Q103" i="19" s="1"/>
  <c r="P15" i="11"/>
  <c r="P17" s="1"/>
  <c r="P19" s="1"/>
  <c r="K30"/>
  <c r="J31"/>
  <c r="L38"/>
  <c r="K39"/>
  <c r="N4"/>
  <c r="R17" i="19" l="1"/>
  <c r="S111"/>
  <c r="S108" s="1"/>
  <c r="S16" s="1"/>
  <c r="T110"/>
  <c r="P20" i="11"/>
  <c r="R13"/>
  <c r="R103" i="19" s="1"/>
  <c r="Q15" i="11"/>
  <c r="Q17" s="1"/>
  <c r="Q19" s="1"/>
  <c r="Q44"/>
  <c r="M38"/>
  <c r="L39"/>
  <c r="L30"/>
  <c r="K31"/>
  <c r="O4"/>
  <c r="S17" i="19" l="1"/>
  <c r="T111"/>
  <c r="T108" s="1"/>
  <c r="T16" s="1"/>
  <c r="U110"/>
  <c r="Q20" i="11"/>
  <c r="S13"/>
  <c r="S103" i="19" s="1"/>
  <c r="R15" i="11"/>
  <c r="R17" s="1"/>
  <c r="R19" s="1"/>
  <c r="R44"/>
  <c r="M30"/>
  <c r="L31"/>
  <c r="N38"/>
  <c r="M39"/>
  <c r="P4"/>
  <c r="T17" i="19" l="1"/>
  <c r="U111"/>
  <c r="U108" s="1"/>
  <c r="U16" s="1"/>
  <c r="V110"/>
  <c r="R20" i="11"/>
  <c r="T13"/>
  <c r="T103" i="19" s="1"/>
  <c r="S15" i="11"/>
  <c r="O38"/>
  <c r="N39"/>
  <c r="N30"/>
  <c r="M31"/>
  <c r="Q4"/>
  <c r="U17" i="19" l="1"/>
  <c r="V111"/>
  <c r="V108" s="1"/>
  <c r="V16" s="1"/>
  <c r="W110"/>
  <c r="S44" i="11"/>
  <c r="S17"/>
  <c r="T15"/>
  <c r="U15" s="1"/>
  <c r="V15" s="1"/>
  <c r="W15" s="1"/>
  <c r="X15" s="1"/>
  <c r="Y15" s="1"/>
  <c r="Z15" s="1"/>
  <c r="AA15" s="1"/>
  <c r="AB15" s="1"/>
  <c r="AC15" s="1"/>
  <c r="U13"/>
  <c r="U103" i="19" s="1"/>
  <c r="O30" i="11"/>
  <c r="N31"/>
  <c r="P38"/>
  <c r="O39"/>
  <c r="R4"/>
  <c r="V17" i="19" l="1"/>
  <c r="W111"/>
  <c r="W108" s="1"/>
  <c r="W16" s="1"/>
  <c r="X110"/>
  <c r="V13" i="11"/>
  <c r="V103" i="19" s="1"/>
  <c r="T17" i="11"/>
  <c r="U17" s="1"/>
  <c r="V17" s="1"/>
  <c r="W17" s="1"/>
  <c r="X17" s="1"/>
  <c r="Y17" s="1"/>
  <c r="Z17" s="1"/>
  <c r="AA17" s="1"/>
  <c r="AB17" s="1"/>
  <c r="AC17" s="1"/>
  <c r="S19"/>
  <c r="T44"/>
  <c r="Q38"/>
  <c r="P39"/>
  <c r="P30"/>
  <c r="O31"/>
  <c r="S4"/>
  <c r="W17" i="19" l="1"/>
  <c r="X111"/>
  <c r="X108" s="1"/>
  <c r="X16" s="1"/>
  <c r="Y110"/>
  <c r="U44" i="11"/>
  <c r="W13"/>
  <c r="W103" i="19" s="1"/>
  <c r="S20" i="11"/>
  <c r="T20" s="1"/>
  <c r="U20" s="1"/>
  <c r="V20" s="1"/>
  <c r="W20" s="1"/>
  <c r="X20" s="1"/>
  <c r="Y20" s="1"/>
  <c r="Z20" s="1"/>
  <c r="AA20" s="1"/>
  <c r="AB20" s="1"/>
  <c r="AC20" s="1"/>
  <c r="T19"/>
  <c r="Q30"/>
  <c r="P31"/>
  <c r="R38"/>
  <c r="Q39"/>
  <c r="X17" i="19" l="1"/>
  <c r="Y111"/>
  <c r="Y108" s="1"/>
  <c r="Y16" s="1"/>
  <c r="Z110"/>
  <c r="V44" i="11"/>
  <c r="X13"/>
  <c r="X103" i="19" s="1"/>
  <c r="U19" i="11"/>
  <c r="S38"/>
  <c r="R39"/>
  <c r="R30"/>
  <c r="Q31"/>
  <c r="Y17" i="19" l="1"/>
  <c r="Z111"/>
  <c r="Z108" s="1"/>
  <c r="Z16" s="1"/>
  <c r="AA110"/>
  <c r="Y13" i="11"/>
  <c r="Y103" i="19" s="1"/>
  <c r="V19" i="11"/>
  <c r="W44"/>
  <c r="S39"/>
  <c r="T39" s="1"/>
  <c r="U39" s="1"/>
  <c r="V39" s="1"/>
  <c r="W39" s="1"/>
  <c r="X39" s="1"/>
  <c r="Y39" s="1"/>
  <c r="Z39" s="1"/>
  <c r="AA39" s="1"/>
  <c r="AB39" s="1"/>
  <c r="AC39" s="1"/>
  <c r="T38"/>
  <c r="S30"/>
  <c r="R31"/>
  <c r="Z17" i="19" l="1"/>
  <c r="AA111"/>
  <c r="AA108" s="1"/>
  <c r="AA16" s="1"/>
  <c r="AB110"/>
  <c r="Z13" i="11"/>
  <c r="Z103" i="19" s="1"/>
  <c r="X44" i="11"/>
  <c r="W19"/>
  <c r="S31"/>
  <c r="T31" s="1"/>
  <c r="U31" s="1"/>
  <c r="V31" s="1"/>
  <c r="W31" s="1"/>
  <c r="X31" s="1"/>
  <c r="Y31" s="1"/>
  <c r="Z31" s="1"/>
  <c r="AA31" s="1"/>
  <c r="AB31" s="1"/>
  <c r="AC31" s="1"/>
  <c r="T30"/>
  <c r="U38"/>
  <c r="AA17" i="19" l="1"/>
  <c r="AC111"/>
  <c r="AB111"/>
  <c r="AB108" s="1"/>
  <c r="AB16" s="1"/>
  <c r="AC110"/>
  <c r="Y44" i="11"/>
  <c r="AA13"/>
  <c r="AA103" i="19" s="1"/>
  <c r="X19" i="11"/>
  <c r="U30"/>
  <c r="V38"/>
  <c r="AB17" i="19" l="1"/>
  <c r="AC108"/>
  <c r="AC16" s="1"/>
  <c r="AB13" i="11"/>
  <c r="AB103" i="19" s="1"/>
  <c r="Y19" i="11"/>
  <c r="Z44"/>
  <c r="W38"/>
  <c r="V30"/>
  <c r="AC17" i="19" l="1"/>
  <c r="AC13" i="11"/>
  <c r="AC103" i="19" s="1"/>
  <c r="Z19" i="11"/>
  <c r="AA44"/>
  <c r="W30"/>
  <c r="X38"/>
  <c r="AA19" l="1"/>
  <c r="AB44"/>
  <c r="X30"/>
  <c r="Y38"/>
  <c r="AC44" l="1"/>
  <c r="AB19"/>
  <c r="Z38"/>
  <c r="Y30"/>
  <c r="AC19" l="1"/>
  <c r="Z30"/>
  <c r="AA38"/>
  <c r="AB38" l="1"/>
  <c r="AA30"/>
  <c r="AB30" l="1"/>
  <c r="AC38"/>
  <c r="AC30" l="1"/>
  <c r="J24" i="19" l="1"/>
  <c r="I24"/>
  <c r="H24"/>
  <c r="G24"/>
  <c r="F24"/>
  <c r="E24"/>
  <c r="G49" l="1"/>
  <c r="I49"/>
  <c r="F49"/>
  <c r="H49"/>
  <c r="J49"/>
  <c r="F55" l="1"/>
  <c r="H55"/>
  <c r="I55"/>
  <c r="J55"/>
  <c r="G55"/>
  <c r="E17" l="1"/>
  <c r="E44" l="1"/>
  <c r="E49"/>
  <c r="E55" l="1"/>
  <c r="D55" s="1"/>
  <c r="H54" l="1"/>
  <c r="F54"/>
  <c r="J54"/>
  <c r="G54"/>
  <c r="I54"/>
  <c r="E54"/>
  <c r="I62" l="1"/>
  <c r="I66"/>
  <c r="J62"/>
  <c r="J66"/>
  <c r="H62"/>
  <c r="H66"/>
  <c r="E62"/>
  <c r="E66"/>
  <c r="G62"/>
  <c r="G66"/>
  <c r="F62"/>
  <c r="F66"/>
  <c r="D62" l="1"/>
  <c r="C63" s="1"/>
  <c r="C61" s="1"/>
  <c r="F59" s="1"/>
  <c r="F58" l="1"/>
  <c r="I58"/>
  <c r="E59"/>
  <c r="I59"/>
  <c r="J58"/>
  <c r="C62"/>
  <c r="G58"/>
  <c r="E58"/>
  <c r="H59"/>
  <c r="H58"/>
  <c r="G59"/>
  <c r="J59"/>
  <c r="F60" l="1"/>
  <c r="G60"/>
  <c r="I60"/>
  <c r="E60"/>
  <c r="H60"/>
  <c r="J60"/>
  <c r="M74" l="1"/>
  <c r="Y74"/>
  <c r="I74"/>
  <c r="Q74"/>
  <c r="U74"/>
  <c r="K74"/>
  <c r="O74"/>
  <c r="S74"/>
  <c r="W74"/>
  <c r="AA74"/>
  <c r="J74"/>
  <c r="L74"/>
  <c r="N74"/>
  <c r="P74"/>
  <c r="R74"/>
  <c r="T74"/>
  <c r="V74"/>
  <c r="X74"/>
  <c r="Z74"/>
  <c r="H74" l="1"/>
  <c r="AB74"/>
  <c r="AC74"/>
  <c r="C66" i="11" l="1"/>
  <c r="C68" s="1"/>
  <c r="C71" s="1"/>
  <c r="F45" l="1"/>
  <c r="F86" s="1"/>
  <c r="AC45"/>
  <c r="AC86" s="1"/>
  <c r="G45"/>
  <c r="G86" s="1"/>
  <c r="J45"/>
  <c r="J86" s="1"/>
  <c r="AB45"/>
  <c r="AB86" s="1"/>
  <c r="Z45"/>
  <c r="Z86" s="1"/>
  <c r="I45"/>
  <c r="I86" s="1"/>
  <c r="Y45"/>
  <c r="Y86" s="1"/>
  <c r="H45"/>
  <c r="H86" s="1"/>
  <c r="L45"/>
  <c r="L86" s="1"/>
  <c r="O45"/>
  <c r="O86" s="1"/>
  <c r="T45"/>
  <c r="T86" s="1"/>
  <c r="M45"/>
  <c r="M86" s="1"/>
  <c r="Q45"/>
  <c r="Q86" s="1"/>
  <c r="U45"/>
  <c r="U86" s="1"/>
  <c r="W45"/>
  <c r="W86" s="1"/>
  <c r="N45"/>
  <c r="N86" s="1"/>
  <c r="AA45"/>
  <c r="AA86" s="1"/>
  <c r="X45"/>
  <c r="X86" s="1"/>
  <c r="S45"/>
  <c r="S86" s="1"/>
  <c r="K45"/>
  <c r="K86" s="1"/>
  <c r="R45"/>
  <c r="R86" s="1"/>
  <c r="V45"/>
  <c r="V86" s="1"/>
  <c r="P45"/>
  <c r="P86" s="1"/>
  <c r="M50" l="1"/>
  <c r="M90" s="1"/>
  <c r="O50"/>
  <c r="O90" s="1"/>
  <c r="Q50"/>
  <c r="Q90" s="1"/>
  <c r="S50"/>
  <c r="S90" s="1"/>
  <c r="U50"/>
  <c r="U90" s="1"/>
  <c r="W50"/>
  <c r="W90" s="1"/>
  <c r="Y50"/>
  <c r="Y90" s="1"/>
  <c r="AA50"/>
  <c r="AA90" s="1"/>
  <c r="AC50"/>
  <c r="AC90" s="1"/>
  <c r="G50"/>
  <c r="G90" s="1"/>
  <c r="I50"/>
  <c r="I90" s="1"/>
  <c r="K50"/>
  <c r="K90" s="1"/>
  <c r="L50"/>
  <c r="L90" s="1"/>
  <c r="N50"/>
  <c r="N90" s="1"/>
  <c r="P50"/>
  <c r="P90" s="1"/>
  <c r="R50"/>
  <c r="R90" s="1"/>
  <c r="T50"/>
  <c r="T90" s="1"/>
  <c r="V50"/>
  <c r="V90" s="1"/>
  <c r="X50"/>
  <c r="X90" s="1"/>
  <c r="Z50"/>
  <c r="Z90" s="1"/>
  <c r="AB50"/>
  <c r="AB90" s="1"/>
  <c r="F50"/>
  <c r="F90" s="1"/>
  <c r="H50"/>
  <c r="H90" s="1"/>
  <c r="J50"/>
  <c r="J90" s="1"/>
  <c r="E50"/>
  <c r="AC92" l="1"/>
  <c r="AF90"/>
  <c r="AF88"/>
  <c r="AF86"/>
  <c r="J52"/>
  <c r="F52"/>
  <c r="Z52"/>
  <c r="V52"/>
  <c r="R52"/>
  <c r="N52"/>
  <c r="K52"/>
  <c r="G52"/>
  <c r="AA52"/>
  <c r="W52"/>
  <c r="S52"/>
  <c r="O52"/>
  <c r="E52"/>
  <c r="H52"/>
  <c r="AB52"/>
  <c r="X52"/>
  <c r="T52"/>
  <c r="P52"/>
  <c r="L52"/>
  <c r="I52"/>
  <c r="AC52"/>
  <c r="Y52"/>
  <c r="U52"/>
  <c r="Q52"/>
  <c r="M52"/>
  <c r="J23" i="45" l="1"/>
  <c r="C123" i="19" l="1"/>
  <c r="C124" s="1"/>
  <c r="Q25" i="45"/>
  <c r="C126" i="19"/>
  <c r="AA127" s="1"/>
  <c r="AA146" s="1"/>
  <c r="I127"/>
  <c r="I146" s="1"/>
  <c r="Q127"/>
  <c r="Q146" s="1"/>
  <c r="Y127"/>
  <c r="Y146" s="1"/>
  <c r="H127"/>
  <c r="H146" s="1"/>
  <c r="P127"/>
  <c r="P146" s="1"/>
  <c r="X127"/>
  <c r="X146" s="1"/>
  <c r="G127"/>
  <c r="G146" s="1"/>
  <c r="O127"/>
  <c r="O146" s="1"/>
  <c r="W127"/>
  <c r="W146" s="1"/>
  <c r="J127"/>
  <c r="J146" s="1"/>
  <c r="R127"/>
  <c r="R146" s="1"/>
  <c r="Z127"/>
  <c r="Z146" s="1"/>
  <c r="E127"/>
  <c r="E146" s="1"/>
  <c r="M127"/>
  <c r="M146" s="1"/>
  <c r="U127"/>
  <c r="U146" s="1"/>
  <c r="AC127"/>
  <c r="AC146" s="1"/>
  <c r="L127"/>
  <c r="L146" s="1"/>
  <c r="T127"/>
  <c r="T146" s="1"/>
  <c r="AB127"/>
  <c r="AB146" s="1"/>
  <c r="K127"/>
  <c r="K146" s="1"/>
  <c r="S127"/>
  <c r="S146" s="1"/>
  <c r="F127"/>
  <c r="F146" s="1"/>
  <c r="N127"/>
  <c r="N146" s="1"/>
  <c r="V127"/>
  <c r="V146" s="1"/>
  <c r="D127"/>
  <c r="D146" s="1"/>
  <c r="Q23" i="45" l="1"/>
  <c r="C153" i="19" s="1"/>
  <c r="U153" s="1"/>
  <c r="J153" l="1"/>
  <c r="W153"/>
  <c r="AA153"/>
  <c r="AC153"/>
  <c r="V153"/>
  <c r="Y153"/>
  <c r="L153"/>
  <c r="I153"/>
  <c r="P153"/>
  <c r="R153"/>
  <c r="E153"/>
  <c r="N153"/>
  <c r="Q153"/>
  <c r="Z153"/>
  <c r="K153"/>
  <c r="T153"/>
  <c r="G153"/>
  <c r="M153"/>
  <c r="X153"/>
  <c r="O153"/>
  <c r="H153"/>
  <c r="F153"/>
  <c r="S153"/>
  <c r="D153"/>
  <c r="AB153"/>
</calcChain>
</file>

<file path=xl/comments1.xml><?xml version="1.0" encoding="utf-8"?>
<comments xmlns="http://schemas.openxmlformats.org/spreadsheetml/2006/main">
  <authors>
    <author>Rohan Jain</author>
  </authors>
  <commentList>
    <comment ref="B54" authorId="0">
      <text>
        <r>
          <rPr>
            <b/>
            <sz val="8"/>
            <color indexed="81"/>
            <rFont val="Tahoma"/>
            <family val="2"/>
          </rPr>
          <t>Rohan Jain:</t>
        </r>
        <r>
          <rPr>
            <sz val="8"/>
            <color indexed="81"/>
            <rFont val="Tahoma"/>
            <family val="2"/>
          </rPr>
          <t xml:space="preserve">
100 crore from project fund+11 crore from end implementing agencies. Basis of apportioning: Based on Total Investment on Productivity enhancement activities
</t>
        </r>
      </text>
    </comment>
    <comment ref="B96" authorId="0">
      <text>
        <r>
          <rPr>
            <b/>
            <sz val="8"/>
            <color indexed="81"/>
            <rFont val="Tahoma"/>
            <family val="2"/>
          </rPr>
          <t>Rohan Jain:</t>
        </r>
        <r>
          <rPr>
            <sz val="8"/>
            <color indexed="81"/>
            <rFont val="Tahoma"/>
            <family val="2"/>
          </rPr>
          <t xml:space="preserve">
Rs/MT</t>
        </r>
      </text>
    </comment>
    <comment ref="E96" authorId="0">
      <text>
        <r>
          <rPr>
            <b/>
            <sz val="8"/>
            <color indexed="81"/>
            <rFont val="Tahoma"/>
            <family val="2"/>
          </rPr>
          <t>Rohan Jain:</t>
        </r>
        <r>
          <rPr>
            <sz val="8"/>
            <color indexed="81"/>
            <rFont val="Tahoma"/>
            <family val="2"/>
          </rPr>
          <t xml:space="preserve">
300 Mt/year
</t>
        </r>
      </text>
    </comment>
    <comment ref="E97" authorId="0">
      <text>
        <r>
          <rPr>
            <b/>
            <sz val="8"/>
            <color indexed="81"/>
            <rFont val="Tahoma"/>
            <family val="2"/>
          </rPr>
          <t>Rohan Jain:</t>
        </r>
        <r>
          <rPr>
            <sz val="8"/>
            <color indexed="81"/>
            <rFont val="Tahoma"/>
            <family val="2"/>
          </rPr>
          <t xml:space="preserve">
300 Mt/year
</t>
        </r>
      </text>
    </comment>
    <comment ref="F97" authorId="0">
      <text>
        <r>
          <rPr>
            <b/>
            <sz val="8"/>
            <color indexed="81"/>
            <rFont val="Tahoma"/>
            <family val="2"/>
          </rPr>
          <t>Rohan Jain:</t>
        </r>
        <r>
          <rPr>
            <sz val="8"/>
            <color indexed="81"/>
            <rFont val="Tahoma"/>
            <family val="2"/>
          </rPr>
          <t xml:space="preserve">
300 Mt/year
</t>
        </r>
      </text>
    </comment>
    <comment ref="G97" authorId="0">
      <text>
        <r>
          <rPr>
            <b/>
            <sz val="8"/>
            <color indexed="81"/>
            <rFont val="Tahoma"/>
            <family val="2"/>
          </rPr>
          <t>Rohan Jain:</t>
        </r>
        <r>
          <rPr>
            <sz val="8"/>
            <color indexed="81"/>
            <rFont val="Tahoma"/>
            <family val="2"/>
          </rPr>
          <t xml:space="preserve">
300 Mt/year
</t>
        </r>
      </text>
    </comment>
    <comment ref="H97" authorId="0">
      <text>
        <r>
          <rPr>
            <b/>
            <sz val="8"/>
            <color indexed="81"/>
            <rFont val="Tahoma"/>
            <family val="2"/>
          </rPr>
          <t>Rohan Jain:</t>
        </r>
        <r>
          <rPr>
            <sz val="8"/>
            <color indexed="81"/>
            <rFont val="Tahoma"/>
            <family val="2"/>
          </rPr>
          <t xml:space="preserve">
300 Mt/year
</t>
        </r>
      </text>
    </comment>
    <comment ref="I97" authorId="0">
      <text>
        <r>
          <rPr>
            <b/>
            <sz val="8"/>
            <color indexed="81"/>
            <rFont val="Tahoma"/>
            <family val="2"/>
          </rPr>
          <t>Rohan Jain:</t>
        </r>
        <r>
          <rPr>
            <sz val="8"/>
            <color indexed="81"/>
            <rFont val="Tahoma"/>
            <family val="2"/>
          </rPr>
          <t xml:space="preserve">
300 Mt/year
</t>
        </r>
      </text>
    </comment>
    <comment ref="J97" authorId="0">
      <text>
        <r>
          <rPr>
            <b/>
            <sz val="8"/>
            <color indexed="81"/>
            <rFont val="Tahoma"/>
            <family val="2"/>
          </rPr>
          <t>Rohan Jain:</t>
        </r>
        <r>
          <rPr>
            <sz val="8"/>
            <color indexed="81"/>
            <rFont val="Tahoma"/>
            <family val="2"/>
          </rPr>
          <t xml:space="preserve">
300 Mt/year
</t>
        </r>
      </text>
    </comment>
    <comment ref="K97" authorId="0">
      <text>
        <r>
          <rPr>
            <b/>
            <sz val="8"/>
            <color indexed="81"/>
            <rFont val="Tahoma"/>
            <family val="2"/>
          </rPr>
          <t>Rohan Jain:</t>
        </r>
        <r>
          <rPr>
            <sz val="8"/>
            <color indexed="81"/>
            <rFont val="Tahoma"/>
            <family val="2"/>
          </rPr>
          <t xml:space="preserve">
300 Mt/year
</t>
        </r>
      </text>
    </comment>
  </commentList>
</comments>
</file>

<file path=xl/comments2.xml><?xml version="1.0" encoding="utf-8"?>
<comments xmlns="http://schemas.openxmlformats.org/spreadsheetml/2006/main">
  <authors>
    <author>Rohan Jain</author>
    <author>Selva</author>
  </authors>
  <commentList>
    <comment ref="B25" authorId="0">
      <text>
        <r>
          <rPr>
            <b/>
            <sz val="8"/>
            <color indexed="81"/>
            <rFont val="Tahoma"/>
            <family val="2"/>
          </rPr>
          <t>Rohan Jain:</t>
        </r>
        <r>
          <rPr>
            <sz val="8"/>
            <color indexed="81"/>
            <rFont val="Tahoma"/>
            <family val="2"/>
          </rPr>
          <t xml:space="preserve">
Now, 
This activity is not being
 envisaged under NDP-I</t>
        </r>
      </text>
    </comment>
    <comment ref="B32" authorId="0">
      <text>
        <r>
          <rPr>
            <b/>
            <sz val="8"/>
            <color indexed="81"/>
            <rFont val="Tahoma"/>
            <family val="2"/>
          </rPr>
          <t>Rohan Jain:</t>
        </r>
        <r>
          <rPr>
            <sz val="8"/>
            <color indexed="81"/>
            <rFont val="Tahoma"/>
            <family val="2"/>
          </rPr>
          <t xml:space="preserve">
This activity is 
not being envisaged under NDP-I</t>
        </r>
      </text>
    </comment>
    <comment ref="B45" authorId="1">
      <text>
        <r>
          <rPr>
            <b/>
            <sz val="8"/>
            <color indexed="81"/>
            <rFont val="Tahoma"/>
            <family val="2"/>
          </rPr>
          <t>Selva:</t>
        </r>
        <r>
          <rPr>
            <sz val="8"/>
            <color indexed="81"/>
            <rFont val="Tahoma"/>
            <family val="2"/>
          </rPr>
          <t xml:space="preserve">
one year time lag is provided
</t>
        </r>
      </text>
    </comment>
    <comment ref="B48" authorId="1">
      <text>
        <r>
          <rPr>
            <b/>
            <sz val="8"/>
            <color indexed="81"/>
            <rFont val="Tahoma"/>
            <family val="2"/>
          </rPr>
          <t>Selva:</t>
        </r>
        <r>
          <rPr>
            <sz val="8"/>
            <color indexed="81"/>
            <rFont val="Tahoma"/>
            <family val="2"/>
          </rPr>
          <t xml:space="preserve">
one year time lag is provided</t>
        </r>
      </text>
    </comment>
    <comment ref="B50" authorId="1">
      <text>
        <r>
          <rPr>
            <b/>
            <sz val="8"/>
            <color indexed="81"/>
            <rFont val="Tahoma"/>
            <family val="2"/>
          </rPr>
          <t>Selva:</t>
        </r>
        <r>
          <rPr>
            <sz val="8"/>
            <color indexed="81"/>
            <rFont val="Tahoma"/>
            <family val="2"/>
          </rPr>
          <t xml:space="preserve">
one year time lag is provided</t>
        </r>
      </text>
    </comment>
  </commentList>
</comments>
</file>

<file path=xl/comments3.xml><?xml version="1.0" encoding="utf-8"?>
<comments xmlns="http://schemas.openxmlformats.org/spreadsheetml/2006/main">
  <authors>
    <author>Rohan Jain</author>
    <author>Selva</author>
  </authors>
  <commentList>
    <comment ref="B25" authorId="0">
      <text>
        <r>
          <rPr>
            <b/>
            <sz val="8"/>
            <color indexed="81"/>
            <rFont val="Tahoma"/>
            <family val="2"/>
          </rPr>
          <t>Rohan Jain:</t>
        </r>
        <r>
          <rPr>
            <sz val="8"/>
            <color indexed="81"/>
            <rFont val="Tahoma"/>
            <family val="2"/>
          </rPr>
          <t xml:space="preserve">
Now, 
This activity is not being
 envisaged under NDP-I</t>
        </r>
      </text>
    </comment>
    <comment ref="B32" authorId="0">
      <text>
        <r>
          <rPr>
            <b/>
            <sz val="8"/>
            <color indexed="81"/>
            <rFont val="Tahoma"/>
            <family val="2"/>
          </rPr>
          <t>Rohan Jain:</t>
        </r>
        <r>
          <rPr>
            <sz val="8"/>
            <color indexed="81"/>
            <rFont val="Tahoma"/>
            <family val="2"/>
          </rPr>
          <t xml:space="preserve">
This activity is 
not being envisaged under NDP-I</t>
        </r>
      </text>
    </comment>
    <comment ref="B45" authorId="1">
      <text>
        <r>
          <rPr>
            <b/>
            <sz val="8"/>
            <color indexed="81"/>
            <rFont val="Tahoma"/>
            <family val="2"/>
          </rPr>
          <t>Selva:</t>
        </r>
        <r>
          <rPr>
            <sz val="8"/>
            <color indexed="81"/>
            <rFont val="Tahoma"/>
            <family val="2"/>
          </rPr>
          <t xml:space="preserve">
one year time lag is provided
</t>
        </r>
      </text>
    </comment>
    <comment ref="B48" authorId="1">
      <text>
        <r>
          <rPr>
            <b/>
            <sz val="8"/>
            <color indexed="81"/>
            <rFont val="Tahoma"/>
            <family val="2"/>
          </rPr>
          <t>Selva:</t>
        </r>
        <r>
          <rPr>
            <sz val="8"/>
            <color indexed="81"/>
            <rFont val="Tahoma"/>
            <family val="2"/>
          </rPr>
          <t xml:space="preserve">
one year time lag is provided</t>
        </r>
      </text>
    </comment>
    <comment ref="B50" authorId="1">
      <text>
        <r>
          <rPr>
            <b/>
            <sz val="8"/>
            <color indexed="81"/>
            <rFont val="Tahoma"/>
            <family val="2"/>
          </rPr>
          <t>Selva:</t>
        </r>
        <r>
          <rPr>
            <sz val="8"/>
            <color indexed="81"/>
            <rFont val="Tahoma"/>
            <family val="2"/>
          </rPr>
          <t xml:space="preserve">
one year time lag is provided</t>
        </r>
      </text>
    </comment>
  </commentList>
</comments>
</file>

<file path=xl/comments4.xml><?xml version="1.0" encoding="utf-8"?>
<comments xmlns="http://schemas.openxmlformats.org/spreadsheetml/2006/main">
  <authors>
    <author>Rohan Jain</author>
    <author>Selva</author>
  </authors>
  <commentList>
    <comment ref="B25" authorId="0">
      <text>
        <r>
          <rPr>
            <b/>
            <sz val="8"/>
            <color indexed="81"/>
            <rFont val="Tahoma"/>
            <family val="2"/>
          </rPr>
          <t>Rohan Jain:</t>
        </r>
        <r>
          <rPr>
            <sz val="8"/>
            <color indexed="81"/>
            <rFont val="Tahoma"/>
            <family val="2"/>
          </rPr>
          <t xml:space="preserve">
Now, 
This activity is not being
 envisaged under NDP-I</t>
        </r>
      </text>
    </comment>
    <comment ref="B32" authorId="0">
      <text>
        <r>
          <rPr>
            <b/>
            <sz val="8"/>
            <color indexed="81"/>
            <rFont val="Tahoma"/>
            <family val="2"/>
          </rPr>
          <t>Rohan Jain:</t>
        </r>
        <r>
          <rPr>
            <sz val="8"/>
            <color indexed="81"/>
            <rFont val="Tahoma"/>
            <family val="2"/>
          </rPr>
          <t xml:space="preserve">
This activity is 
not being envisaged under NDP-I</t>
        </r>
      </text>
    </comment>
    <comment ref="B45" authorId="1">
      <text>
        <r>
          <rPr>
            <b/>
            <sz val="8"/>
            <color indexed="81"/>
            <rFont val="Tahoma"/>
            <family val="2"/>
          </rPr>
          <t>Selva:</t>
        </r>
        <r>
          <rPr>
            <sz val="8"/>
            <color indexed="81"/>
            <rFont val="Tahoma"/>
            <family val="2"/>
          </rPr>
          <t xml:space="preserve">
one year time lag is provided
</t>
        </r>
      </text>
    </comment>
    <comment ref="B48" authorId="1">
      <text>
        <r>
          <rPr>
            <b/>
            <sz val="8"/>
            <color indexed="81"/>
            <rFont val="Tahoma"/>
            <family val="2"/>
          </rPr>
          <t>Selva:</t>
        </r>
        <r>
          <rPr>
            <sz val="8"/>
            <color indexed="81"/>
            <rFont val="Tahoma"/>
            <family val="2"/>
          </rPr>
          <t xml:space="preserve">
one year time lag is provided</t>
        </r>
      </text>
    </comment>
    <comment ref="B50" authorId="1">
      <text>
        <r>
          <rPr>
            <b/>
            <sz val="8"/>
            <color indexed="81"/>
            <rFont val="Tahoma"/>
            <family val="2"/>
          </rPr>
          <t>Selva:</t>
        </r>
        <r>
          <rPr>
            <sz val="8"/>
            <color indexed="81"/>
            <rFont val="Tahoma"/>
            <family val="2"/>
          </rPr>
          <t xml:space="preserve">
one year time lag is provided</t>
        </r>
      </text>
    </comment>
  </commentList>
</comments>
</file>

<file path=xl/comments5.xml><?xml version="1.0" encoding="utf-8"?>
<comments xmlns="http://schemas.openxmlformats.org/spreadsheetml/2006/main">
  <authors>
    <author>Rohan Jain</author>
    <author>Selva</author>
  </authors>
  <commentList>
    <comment ref="B25" authorId="0">
      <text>
        <r>
          <rPr>
            <b/>
            <sz val="8"/>
            <color indexed="81"/>
            <rFont val="Tahoma"/>
            <family val="2"/>
          </rPr>
          <t>Rohan Jain:</t>
        </r>
        <r>
          <rPr>
            <sz val="8"/>
            <color indexed="81"/>
            <rFont val="Tahoma"/>
            <family val="2"/>
          </rPr>
          <t xml:space="preserve">
Now, 
This activity is not being
 envisaged under NDP-I</t>
        </r>
      </text>
    </comment>
    <comment ref="B32" authorId="0">
      <text>
        <r>
          <rPr>
            <b/>
            <sz val="8"/>
            <color indexed="81"/>
            <rFont val="Tahoma"/>
            <family val="2"/>
          </rPr>
          <t>Rohan Jain:</t>
        </r>
        <r>
          <rPr>
            <sz val="8"/>
            <color indexed="81"/>
            <rFont val="Tahoma"/>
            <family val="2"/>
          </rPr>
          <t xml:space="preserve">
This activity is 
not being envisaged under NDP-I</t>
        </r>
      </text>
    </comment>
    <comment ref="B45" authorId="1">
      <text>
        <r>
          <rPr>
            <b/>
            <sz val="8"/>
            <color indexed="81"/>
            <rFont val="Tahoma"/>
            <family val="2"/>
          </rPr>
          <t>Selva:</t>
        </r>
        <r>
          <rPr>
            <sz val="8"/>
            <color indexed="81"/>
            <rFont val="Tahoma"/>
            <family val="2"/>
          </rPr>
          <t xml:space="preserve">
one year time lag is provided
</t>
        </r>
      </text>
    </comment>
    <comment ref="B48" authorId="1">
      <text>
        <r>
          <rPr>
            <b/>
            <sz val="8"/>
            <color indexed="81"/>
            <rFont val="Tahoma"/>
            <family val="2"/>
          </rPr>
          <t>Selva:</t>
        </r>
        <r>
          <rPr>
            <sz val="8"/>
            <color indexed="81"/>
            <rFont val="Tahoma"/>
            <family val="2"/>
          </rPr>
          <t xml:space="preserve">
one year time lag is provided</t>
        </r>
      </text>
    </comment>
    <comment ref="B50" authorId="1">
      <text>
        <r>
          <rPr>
            <b/>
            <sz val="8"/>
            <color indexed="81"/>
            <rFont val="Tahoma"/>
            <family val="2"/>
          </rPr>
          <t>Selva:</t>
        </r>
        <r>
          <rPr>
            <sz val="8"/>
            <color indexed="81"/>
            <rFont val="Tahoma"/>
            <family val="2"/>
          </rPr>
          <t xml:space="preserve">
one year time lag is provided</t>
        </r>
      </text>
    </comment>
  </commentList>
</comments>
</file>

<file path=xl/sharedStrings.xml><?xml version="1.0" encoding="utf-8"?>
<sst xmlns="http://schemas.openxmlformats.org/spreadsheetml/2006/main" count="864" uniqueCount="326">
  <si>
    <t>Study</t>
  </si>
  <si>
    <t>Authors</t>
  </si>
  <si>
    <t>Source</t>
  </si>
  <si>
    <t>Area of Study</t>
  </si>
  <si>
    <t>Sample size</t>
  </si>
  <si>
    <t>Breed of Buffalos and Cows</t>
  </si>
  <si>
    <t>Current Yield</t>
  </si>
  <si>
    <t>No. of farmers considered</t>
  </si>
  <si>
    <t>Type of farmers</t>
  </si>
  <si>
    <t>IMPACT Indicators</t>
  </si>
  <si>
    <t>Without</t>
  </si>
  <si>
    <t>With</t>
  </si>
  <si>
    <t>Increase/Decrease</t>
  </si>
  <si>
    <t>Benefits Addressed</t>
  </si>
  <si>
    <t>Remarks</t>
  </si>
  <si>
    <t>Assesment of Economic Impact of Implementing RBP in Lactating Cows and Buffaloes under field conditions</t>
  </si>
  <si>
    <t>Junagadh in Gujarat</t>
  </si>
  <si>
    <t>Buffaloes : Jaffrabadi  Cows : Gir</t>
  </si>
  <si>
    <t>6-12 kg/day</t>
  </si>
  <si>
    <t>Marginal (&lt;1 hectare)</t>
  </si>
  <si>
    <t>Average Milk Yield/Day</t>
  </si>
  <si>
    <t>Average fat content(%)</t>
  </si>
  <si>
    <t xml:space="preserve">Effect of RBP on Methane Emission Reductions in Lactating Animals Under Field Conditions </t>
  </si>
  <si>
    <t>Buffloes : 22 
Cows :5</t>
  </si>
  <si>
    <t>Buffalo : 3rd-5th lactation. Prodn; 8-12 kg milk;6-7.5%fat ,  Cows : 4th -6th Lactation, Prodn: 9.5-12.5 kg, 4-4.5%fat</t>
  </si>
  <si>
    <t>--</t>
  </si>
  <si>
    <t>Energy Loss as methane (% of gross energy) - Buffalo</t>
  </si>
  <si>
    <t>Reduction in methane emissions due to RBP</t>
  </si>
  <si>
    <t>Energy Loss as methane (% of gross energy)- Cows</t>
  </si>
  <si>
    <t>Lactation trial of 120 days duration was conducted on 2536 lactating animals in 25 villages in Junagadh District in Guajrat</t>
  </si>
  <si>
    <t>Baseline emissions of alll the animals were estimated using Sulphur Hexaflouride techinque and then ration was balanced as per their nutrient requirement.</t>
  </si>
  <si>
    <t>Total</t>
  </si>
  <si>
    <t xml:space="preserve">1. Increase in milk productivity
2. Improved milk quality (milk solids) 3.Minimized unit cost of production 4. Opportunity cost of saved fodder can be calculated </t>
  </si>
  <si>
    <t>2011-12</t>
  </si>
  <si>
    <t>2012-13</t>
  </si>
  <si>
    <t>2013-14</t>
  </si>
  <si>
    <t>2014-15</t>
  </si>
  <si>
    <t>2015-16</t>
  </si>
  <si>
    <t>2016-17</t>
  </si>
  <si>
    <t>2017-18</t>
  </si>
  <si>
    <t>2018-19</t>
  </si>
  <si>
    <t>2019-20</t>
  </si>
  <si>
    <t>2020-21</t>
  </si>
  <si>
    <t>2021-22</t>
  </si>
  <si>
    <t>Sr. No.</t>
  </si>
  <si>
    <t>Year of Publication</t>
  </si>
  <si>
    <t>Lactating Animals : 2536  
Buffloes : 1709 
Cows :827</t>
  </si>
  <si>
    <t>Indian Journal of Animal Nutrition</t>
  </si>
  <si>
    <t xml:space="preserve"> Contribution of Feed &amp; Nutrition to Additional Milk Production</t>
  </si>
  <si>
    <t>A.</t>
  </si>
  <si>
    <t>Ration Balancing Programme RBP</t>
  </si>
  <si>
    <t>Current</t>
  </si>
  <si>
    <t>2022-23</t>
  </si>
  <si>
    <t>2023-24</t>
  </si>
  <si>
    <t>2024-25</t>
  </si>
  <si>
    <t>2025-26</t>
  </si>
  <si>
    <t>PDAs (Nos.)</t>
  </si>
  <si>
    <t>Villages (Nos)</t>
  </si>
  <si>
    <t>Animals covered (Nos)</t>
  </si>
  <si>
    <t>Net increase in milk production in the year  (million MT)</t>
  </si>
  <si>
    <t>Fodder Seed</t>
  </si>
  <si>
    <t>Fodder Seed Plants (Nos)</t>
  </si>
  <si>
    <t>Capacity of Fodder Seed Plants (MTD)</t>
  </si>
  <si>
    <t>Anticipated annual Fodder Seed Production (MT)</t>
  </si>
  <si>
    <t>Fodder seed required per hactare (Kg)</t>
  </si>
  <si>
    <t>Total area under fodder seed production (ha)</t>
  </si>
  <si>
    <t>Increase in fodder production per hactare (MT)</t>
  </si>
  <si>
    <t>Annual increase in fodder production (million MT)</t>
  </si>
  <si>
    <t>Increase in milk production for every 10 Kg fodder (Kg)</t>
  </si>
  <si>
    <t xml:space="preserve"> Devt of permanent pasture &amp; common grazing lands</t>
  </si>
  <si>
    <t>Live Fencing, Plantation, Perennial Grass Seeding, Land and Irrigation Development (Area to be covered)</t>
  </si>
  <si>
    <t>Incremental Biomass (From 0.75 MT/ hect/yr to 5.75 MT/hect/yr)</t>
  </si>
  <si>
    <t xml:space="preserve">Organising Varietal Demonstrations (1/10 of Hect)        </t>
  </si>
  <si>
    <t>Villages covered under Varietal Demonstrations (nos.)</t>
  </si>
  <si>
    <t>Details of savings in cost to Union/Dairy plant due to use of 
BMC's  vis a vis    Cans for milk collection</t>
  </si>
  <si>
    <t xml:space="preserve">Sr No.   </t>
  </si>
  <si>
    <t>Details  / particulas of savings</t>
  </si>
  <si>
    <t>Range of saving in cost in Rs per lt of milk *</t>
  </si>
  <si>
    <t xml:space="preserve"> Min</t>
  </si>
  <si>
    <t>Max</t>
  </si>
  <si>
    <t>TOTAL</t>
  </si>
  <si>
    <t xml:space="preserve">Note :  *The range is taken on lower scale. </t>
  </si>
  <si>
    <t>Other benefits  : -</t>
  </si>
  <si>
    <t xml:space="preserve">Benefits to  DCS  by installing BMCU </t>
  </si>
  <si>
    <t>4.   Marked improvement in quality of market liquid milk and products such as powder, paneer, dahi etc.</t>
  </si>
  <si>
    <t>1.   Increase in  handling capacity of plant as no restriction on milk receipt time ( morning and evening).</t>
  </si>
  <si>
    <t>2.   In case  of supply of bulk mik to other nearby unions  ( up to 250 kms), in case BMC's are installed then the milk can be transported directly to other union  without bringing to dairy  for pasteurisation / chilling ( thus saving in cost).</t>
  </si>
  <si>
    <t xml:space="preserve">3.   Due to good quality of  milk without dust / extraneous matter, performance of pasteurisers and separators is better and maintenance cost goes down </t>
  </si>
  <si>
    <t xml:space="preserve">5. Adulteration of milk and spillage from cans during transport can be eliminated  </t>
  </si>
  <si>
    <t>6.This offers a risk free working enivronment in dairies and innumerable options for value addition</t>
  </si>
  <si>
    <t>7. Saving of initial investment on purchase of cans</t>
  </si>
  <si>
    <t>Net increase in milk production in the year ('000 Tonnes)</t>
  </si>
  <si>
    <t>Reduction in Feeding Cost</t>
  </si>
  <si>
    <t>Rs/Kg</t>
  </si>
  <si>
    <t>Quantity of Additional Fat Produced  with RBP (Million tonnes)</t>
  </si>
  <si>
    <t>Million tonnes</t>
  </si>
  <si>
    <t>Parameters</t>
  </si>
  <si>
    <t>Phase I : Year ended 31 March</t>
  </si>
  <si>
    <t>Average increase in milk production due to the programme (KgPD/Animal)</t>
  </si>
  <si>
    <t>Rs/MT</t>
  </si>
  <si>
    <t>Million Rupees</t>
  </si>
  <si>
    <t>Total Incremental Costs</t>
  </si>
  <si>
    <t>Breed Improvement</t>
  </si>
  <si>
    <t>Semen Production</t>
  </si>
  <si>
    <t>AI Delivery</t>
  </si>
  <si>
    <t>Information Systems</t>
  </si>
  <si>
    <t>Fodder Development</t>
  </si>
  <si>
    <t>Animal Health care</t>
  </si>
  <si>
    <t>Milk Collection and Bulking</t>
  </si>
  <si>
    <t>Total Investment</t>
  </si>
  <si>
    <t>2026-27</t>
  </si>
  <si>
    <t>2027-28</t>
  </si>
  <si>
    <t>2028-29</t>
  </si>
  <si>
    <t>2029-30</t>
  </si>
  <si>
    <t>2030-31</t>
  </si>
  <si>
    <t>2031-32</t>
  </si>
  <si>
    <t>2032-33</t>
  </si>
  <si>
    <t>2033-34</t>
  </si>
  <si>
    <t>2034-35</t>
  </si>
  <si>
    <t>2036-37</t>
  </si>
  <si>
    <t>Operating Expense</t>
  </si>
  <si>
    <t>RBP</t>
  </si>
  <si>
    <t>New Semen Stations</t>
  </si>
  <si>
    <t>Proportion of Animals</t>
  </si>
  <si>
    <t>Type</t>
  </si>
  <si>
    <t>Indigenous</t>
  </si>
  <si>
    <t>Cross Bred</t>
  </si>
  <si>
    <t>Bufflaoes</t>
  </si>
  <si>
    <t>Methane Emissions Kg/animal/annum</t>
  </si>
  <si>
    <t>Reduction of methane emissions by 10%</t>
  </si>
  <si>
    <t>Certified Emission Reductions (CER)</t>
  </si>
  <si>
    <t>Tonnes/Animal/Annum</t>
  </si>
  <si>
    <t>Reduction in Methane Emissions (CER units per annum)</t>
  </si>
  <si>
    <t>Benefit due to reduction in Methane Emissions ( Rs million per annum)</t>
  </si>
  <si>
    <t>Animal Health</t>
  </si>
  <si>
    <t>Net increase in milk production in the year  (million MT*)</t>
  </si>
  <si>
    <t>CAPITAL INVESTMENT</t>
  </si>
  <si>
    <t>Daily Feeding Cost/kg Milk Production</t>
  </si>
  <si>
    <t>Import of bulls</t>
  </si>
  <si>
    <t>Information system</t>
  </si>
  <si>
    <t>Bull Production-PT</t>
  </si>
  <si>
    <t>LN</t>
  </si>
  <si>
    <t>Animal Nutrition - RBP</t>
  </si>
  <si>
    <t>BMCU: Operating expenditure</t>
  </si>
  <si>
    <t>Village level institutions operating expenditure</t>
  </si>
  <si>
    <t>Straw Densification Plant</t>
  </si>
  <si>
    <t>B</t>
  </si>
  <si>
    <t>C</t>
  </si>
  <si>
    <t>D</t>
  </si>
  <si>
    <t>Junagadh district in Gujarat</t>
  </si>
  <si>
    <t>Million Rs.</t>
  </si>
  <si>
    <t>The Union would pay Re .20/ltire to the DCS for the milk handled as savings from the non-operation of chilling centre</t>
  </si>
  <si>
    <t>^^ Report on evaluation (2003-04 to 2007-08) prepared by Centre for Management Development, Trivandrum to study the scheme "Stregthening Infrastructure for Quality and Clean Milk Production" implemented by Dept of AHDF, Govt of India</t>
  </si>
  <si>
    <t>Net Cost savings</t>
  </si>
  <si>
    <t>MR Garg, S A Biradar and A Kannan</t>
  </si>
  <si>
    <t>A Kannan and M R Garg</t>
  </si>
  <si>
    <t>Indian Journal of Dairy Sciences</t>
  </si>
  <si>
    <t>Methane Emission in buffaloes (g/animal/day)</t>
  </si>
  <si>
    <t>Total Reduction in Methane emissions in buffaloes and cows are 14.14% and 13.29% respectively  but for our calculations  we are taking  conservative estimates of 10% reduction</t>
  </si>
  <si>
    <t>Methane Emission in cows (g/animal/day)</t>
  </si>
  <si>
    <t>Effect of Ration Balancing on Methane Emission and Milk Production in Lactating Animals under Field Conditions in Raebareli District of Uttar Pradesh</t>
  </si>
  <si>
    <t>A Kannan, M.R. Garg and Pankaj Singh</t>
  </si>
  <si>
    <t>Raebareli District of Uttar Pradesh</t>
  </si>
  <si>
    <t>Buffaloes : 13 Cows : 13</t>
  </si>
  <si>
    <t>Buffalo : 2nd-4th lactation. Prodn; 4-6.5 kg milk; 5.0-6.5%fat ,  Cows : 3rd -4th Lactation, Prodn: 4.0-6.5 kg, 3.5-5.0%fat</t>
  </si>
  <si>
    <t>Total reduction in Methane emission in buffaloes and cows is 10.48 and 11.37%, respectively. For our calculations we have taken a conservative estimate of 10% methane emission reduction due to RBP.</t>
  </si>
  <si>
    <t>References</t>
  </si>
  <si>
    <t>NATCOM, 2004: India's Initial National Communication to UNFCCC, Ministry of Enviornment &amp; Forests, Government of India.</t>
  </si>
  <si>
    <r>
      <rPr>
        <b/>
        <sz val="11"/>
        <color theme="1"/>
        <rFont val="Bookman Old Style"/>
        <family val="1"/>
      </rPr>
      <t>Kannan,A., Garg,MR and Pankaj Singh.</t>
    </r>
    <r>
      <rPr>
        <sz val="11"/>
        <color theme="1"/>
        <rFont val="Bookman Old Style"/>
        <family val="1"/>
      </rPr>
      <t xml:space="preserve">2010. Effect of Ration Balancing on Methane Emission and Milk Production in Lactating Animals under Field Conditions in Rae Bareli district of Uttar Pradesh . Indian journal of Animal Nutrition.27(2):103-108 </t>
    </r>
  </si>
  <si>
    <r>
      <rPr>
        <b/>
        <sz val="11"/>
        <color theme="1"/>
        <rFont val="Bookman Old Style"/>
        <family val="1"/>
      </rPr>
      <t>Kannan,A. and Garg M R 2009.</t>
    </r>
    <r>
      <rPr>
        <sz val="11"/>
        <color theme="1"/>
        <rFont val="Bookman Old Style"/>
        <family val="1"/>
      </rPr>
      <t xml:space="preserve"> Effect of RBP on Methane Emission Reductions in Lactating Animals Under Field Conditions. Indian Journal of Dairy Science 62(4)292-296.  </t>
    </r>
    <r>
      <rPr>
        <b/>
        <sz val="11"/>
        <color theme="1"/>
        <rFont val="Bookman Old Style"/>
        <family val="1"/>
      </rPr>
      <t xml:space="preserve">Kannan,A., Garg,MR and Pankaj Singh.2010. </t>
    </r>
    <r>
      <rPr>
        <sz val="11"/>
        <color theme="1"/>
        <rFont val="Bookman Old Style"/>
        <family val="1"/>
      </rPr>
      <t xml:space="preserve">Effect of Ration Balancing on Methane Emission and Milk Production in Lactating Animals under Field Conditions in Rae Bareli district of Uttar Pradesh . Indian journal of Animal Nutrition.27(2):103-108 </t>
    </r>
  </si>
  <si>
    <t>Garg et al. (2009); Kannan and Garg (2009); Kannan et al. (2010)</t>
  </si>
  <si>
    <t>Website of IPCC, 2007. Climate Change 2007. The Physical Science Basis. Intergovernmental Panel on Climate Change.</t>
  </si>
  <si>
    <t>Spot carbon credit price taken from National Commodity &amp; Derivatives Exchange Limited of India,  2010</t>
  </si>
  <si>
    <t>(@195.79g/animal/day)</t>
  </si>
  <si>
    <t xml:space="preserve"> (@223.58 g/animal/day)</t>
  </si>
  <si>
    <t>Benefit per animal per annum @ Rs. 740 per CER (Rs.)</t>
  </si>
  <si>
    <t>Number of days in lactation considered</t>
  </si>
  <si>
    <t>Assumptions :</t>
  </si>
  <si>
    <t>Cross Breds</t>
  </si>
  <si>
    <t>Indigenous cows</t>
  </si>
  <si>
    <t>buffaloes</t>
  </si>
  <si>
    <t>Proportion Considered</t>
  </si>
  <si>
    <t>Total Semen Production from Strengthened SS under NDP-I</t>
  </si>
  <si>
    <t>Total Semen Production from New SS under NDP</t>
  </si>
  <si>
    <t>Semen produced in NDSP semen stations and from NDSP bulls</t>
  </si>
  <si>
    <t>lakh Doses</t>
  </si>
  <si>
    <t>Training: Strengthening SS</t>
  </si>
  <si>
    <t>Operating Expenses from New SS Model</t>
  </si>
  <si>
    <t>Operating expenses for Second New SS</t>
  </si>
  <si>
    <t>Training Expenses for New SS</t>
  </si>
  <si>
    <t>Training Expenses for Second New SS</t>
  </si>
  <si>
    <t>Operating Expenses for NGCs</t>
  </si>
  <si>
    <t>Operating Expenses for DCSs</t>
  </si>
  <si>
    <t>Total Operating Expenses for NGCs and DCSs</t>
  </si>
  <si>
    <t>Import of Bulls</t>
  </si>
  <si>
    <t xml:space="preserve">Fodder Development </t>
  </si>
  <si>
    <t xml:space="preserve">LN Delivery </t>
  </si>
  <si>
    <t>Capital Expenses for New SS</t>
  </si>
  <si>
    <t>Capital Expenses for second New SS</t>
  </si>
  <si>
    <t>Capital Expenses for Strengthening SS</t>
  </si>
  <si>
    <t>Total Capital Expenses</t>
  </si>
  <si>
    <t>Heifer Rearing</t>
  </si>
  <si>
    <t>Milk collection and Bulking</t>
  </si>
  <si>
    <t>Operating Expenses</t>
  </si>
  <si>
    <t>Total Operating Expenses</t>
  </si>
  <si>
    <t>Milk yield (Kg/day) : Buffaloes</t>
  </si>
  <si>
    <t>Milk yield (Kg/day) : Cows</t>
  </si>
  <si>
    <t>Milf fat (%) : Cows</t>
  </si>
  <si>
    <t>Milk fat (%) : Buffaloes</t>
  </si>
  <si>
    <t>90 % of the total percentage of reduction of daily feeding costs considered ( cosnervatism)</t>
  </si>
  <si>
    <t>Bull Production through PT</t>
  </si>
  <si>
    <t>Project Management Costs</t>
  </si>
  <si>
    <t>Productivity Enhancement Activities</t>
  </si>
  <si>
    <t>Straw Densification Plants ( Nos.)</t>
  </si>
  <si>
    <t>Capacity of Straw Densification Plants (MTD)</t>
  </si>
  <si>
    <t>Anticipated Annual Production (MT)</t>
  </si>
  <si>
    <t>Operating Exp for Fodder Seed Processing Plants</t>
  </si>
  <si>
    <t>Operating Exp for Straw Densification Plants</t>
  </si>
  <si>
    <t>Semen Stations</t>
  </si>
  <si>
    <t>Total Capex</t>
  </si>
  <si>
    <t>Year 1 : South region</t>
  </si>
  <si>
    <t>Year 3 : North Region 2 plants</t>
  </si>
  <si>
    <t>Year 2 : North region</t>
  </si>
  <si>
    <t>Year 5 : North Region : 1 plant</t>
  </si>
  <si>
    <t>Year 4 : South Region : 1 plant</t>
  </si>
  <si>
    <t>Year 6: South Region : 1 plant</t>
  </si>
  <si>
    <t>Yr-1</t>
  </si>
  <si>
    <t>Yr-2</t>
  </si>
  <si>
    <t>Yr-3</t>
  </si>
  <si>
    <t>Yr-4</t>
  </si>
  <si>
    <t>Yr-5</t>
  </si>
  <si>
    <t>Yr-6</t>
  </si>
  <si>
    <t>Yr-7</t>
  </si>
  <si>
    <t>Yr-8</t>
  </si>
  <si>
    <t>Yr-9</t>
  </si>
  <si>
    <t>Yr-10</t>
  </si>
  <si>
    <t>Yr-11</t>
  </si>
  <si>
    <t>Yr-12</t>
  </si>
  <si>
    <t>Yr-13</t>
  </si>
  <si>
    <t>Yr-14</t>
  </si>
  <si>
    <t>Yr-15</t>
  </si>
  <si>
    <t>Yr-16</t>
  </si>
  <si>
    <t>Yr-17</t>
  </si>
  <si>
    <t>Yr-18</t>
  </si>
  <si>
    <t>Yr-19</t>
  </si>
  <si>
    <t>Yr-20</t>
  </si>
  <si>
    <t>kg/animal/year</t>
  </si>
  <si>
    <t>Average/Animal Per annum (Methane emission)</t>
  </si>
  <si>
    <t>Carbon di-oxide equivalent ( 1 Kg of Methane = 25 Kg of CO2)</t>
  </si>
  <si>
    <t>Benefit due to increase in milk productivity (Rs Million pe annum)</t>
  </si>
  <si>
    <t>Total Benefits from RBP Programme</t>
  </si>
  <si>
    <t>Feed and Fodder Cost, %</t>
  </si>
  <si>
    <t>Reduction in Feed and Fodder Cost, %</t>
  </si>
  <si>
    <t>Milk Poduction with RBP intervention (Million tonnes), Incremental</t>
  </si>
  <si>
    <t>Weighted average milk yield, Kg/day</t>
  </si>
  <si>
    <t>Economic</t>
  </si>
  <si>
    <t>Cumulative</t>
  </si>
  <si>
    <t>Transportation</t>
  </si>
  <si>
    <t>Opearations</t>
  </si>
  <si>
    <t>Handling</t>
  </si>
  <si>
    <t>Processing</t>
  </si>
  <si>
    <t>Milk Productivity with RBP Intervention (Kg/day/animal), Incremental</t>
  </si>
  <si>
    <t>Incremental</t>
  </si>
  <si>
    <t>Lactn Yield, L</t>
  </si>
  <si>
    <t>l/day</t>
  </si>
  <si>
    <t>Average Mik yield ( l/day)</t>
  </si>
  <si>
    <t>Financial Gross Margin</t>
  </si>
  <si>
    <t>Financial Production Cost</t>
  </si>
  <si>
    <t>Unit Prodn Cost,  Rs/Kg</t>
  </si>
  <si>
    <t>Feed and Fodder Cost, Rs/Kg</t>
  </si>
  <si>
    <t>Savings in Feed and Fodder Cost, Rs/Kg</t>
  </si>
  <si>
    <t>Million Tonnes</t>
  </si>
  <si>
    <t>Million LPD</t>
  </si>
  <si>
    <t>Build up of BMC capacity</t>
  </si>
  <si>
    <t xml:space="preserve">Build up of BMC capacity </t>
  </si>
  <si>
    <t xml:space="preserve"> Total Build up of BMC Capacity </t>
  </si>
  <si>
    <t>BMC CAPACITY</t>
  </si>
  <si>
    <t>Million Kg PD</t>
  </si>
  <si>
    <t>Cost Savings due to BMC Handling</t>
  </si>
  <si>
    <t>Rs/l</t>
  </si>
  <si>
    <t>Conservatively applied</t>
  </si>
  <si>
    <t>Rs Million/annum</t>
  </si>
  <si>
    <t>Milk Procurement</t>
  </si>
  <si>
    <t>Real Price increase realized by the producers</t>
  </si>
  <si>
    <t>For EFA Analysis</t>
  </si>
  <si>
    <t>Adopters</t>
  </si>
  <si>
    <t>Increased Price due to Institutional Milk Procurement</t>
  </si>
  <si>
    <t>Rs Million/Year</t>
  </si>
  <si>
    <t>Yr-21</t>
  </si>
  <si>
    <t>Yr-22</t>
  </si>
  <si>
    <t>Yr-23</t>
  </si>
  <si>
    <t>Yr-24</t>
  </si>
  <si>
    <t>Yr-25</t>
  </si>
  <si>
    <t>Yr-26</t>
  </si>
  <si>
    <t>2007/08 prices</t>
  </si>
  <si>
    <t>2010/11 prices</t>
  </si>
  <si>
    <t>FINANCIAL   BENEFITS</t>
  </si>
  <si>
    <t>ECONOMIC BENEFITS</t>
  </si>
  <si>
    <t>Ratio of Economic to Financial Price</t>
  </si>
  <si>
    <t>Ecomomic Gross Margin</t>
  </si>
  <si>
    <t>Economic Production Cost</t>
  </si>
  <si>
    <t>Zone-1</t>
  </si>
  <si>
    <t>Zone-2</t>
  </si>
  <si>
    <t>Milk Prodn</t>
  </si>
  <si>
    <t>Feed Cost</t>
  </si>
  <si>
    <t>Economic Benefit Calculation</t>
  </si>
  <si>
    <t>Transport Fuel Cost</t>
  </si>
  <si>
    <t>Power savings due to elimination of chilling and steam sterilization</t>
  </si>
  <si>
    <t>Cost savings due to elimination of cans</t>
  </si>
  <si>
    <t>Power savings due to lower pasteurization temp (by 2-3 degrees) needs</t>
  </si>
  <si>
    <t>Reduced variation in SNF and Fat</t>
  </si>
  <si>
    <t>Elimination of sourage and curdling of milk</t>
  </si>
  <si>
    <t>Cost</t>
  </si>
  <si>
    <t>Factor</t>
  </si>
  <si>
    <t>Semen produced by non-NDSP semen stations but from NDSP bulls</t>
  </si>
  <si>
    <t>Transportation Cost ^^ :
There is saving in cost of raw milk transporation to dairy in case BMC's are installed. The cost of transportation varies  based on number of factors such as density of milk procurement , route length etc . The details are worked based on data conveyed by the different dairy plants .</t>
  </si>
  <si>
    <r>
      <t xml:space="preserve">Elimination of </t>
    </r>
    <r>
      <rPr>
        <sz val="10"/>
        <color indexed="8"/>
        <rFont val="Bookman Old Style"/>
        <family val="1"/>
      </rPr>
      <t>variation in quantity,fat and SNF. As informed , the average savings comes to approx 0.105% ^^of FAT and 0.09 % ^^of SNF. Considering rate of milk as Rs 18.00 to 20.00 per Kg , the saving is</t>
    </r>
  </si>
  <si>
    <t>Due to elimination of need for refrigeration / can cleaning/ sterilization with steam . The saving due to elimination of chilling comes to approx Rs 0.10-0.17 per liltre of milk and due to elimination of steam/ can operation in can washer comes to approx Rs 0.02 to 0.03 paise per litre of milk.</t>
  </si>
  <si>
    <r>
      <t>Elimination of</t>
    </r>
    <r>
      <rPr>
        <sz val="10"/>
        <color indexed="8"/>
        <rFont val="Bookman Old Style"/>
        <family val="1"/>
      </rPr>
      <t xml:space="preserve"> sourage / curdling of milk supplied to dairy plant. Considering  sourage/ curdling of approx 1.5 % ^^of milk ( as reported by study conducted by Center for Management Development, Trivandrum) and rate of Rs 18.00 to Rs 20.00 per Kg of milk, the saving is</t>
    </r>
  </si>
  <si>
    <t>Due to reduction in labour charges for handling cans and tankers at  dairy plant. Considering minimum volume of 10,000 lpd, the can reception ( for 2 shifts)  shall need 6 handling  persons @ Rs 100 per person ( Rs 0.06 per lt ). In case of handlin tankers , only 2 handling persons ae needed. So the saving is approx  rs 0.04 per litre of milk handled.</t>
  </si>
  <si>
    <r>
      <t>Due to</t>
    </r>
    <r>
      <rPr>
        <sz val="10"/>
        <color indexed="8"/>
        <rFont val="Bookman Old Style"/>
        <family val="1"/>
      </rPr>
      <t xml:space="preserve"> reduction in manpower for handling cans . Saving of 1 person per DCS @Rs 100 per day per peson for handling approx  2000 lts to 2400 lts  of milk per day</t>
    </r>
  </si>
  <si>
    <t>Elimination of  cost related to replacement/ damage to the cans. The life of cans is taken as 7 years and cost of repairs is approx Rs 2500 in 7 years.</t>
  </si>
  <si>
    <r>
      <t>Due to receipt of</t>
    </r>
    <r>
      <rPr>
        <sz val="10"/>
        <color indexed="8"/>
        <rFont val="Bookman Old Style"/>
        <family val="1"/>
      </rPr>
      <t xml:space="preserve"> Quality Incentive from Union for good quality of milk . Generally it is (minimum)@ Rs3 to  5 per Kg fat  for average 5-6% fat</t>
    </r>
  </si>
  <si>
    <r>
      <rPr>
        <sz val="10"/>
        <color indexed="8"/>
        <rFont val="Bookman Old Style"/>
        <family val="1"/>
      </rPr>
      <t>Due to need for keeping lower pasteurisation temp in case of receipt of milk through BMC's and cans . Difference of approx 2 to 3 deg C</t>
    </r>
  </si>
  <si>
    <r>
      <rPr>
        <sz val="10"/>
        <color indexed="8"/>
        <rFont val="Bookman Old Style"/>
        <family val="1"/>
      </rPr>
      <t>Note:  In addition to the above , the DCS gets paid  from Union for  cooling and BMC cleaning charges  approx @ Rs 0.18 to Rs 0.20 per lt of milk.</t>
    </r>
  </si>
  <si>
    <t>Saving</t>
  </si>
</sst>
</file>

<file path=xl/styles.xml><?xml version="1.0" encoding="utf-8"?>
<styleSheet xmlns="http://schemas.openxmlformats.org/spreadsheetml/2006/main">
  <numFmts count="39">
    <numFmt numFmtId="43" formatCode="_(* #,##0.00_);_(* \(#,##0.00\);_(* &quot;-&quot;??_);_(@_)"/>
    <numFmt numFmtId="164" formatCode="0.0"/>
    <numFmt numFmtId="165" formatCode="0.000"/>
    <numFmt numFmtId="166" formatCode="0.0000"/>
    <numFmt numFmtId="167" formatCode="0.00000"/>
    <numFmt numFmtId="168" formatCode="0.0%"/>
    <numFmt numFmtId="169" formatCode="#,##0\ ;\(#,##0\);&quot;-&quot;;@"/>
    <numFmt numFmtId="170" formatCode="#,##0_);\(#,##0\);0_);* @_)"/>
    <numFmt numFmtId="171" formatCode="#,##0.0_);\(#,##0.0\);0.0_);* @_)"/>
    <numFmt numFmtId="172" formatCode="#,##0.00_);\(#,##0.00\);0.00_);* @_)"/>
    <numFmt numFmtId="173" formatCode="#,##0.000_);\(#,##0.000\);0.000_);* @_)"/>
    <numFmt numFmtId="174" formatCode="#,##0.0000_);\(#,##0.0000\);0.0000_);* @_)"/>
    <numFmt numFmtId="175" formatCode="d\-mmm;[Red]&quot;Not date&quot;;&quot;-&quot;;[Red]* &quot;Not date&quot;"/>
    <numFmt numFmtId="176" formatCode="d\-mmm\-yyyy;[Red]&quot;Not date&quot;;&quot;-&quot;;[Red]* &quot;Not date&quot;"/>
    <numFmt numFmtId="177" formatCode="d\-mmm\-yyyy\ h:mm\ AM/PM;[Red]* &quot;Not date&quot;;&quot;-&quot;;[Red]* &quot;Not date&quot;"/>
    <numFmt numFmtId="178" formatCode="d/mm/yyyy;[Red]* &quot;Not date&quot;;&quot;-&quot;;[Red]* &quot;Not date&quot;"/>
    <numFmt numFmtId="179" formatCode="mm/dd/yyyy;[Red]* &quot;Not date&quot;;&quot;-&quot;;[Red]* &quot;Not date&quot;"/>
    <numFmt numFmtId="180" formatCode="mmm\-yy;[Red]* &quot;Not date&quot;;&quot;-&quot;;[Red]* &quot;Not date&quot;"/>
    <numFmt numFmtId="181" formatCode="0;\-0;0;* @"/>
    <numFmt numFmtId="182" formatCode="h:mm\ AM/PM;[Red]* &quot;Not time&quot;;\-;[Red]* &quot;Not time&quot;"/>
    <numFmt numFmtId="183" formatCode="[h]:mm;[Red]* &quot;Not time&quot;;[h]:mm;[Red]* &quot;Not time&quot;"/>
    <numFmt numFmtId="184" formatCode="_-* #,##0.00_-;\-* #,##0.00_-;_-* &quot;-&quot;??_-;_-@_-"/>
    <numFmt numFmtId="185" formatCode="0%;\-0%;0%;* @_%"/>
    <numFmt numFmtId="186" formatCode="0.0%;\-0.0%;0.0%;* @_%"/>
    <numFmt numFmtId="187" formatCode="0.00%;\-0.00%;0.00%;* @_%"/>
    <numFmt numFmtId="188" formatCode="0.000%;\-0.000%;0.000%;* @_%"/>
    <numFmt numFmtId="189" formatCode="&quot;$&quot;* #,##0_);&quot;$&quot;* \(#,##0\);&quot;$&quot;* 0_);* @_)"/>
    <numFmt numFmtId="190" formatCode="&quot;$&quot;* #,##0.0_);&quot;$&quot;* \(#,##0.0\);&quot;$&quot;* 0.0_);* @_)"/>
    <numFmt numFmtId="191" formatCode="&quot;$&quot;* #,##0.00_);&quot;$&quot;* \(#,##0.00\);&quot;$&quot;* 0.00_);* @_)"/>
    <numFmt numFmtId="192" formatCode="&quot;$&quot;* #,##0.000_);&quot;$&quot;* \(#,##0.000\);&quot;$&quot;* 0.000_);* @_)"/>
    <numFmt numFmtId="193" formatCode="&quot;$&quot;* #,##0.0000_);&quot;$&quot;* \(#,##0.0000\);&quot;$&quot;* 0.0000_);* @_)"/>
    <numFmt numFmtId="194" formatCode="_-&quot;$&quot;* #,##0.00_-;\-&quot;$&quot;* #,##0.00_-;_-&quot;$&quot;* &quot;-&quot;??_-;_-@_-"/>
    <numFmt numFmtId="195" formatCode="d\-mmm\-yyyy;[Red]* &quot;Not date&quot;;&quot;-&quot;;[Red]* &quot;Not date&quot;"/>
    <numFmt numFmtId="196" formatCode="d\-mmm\-yyyy\ h:mm\ AM/PM;[Red]* &quot;Not time&quot;;0;[Red]* &quot;Not time&quot;"/>
    <numFmt numFmtId="197" formatCode="&quot;$&quot;#,##0.00"/>
    <numFmt numFmtId="198" formatCode="0.00_)"/>
    <numFmt numFmtId="199" formatCode="_-* #,##0_-;[Red]\(\ #,##0\);_-* &quot;-&quot;??_-;_-@_-"/>
    <numFmt numFmtId="200" formatCode="0.000000"/>
    <numFmt numFmtId="201" formatCode="0.00000000000000"/>
  </numFmts>
  <fonts count="47">
    <font>
      <sz val="11"/>
      <color theme="1"/>
      <name val="Calibri"/>
      <family val="2"/>
      <scheme val="minor"/>
    </font>
    <font>
      <sz val="10"/>
      <color theme="1"/>
      <name val="Bookman Old Style"/>
      <family val="1"/>
    </font>
    <font>
      <sz val="11"/>
      <color theme="1"/>
      <name val="Bookman Old Style"/>
      <family val="1"/>
    </font>
    <font>
      <b/>
      <sz val="11"/>
      <color theme="1"/>
      <name val="Bookman Old Style"/>
      <family val="1"/>
    </font>
    <font>
      <b/>
      <sz val="10"/>
      <color theme="1"/>
      <name val="Bookman Old Style"/>
      <family val="1"/>
    </font>
    <font>
      <sz val="10"/>
      <color indexed="8"/>
      <name val="Bookman Old Style"/>
      <family val="1"/>
    </font>
    <font>
      <sz val="11"/>
      <name val="Bookman Old Style"/>
      <family val="1"/>
    </font>
    <font>
      <b/>
      <sz val="10"/>
      <name val="Bookman Old Style"/>
      <family val="1"/>
    </font>
    <font>
      <sz val="10"/>
      <name val="Bookman Old Style"/>
      <family val="1"/>
    </font>
    <font>
      <sz val="10"/>
      <name val="Arial"/>
      <family val="2"/>
    </font>
    <font>
      <b/>
      <sz val="10"/>
      <name val="Arial"/>
      <family val="2"/>
    </font>
    <font>
      <sz val="10"/>
      <name val="Arial"/>
      <family val="2"/>
    </font>
    <font>
      <b/>
      <sz val="10"/>
      <name val="Times New Roman"/>
      <family val="1"/>
    </font>
    <font>
      <sz val="10"/>
      <name val="Times New Roman"/>
      <family val="1"/>
    </font>
    <font>
      <b/>
      <i/>
      <sz val="10"/>
      <name val="Times New Roman"/>
      <family val="1"/>
    </font>
    <font>
      <b/>
      <sz val="10"/>
      <color indexed="8"/>
      <name val="Times New Roman"/>
      <family val="1"/>
    </font>
    <font>
      <sz val="10"/>
      <color indexed="8"/>
      <name val="Times New Roman"/>
      <family val="1"/>
    </font>
    <font>
      <sz val="10"/>
      <color theme="1"/>
      <name val="Times New Roman"/>
      <family val="1"/>
    </font>
    <font>
      <b/>
      <sz val="10"/>
      <color rgb="FF000000"/>
      <name val="Bookman Old Style"/>
      <family val="1"/>
    </font>
    <font>
      <sz val="11"/>
      <color theme="1"/>
      <name val="Calibri"/>
      <family val="2"/>
      <scheme val="minor"/>
    </font>
    <font>
      <b/>
      <sz val="12"/>
      <color theme="1"/>
      <name val="Bookman Old Style"/>
      <family val="1"/>
    </font>
    <font>
      <sz val="11"/>
      <color rgb="FF000000"/>
      <name val="Bookman Old Style"/>
      <family val="1"/>
    </font>
    <font>
      <sz val="11"/>
      <color theme="1"/>
      <name val="Bookman Old Style"/>
      <family val="2"/>
    </font>
    <font>
      <i/>
      <sz val="9"/>
      <name val="Times New Roman"/>
      <family val="1"/>
    </font>
    <font>
      <u/>
      <sz val="11"/>
      <color theme="10"/>
      <name val="Calibri"/>
      <family val="2"/>
    </font>
    <font>
      <sz val="11"/>
      <color indexed="8"/>
      <name val="Calibri"/>
      <family val="2"/>
    </font>
    <font>
      <sz val="8"/>
      <color indexed="81"/>
      <name val="Tahoma"/>
      <family val="2"/>
    </font>
    <font>
      <b/>
      <sz val="8"/>
      <color indexed="81"/>
      <name val="Tahoma"/>
      <family val="2"/>
    </font>
    <font>
      <sz val="12"/>
      <name val="Arial"/>
      <family val="2"/>
    </font>
    <font>
      <sz val="8"/>
      <name val="Arial"/>
      <family val="2"/>
    </font>
    <font>
      <b/>
      <sz val="8"/>
      <name val="Arial"/>
      <family val="2"/>
    </font>
    <font>
      <sz val="8"/>
      <color indexed="8"/>
      <name val="Arial"/>
      <family val="2"/>
    </font>
    <font>
      <b/>
      <sz val="14"/>
      <name val="Arial"/>
      <family val="2"/>
    </font>
    <font>
      <b/>
      <sz val="12"/>
      <name val="Arial"/>
      <family val="2"/>
    </font>
    <font>
      <u/>
      <sz val="8"/>
      <color indexed="12"/>
      <name val="Arial"/>
      <family val="2"/>
    </font>
    <font>
      <sz val="8"/>
      <color indexed="12"/>
      <name val="Arial"/>
      <family val="2"/>
    </font>
    <font>
      <b/>
      <sz val="8"/>
      <color indexed="12"/>
      <name val="Arial"/>
      <family val="2"/>
    </font>
    <font>
      <b/>
      <sz val="10"/>
      <color indexed="9"/>
      <name val="Arial"/>
      <family val="2"/>
    </font>
    <font>
      <b/>
      <i/>
      <sz val="16"/>
      <name val="Helv"/>
    </font>
    <font>
      <sz val="10"/>
      <name val="MS Sans Serif"/>
      <family val="2"/>
    </font>
    <font>
      <sz val="10"/>
      <color indexed="12"/>
      <name val="Arial"/>
      <family val="2"/>
    </font>
    <font>
      <sz val="11"/>
      <name val="Times New Roman"/>
      <family val="1"/>
    </font>
    <font>
      <sz val="12"/>
      <color theme="1"/>
      <name val="Bookman Old Style"/>
      <family val="1"/>
    </font>
    <font>
      <sz val="10"/>
      <color theme="0"/>
      <name val="Bookman Old Style"/>
      <family val="1"/>
    </font>
    <font>
      <i/>
      <sz val="10"/>
      <color theme="1"/>
      <name val="Bookman Old Style"/>
      <family val="1"/>
    </font>
    <font>
      <sz val="10"/>
      <color rgb="FFFF0000"/>
      <name val="Bookman Old Style"/>
      <family val="1"/>
    </font>
    <font>
      <sz val="10"/>
      <color rgb="FF0033CC"/>
      <name val="Bookman Old Style"/>
      <family val="1"/>
    </font>
  </fonts>
  <fills count="20">
    <fill>
      <patternFill patternType="none"/>
    </fill>
    <fill>
      <patternFill patternType="gray125"/>
    </fill>
    <fill>
      <patternFill patternType="solid">
        <fgColor theme="7" tint="0.5999938962981048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0000"/>
        <bgColor indexed="64"/>
      </patternFill>
    </fill>
    <fill>
      <patternFill patternType="solid">
        <fgColor indexed="42"/>
        <bgColor indexed="64"/>
      </patternFill>
    </fill>
    <fill>
      <patternFill patternType="solid">
        <fgColor indexed="32"/>
        <bgColor indexed="64"/>
      </patternFill>
    </fill>
    <fill>
      <patternFill patternType="solid">
        <fgColor indexed="26"/>
      </patternFill>
    </fill>
    <fill>
      <patternFill patternType="solid">
        <fgColor rgb="FF99FF66"/>
        <bgColor indexed="64"/>
      </patternFill>
    </fill>
    <fill>
      <patternFill patternType="solid">
        <fgColor theme="0" tint="-0.14999847407452621"/>
        <bgColor indexed="64"/>
      </patternFill>
    </fill>
    <fill>
      <patternFill patternType="solid">
        <fgColor rgb="FF00FFFF"/>
        <bgColor indexed="64"/>
      </patternFill>
    </fill>
    <fill>
      <patternFill patternType="solid">
        <fgColor rgb="FFFF99FF"/>
        <bgColor indexed="64"/>
      </patternFill>
    </fill>
    <fill>
      <patternFill patternType="solid">
        <fgColor rgb="FF00CCFF"/>
        <bgColor indexed="64"/>
      </patternFill>
    </fill>
    <fill>
      <patternFill patternType="solid">
        <fgColor rgb="FF002060"/>
        <bgColor indexed="64"/>
      </patternFill>
    </fill>
    <fill>
      <patternFill patternType="solid">
        <fgColor rgb="FF7030A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top/>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medium">
        <color indexed="64"/>
      </bottom>
      <diagonal/>
    </border>
  </borders>
  <cellStyleXfs count="142">
    <xf numFmtId="0" fontId="0" fillId="0" borderId="0"/>
    <xf numFmtId="0" fontId="9" fillId="0" borderId="0"/>
    <xf numFmtId="0" fontId="11" fillId="0" borderId="0"/>
    <xf numFmtId="9" fontId="19" fillId="0" borderId="0" applyFont="0" applyFill="0" applyBorder="0" applyAlignment="0" applyProtection="0"/>
    <xf numFmtId="0" fontId="22" fillId="0" borderId="0"/>
    <xf numFmtId="0" fontId="24" fillId="0" borderId="0" applyNumberFormat="0" applyFill="0" applyBorder="0" applyAlignment="0" applyProtection="0">
      <alignment vertical="top"/>
      <protection locked="0"/>
    </xf>
    <xf numFmtId="9" fontId="9" fillId="0" borderId="0" applyFont="0" applyFill="0" applyBorder="0" applyAlignment="0" applyProtection="0"/>
    <xf numFmtId="9" fontId="9" fillId="0" borderId="0" applyFont="0" applyFill="0" applyBorder="0" applyAlignment="0" applyProtection="0"/>
    <xf numFmtId="0" fontId="25" fillId="0" borderId="0"/>
    <xf numFmtId="0" fontId="9" fillId="0" borderId="0"/>
    <xf numFmtId="0" fontId="28" fillId="0" borderId="0"/>
    <xf numFmtId="169" fontId="9" fillId="0" borderId="0">
      <alignment vertical="top"/>
    </xf>
    <xf numFmtId="169" fontId="9" fillId="0" borderId="0">
      <alignment vertical="top"/>
    </xf>
    <xf numFmtId="169" fontId="9" fillId="0" borderId="0">
      <alignment vertical="top"/>
    </xf>
    <xf numFmtId="0" fontId="28" fillId="0" borderId="0"/>
    <xf numFmtId="169" fontId="9" fillId="0" borderId="0">
      <alignment vertical="top"/>
    </xf>
    <xf numFmtId="0" fontId="9" fillId="0" borderId="0"/>
    <xf numFmtId="169" fontId="9" fillId="0" borderId="0">
      <alignment vertical="top"/>
    </xf>
    <xf numFmtId="169" fontId="9" fillId="0" borderId="0">
      <alignment vertical="top"/>
    </xf>
    <xf numFmtId="169" fontId="9" fillId="0" borderId="0">
      <alignment vertical="top"/>
    </xf>
    <xf numFmtId="169" fontId="9" fillId="0" borderId="0">
      <alignment vertical="top"/>
    </xf>
    <xf numFmtId="169" fontId="9" fillId="0" borderId="0">
      <alignment vertical="top"/>
    </xf>
    <xf numFmtId="169" fontId="9" fillId="0" borderId="0">
      <alignment vertical="top"/>
    </xf>
    <xf numFmtId="169" fontId="9" fillId="0" borderId="0">
      <alignment vertical="top"/>
    </xf>
    <xf numFmtId="169" fontId="9" fillId="0" borderId="0">
      <alignment vertical="top"/>
    </xf>
    <xf numFmtId="169" fontId="9" fillId="0" borderId="0">
      <alignment vertical="top"/>
    </xf>
    <xf numFmtId="169" fontId="9" fillId="0" borderId="0">
      <alignment vertical="top"/>
    </xf>
    <xf numFmtId="169" fontId="9" fillId="0" borderId="0">
      <alignment vertical="top"/>
    </xf>
    <xf numFmtId="169" fontId="9" fillId="0" borderId="0">
      <alignment vertical="top"/>
    </xf>
    <xf numFmtId="0" fontId="29" fillId="0" borderId="0" applyFill="0" applyBorder="0"/>
    <xf numFmtId="0" fontId="9" fillId="0" borderId="0" applyNumberFormat="0" applyFont="0" applyFill="0" applyBorder="0" applyAlignment="0" applyProtection="0"/>
    <xf numFmtId="170" fontId="29" fillId="0" borderId="0" applyFill="0" applyBorder="0">
      <alignment vertical="top"/>
    </xf>
    <xf numFmtId="170" fontId="30" fillId="0" borderId="0" applyFill="0" applyBorder="0">
      <alignment vertical="top"/>
    </xf>
    <xf numFmtId="171" fontId="29" fillId="0" borderId="0" applyFill="0" applyBorder="0">
      <alignment vertical="top"/>
    </xf>
    <xf numFmtId="172" fontId="29" fillId="0" borderId="0" applyFill="0" applyBorder="0">
      <alignment vertical="top"/>
    </xf>
    <xf numFmtId="173" fontId="29" fillId="0" borderId="0" applyFill="0" applyBorder="0">
      <alignment vertical="top"/>
    </xf>
    <xf numFmtId="174" fontId="29" fillId="0" borderId="0" applyFill="0" applyBorder="0">
      <alignment vertical="top"/>
    </xf>
    <xf numFmtId="175" fontId="29" fillId="0" borderId="0" applyFill="0" applyBorder="0">
      <alignment vertical="top"/>
    </xf>
    <xf numFmtId="176" fontId="29" fillId="0" borderId="0" applyFill="0" applyBorder="0">
      <alignment vertical="top"/>
    </xf>
    <xf numFmtId="177" fontId="29" fillId="0" borderId="0" applyFill="0" applyBorder="0">
      <alignment vertical="top"/>
    </xf>
    <xf numFmtId="178" fontId="29" fillId="0" borderId="0" applyFill="0" applyBorder="0">
      <alignment vertical="top"/>
    </xf>
    <xf numFmtId="179" fontId="29" fillId="0" borderId="0" applyFill="0" applyBorder="0">
      <alignment vertical="top"/>
    </xf>
    <xf numFmtId="180" fontId="29" fillId="0" borderId="0" applyFill="0" applyBorder="0">
      <alignment vertical="top"/>
    </xf>
    <xf numFmtId="180" fontId="29" fillId="0" borderId="0" applyFill="0" applyBorder="0">
      <alignment horizontal="center" vertical="top"/>
    </xf>
    <xf numFmtId="181" fontId="29" fillId="0" borderId="0" applyFill="0" applyBorder="0">
      <alignment vertical="top"/>
    </xf>
    <xf numFmtId="182" fontId="29" fillId="0" borderId="0" applyFill="0" applyBorder="0">
      <alignment vertical="top"/>
    </xf>
    <xf numFmtId="183" fontId="29" fillId="0" borderId="0" applyFill="0" applyBorder="0">
      <alignment vertical="top"/>
    </xf>
    <xf numFmtId="17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4" fontId="9" fillId="0" borderId="0" applyFont="0" applyFill="0" applyBorder="0" applyAlignment="0" applyProtection="0"/>
    <xf numFmtId="43" fontId="9" fillId="0" borderId="0" applyFont="0" applyFill="0" applyBorder="0" applyAlignment="0" applyProtection="0">
      <alignment wrapText="1"/>
    </xf>
    <xf numFmtId="184" fontId="9" fillId="0" borderId="0" applyFont="0" applyFill="0" applyBorder="0" applyAlignment="0" applyProtection="0"/>
    <xf numFmtId="185" fontId="29" fillId="0" borderId="0" applyFill="0" applyBorder="0">
      <alignment vertical="top"/>
    </xf>
    <xf numFmtId="186" fontId="31" fillId="0" borderId="0" applyFill="0" applyBorder="0">
      <alignment vertical="top"/>
    </xf>
    <xf numFmtId="187" fontId="29" fillId="0" borderId="0" applyFill="0" applyBorder="0">
      <alignment vertical="top"/>
    </xf>
    <xf numFmtId="188" fontId="29" fillId="0" borderId="0" applyFill="0" applyBorder="0">
      <alignment vertical="top"/>
    </xf>
    <xf numFmtId="189" fontId="29" fillId="0" borderId="0" applyFill="0" applyBorder="0">
      <alignment vertical="top"/>
    </xf>
    <xf numFmtId="190" fontId="29" fillId="0" borderId="0" applyFill="0" applyBorder="0">
      <alignment vertical="top"/>
    </xf>
    <xf numFmtId="191" fontId="29" fillId="0" borderId="0" applyFill="0" applyBorder="0">
      <alignment vertical="top"/>
    </xf>
    <xf numFmtId="192" fontId="29" fillId="0" borderId="0" applyFill="0" applyBorder="0">
      <alignment vertical="top"/>
    </xf>
    <xf numFmtId="193" fontId="29" fillId="0" borderId="0" applyFill="0" applyBorder="0">
      <alignment vertical="top"/>
    </xf>
    <xf numFmtId="194" fontId="9" fillId="0" borderId="0" applyFont="0" applyFill="0" applyBorder="0" applyAlignment="0" applyProtection="0"/>
    <xf numFmtId="0" fontId="32" fillId="0" borderId="0" applyFill="0" applyBorder="0">
      <alignment vertical="top"/>
    </xf>
    <xf numFmtId="0" fontId="33" fillId="0" borderId="0" applyFill="0" applyBorder="0">
      <alignment vertical="top"/>
    </xf>
    <xf numFmtId="0" fontId="10" fillId="0" borderId="0" applyFill="0" applyBorder="0">
      <alignment vertical="top"/>
    </xf>
    <xf numFmtId="0" fontId="30" fillId="0" borderId="0" applyFill="0" applyBorder="0">
      <alignment vertical="top"/>
    </xf>
    <xf numFmtId="0" fontId="34" fillId="0" borderId="0" applyFill="0" applyBorder="0">
      <alignment horizontal="left" vertical="top"/>
      <protection hidden="1"/>
    </xf>
    <xf numFmtId="0" fontId="34" fillId="0" borderId="0" applyFill="0" applyBorder="0">
      <alignment horizontal="left" vertical="top" indent="1"/>
      <protection hidden="1"/>
    </xf>
    <xf numFmtId="0" fontId="34" fillId="0" borderId="0" applyFill="0" applyBorder="0">
      <alignment horizontal="left" vertical="top" indent="2"/>
      <protection hidden="1"/>
    </xf>
    <xf numFmtId="0" fontId="34" fillId="0" borderId="0" applyFill="0" applyBorder="0">
      <alignment horizontal="left" vertical="top" indent="3"/>
      <protection hidden="1"/>
    </xf>
    <xf numFmtId="170" fontId="35" fillId="0" borderId="0" applyFill="0" applyBorder="0">
      <alignment vertical="top"/>
      <protection locked="0"/>
    </xf>
    <xf numFmtId="171" fontId="35" fillId="0" borderId="0" applyFill="0" applyBorder="0">
      <alignment vertical="top"/>
      <protection locked="0"/>
    </xf>
    <xf numFmtId="172" fontId="35" fillId="0" borderId="0" applyFill="0" applyBorder="0">
      <alignment vertical="top"/>
      <protection locked="0"/>
    </xf>
    <xf numFmtId="172" fontId="36" fillId="0" borderId="0" applyFill="0" applyBorder="0">
      <alignment vertical="top"/>
      <protection locked="0"/>
    </xf>
    <xf numFmtId="173" fontId="35" fillId="0" borderId="0" applyFill="0" applyBorder="0">
      <alignment vertical="top"/>
      <protection locked="0"/>
    </xf>
    <xf numFmtId="174" fontId="35" fillId="0" borderId="0" applyFill="0" applyBorder="0">
      <alignment vertical="top"/>
      <protection locked="0"/>
    </xf>
    <xf numFmtId="175" fontId="35" fillId="0" borderId="0" applyFill="0" applyBorder="0">
      <alignment vertical="top"/>
      <protection locked="0"/>
    </xf>
    <xf numFmtId="195" fontId="35" fillId="0" borderId="0" applyFill="0" applyBorder="0">
      <alignment vertical="top"/>
      <protection locked="0"/>
    </xf>
    <xf numFmtId="196" fontId="35" fillId="0" borderId="0" applyFill="0" applyBorder="0">
      <alignment vertical="top"/>
      <protection locked="0"/>
    </xf>
    <xf numFmtId="178" fontId="35" fillId="0" borderId="0" applyFill="0" applyBorder="0">
      <alignment vertical="top"/>
      <protection locked="0"/>
    </xf>
    <xf numFmtId="179" fontId="35" fillId="0" borderId="0" applyFill="0" applyBorder="0">
      <alignment vertical="top"/>
      <protection locked="0"/>
    </xf>
    <xf numFmtId="180" fontId="35" fillId="0" borderId="0" applyFill="0" applyBorder="0">
      <alignment vertical="top"/>
      <protection locked="0"/>
    </xf>
    <xf numFmtId="181" fontId="35" fillId="0" borderId="0" applyFill="0" applyBorder="0">
      <alignment vertical="top"/>
      <protection locked="0"/>
    </xf>
    <xf numFmtId="181" fontId="36" fillId="0" borderId="0" applyFill="0" applyBorder="0">
      <alignment vertical="top"/>
      <protection locked="0"/>
    </xf>
    <xf numFmtId="181" fontId="35" fillId="0" borderId="0" applyFill="0" applyBorder="0">
      <alignment vertical="top"/>
      <protection locked="0"/>
    </xf>
    <xf numFmtId="49" fontId="35" fillId="0" borderId="0" applyFill="0" applyBorder="0">
      <alignment vertical="top"/>
      <protection locked="0"/>
    </xf>
    <xf numFmtId="49" fontId="36" fillId="0" borderId="0" applyFill="0" applyBorder="0">
      <alignment vertical="top"/>
      <protection locked="0"/>
    </xf>
    <xf numFmtId="0" fontId="35" fillId="0" borderId="0" applyFill="0" applyBorder="0">
      <alignment vertical="top" wrapText="1"/>
      <protection locked="0"/>
    </xf>
    <xf numFmtId="182" fontId="35" fillId="0" borderId="0" applyFill="0" applyBorder="0">
      <alignment vertical="top"/>
      <protection locked="0"/>
    </xf>
    <xf numFmtId="183" fontId="35" fillId="0" borderId="0" applyFill="0" applyBorder="0">
      <alignment vertical="top"/>
      <protection locked="0"/>
    </xf>
    <xf numFmtId="185" fontId="35" fillId="0" borderId="0" applyFill="0" applyBorder="0">
      <alignment vertical="top"/>
      <protection locked="0"/>
    </xf>
    <xf numFmtId="186" fontId="35" fillId="0" borderId="0" applyFill="0" applyBorder="0">
      <alignment vertical="top"/>
      <protection locked="0"/>
    </xf>
    <xf numFmtId="187" fontId="35" fillId="0" borderId="0" applyFill="0" applyBorder="0">
      <alignment vertical="top"/>
      <protection locked="0"/>
    </xf>
    <xf numFmtId="188" fontId="35" fillId="0" borderId="0" applyFill="0" applyBorder="0">
      <alignment vertical="top"/>
      <protection locked="0"/>
    </xf>
    <xf numFmtId="189" fontId="35" fillId="0" borderId="0" applyFill="0" applyBorder="0">
      <alignment vertical="top"/>
      <protection locked="0"/>
    </xf>
    <xf numFmtId="190" fontId="35" fillId="0" borderId="0" applyFill="0" applyBorder="0">
      <alignment vertical="top"/>
      <protection locked="0"/>
    </xf>
    <xf numFmtId="197" fontId="29" fillId="0" borderId="0" applyNumberFormat="0" applyFont="0"/>
    <xf numFmtId="191" fontId="35" fillId="0" borderId="0" applyFill="0" applyBorder="0">
      <alignment vertical="top"/>
      <protection locked="0"/>
    </xf>
    <xf numFmtId="192" fontId="35" fillId="0" borderId="0" applyFill="0" applyBorder="0">
      <alignment vertical="top"/>
      <protection locked="0"/>
    </xf>
    <xf numFmtId="193" fontId="35" fillId="0" borderId="0" applyFill="0" applyBorder="0">
      <alignment vertical="top"/>
      <protection locked="0"/>
    </xf>
    <xf numFmtId="49" fontId="35" fillId="0" borderId="0" applyFill="0" applyBorder="0">
      <alignment horizontal="left" vertical="top"/>
      <protection locked="0"/>
    </xf>
    <xf numFmtId="49" fontId="35" fillId="0" borderId="0" applyFill="0" applyBorder="0">
      <alignment horizontal="left" vertical="top" indent="1"/>
      <protection locked="0"/>
    </xf>
    <xf numFmtId="49" fontId="35" fillId="0" borderId="0" applyFill="0" applyBorder="0">
      <alignment horizontal="left" vertical="top" indent="2"/>
      <protection locked="0"/>
    </xf>
    <xf numFmtId="49" fontId="35" fillId="0" borderId="0" applyFill="0" applyBorder="0">
      <alignment horizontal="left" vertical="top" indent="3"/>
      <protection locked="0"/>
    </xf>
    <xf numFmtId="49" fontId="35" fillId="0" borderId="0" applyFill="0" applyBorder="0">
      <alignment horizontal="left" vertical="top" indent="4"/>
      <protection locked="0"/>
    </xf>
    <xf numFmtId="49" fontId="35" fillId="0" borderId="0" applyFill="0" applyBorder="0">
      <alignment horizontal="center"/>
      <protection locked="0"/>
    </xf>
    <xf numFmtId="49" fontId="35" fillId="0" borderId="0" applyFill="0" applyBorder="0">
      <alignment horizontal="center" wrapText="1"/>
      <protection locked="0"/>
    </xf>
    <xf numFmtId="49" fontId="29" fillId="0" borderId="0" applyFill="0" applyBorder="0">
      <alignment vertical="top"/>
    </xf>
    <xf numFmtId="49" fontId="30" fillId="10" borderId="16" applyFill="0" applyBorder="0">
      <alignment vertical="top"/>
    </xf>
    <xf numFmtId="0" fontId="29" fillId="0" borderId="0" applyFill="0" applyBorder="0">
      <alignment vertical="top" wrapText="1"/>
    </xf>
    <xf numFmtId="0" fontId="37" fillId="11" borderId="0"/>
    <xf numFmtId="198" fontId="38" fillId="0" borderId="0"/>
    <xf numFmtId="0" fontId="9" fillId="0" borderId="0"/>
    <xf numFmtId="0" fontId="19" fillId="0" borderId="0"/>
    <xf numFmtId="0" fontId="39" fillId="0" borderId="0"/>
    <xf numFmtId="169" fontId="9" fillId="0" borderId="0">
      <alignment vertical="top"/>
    </xf>
    <xf numFmtId="0" fontId="19" fillId="0" borderId="0"/>
    <xf numFmtId="0" fontId="9" fillId="0" borderId="0">
      <alignment wrapText="1"/>
    </xf>
    <xf numFmtId="0" fontId="9" fillId="0" borderId="0"/>
    <xf numFmtId="0" fontId="9" fillId="0" borderId="0"/>
    <xf numFmtId="169" fontId="9" fillId="0" borderId="0">
      <alignment vertical="top"/>
    </xf>
    <xf numFmtId="169" fontId="9" fillId="0" borderId="0">
      <alignment vertical="top"/>
    </xf>
    <xf numFmtId="0" fontId="9" fillId="0" borderId="0"/>
    <xf numFmtId="0" fontId="9" fillId="0" borderId="0">
      <alignment wrapText="1"/>
    </xf>
    <xf numFmtId="0" fontId="25" fillId="12" borderId="17" applyNumberFormat="0" applyFont="0" applyAlignment="0" applyProtection="0"/>
    <xf numFmtId="9" fontId="9" fillId="0" borderId="0" applyFont="0" applyFill="0" applyBorder="0" applyAlignment="0" applyProtection="0"/>
    <xf numFmtId="0" fontId="30" fillId="0" borderId="0" applyFill="0" applyBorder="0">
      <alignment vertical="top"/>
    </xf>
    <xf numFmtId="0" fontId="30" fillId="0" borderId="0" applyFill="0" applyBorder="0">
      <alignment horizontal="left" vertical="top" indent="1"/>
    </xf>
    <xf numFmtId="0" fontId="30" fillId="0" borderId="0" applyFill="0" applyBorder="0">
      <alignment horizontal="left" vertical="top" indent="2"/>
    </xf>
    <xf numFmtId="0" fontId="30" fillId="0" borderId="0" applyFill="0" applyBorder="0">
      <alignment horizontal="left" vertical="top" indent="3"/>
    </xf>
    <xf numFmtId="0" fontId="29" fillId="0" borderId="0" applyFill="0" applyBorder="0">
      <alignment vertical="top"/>
    </xf>
    <xf numFmtId="0" fontId="29" fillId="0" borderId="0" applyFill="0" applyBorder="0">
      <alignment horizontal="left" vertical="top" indent="1"/>
    </xf>
    <xf numFmtId="0" fontId="29" fillId="0" borderId="0" applyFill="0" applyBorder="0">
      <alignment horizontal="left" vertical="top" indent="2"/>
    </xf>
    <xf numFmtId="0" fontId="29" fillId="0" borderId="0" applyFill="0" applyBorder="0">
      <alignment horizontal="left" vertical="top" indent="3"/>
    </xf>
    <xf numFmtId="0" fontId="29" fillId="0" borderId="0" applyFill="0" applyBorder="0">
      <alignment horizontal="left" vertical="top" indent="4"/>
    </xf>
    <xf numFmtId="0" fontId="29" fillId="0" borderId="15" applyFill="0" applyBorder="0">
      <alignment horizontal="left" vertical="top" indent="5"/>
    </xf>
    <xf numFmtId="0" fontId="29" fillId="0" borderId="0" applyFill="0" applyBorder="0"/>
    <xf numFmtId="0" fontId="29" fillId="0" borderId="0" applyFill="0" applyBorder="0">
      <alignment horizontal="center"/>
    </xf>
    <xf numFmtId="0" fontId="29" fillId="0" borderId="0" applyFill="0" applyBorder="0">
      <alignment horizontal="center" wrapText="1"/>
    </xf>
    <xf numFmtId="199" fontId="40" fillId="0" borderId="1">
      <alignment horizontal="right"/>
    </xf>
    <xf numFmtId="0" fontId="8" fillId="0" borderId="0"/>
  </cellStyleXfs>
  <cellXfs count="304">
    <xf numFmtId="0" fontId="0" fillId="0" borderId="0" xfId="0"/>
    <xf numFmtId="0" fontId="1" fillId="0" borderId="0" xfId="0" applyFont="1"/>
    <xf numFmtId="0" fontId="4" fillId="0" borderId="1" xfId="0" applyFont="1" applyBorder="1"/>
    <xf numFmtId="0" fontId="1" fillId="0" borderId="1" xfId="0" applyFont="1" applyBorder="1"/>
    <xf numFmtId="0" fontId="4" fillId="0" borderId="0" xfId="0" applyFont="1"/>
    <xf numFmtId="0" fontId="1" fillId="0" borderId="1" xfId="0" applyFont="1" applyFill="1" applyBorder="1"/>
    <xf numFmtId="0" fontId="1" fillId="0" borderId="0" xfId="0" applyFont="1" applyAlignment="1">
      <alignment wrapText="1"/>
    </xf>
    <xf numFmtId="0" fontId="4" fillId="0" borderId="0" xfId="0" applyFont="1" applyFill="1"/>
    <xf numFmtId="0" fontId="1" fillId="0" borderId="0" xfId="0" applyFont="1" applyFill="1"/>
    <xf numFmtId="9" fontId="1" fillId="0" borderId="0" xfId="0" applyNumberFormat="1" applyFont="1" applyFill="1"/>
    <xf numFmtId="0" fontId="1" fillId="0" borderId="0" xfId="0" applyFont="1" applyFill="1" applyBorder="1"/>
    <xf numFmtId="0" fontId="12" fillId="0" borderId="0" xfId="2" applyFont="1"/>
    <xf numFmtId="0" fontId="13" fillId="0" borderId="0" xfId="2" applyFont="1"/>
    <xf numFmtId="0" fontId="13" fillId="0" borderId="0" xfId="2" applyFont="1" applyFill="1"/>
    <xf numFmtId="0" fontId="13" fillId="0" borderId="0" xfId="2" applyFont="1" applyAlignment="1">
      <alignment horizontal="left" vertical="center" wrapText="1"/>
    </xf>
    <xf numFmtId="2" fontId="13" fillId="0" borderId="0" xfId="2" applyNumberFormat="1" applyFont="1" applyFill="1"/>
    <xf numFmtId="165" fontId="14" fillId="0" borderId="0" xfId="2" applyNumberFormat="1" applyFont="1" applyFill="1"/>
    <xf numFmtId="2" fontId="14" fillId="0" borderId="0" xfId="2" applyNumberFormat="1" applyFont="1"/>
    <xf numFmtId="2" fontId="14" fillId="0" borderId="0" xfId="2" applyNumberFormat="1" applyFont="1" applyFill="1"/>
    <xf numFmtId="2" fontId="12" fillId="0" borderId="0" xfId="2" applyNumberFormat="1" applyFont="1"/>
    <xf numFmtId="166" fontId="14" fillId="0" borderId="0" xfId="2" applyNumberFormat="1" applyFont="1" applyFill="1"/>
    <xf numFmtId="166" fontId="17" fillId="0" borderId="10" xfId="2" applyNumberFormat="1" applyFont="1" applyBorder="1" applyAlignment="1">
      <alignment horizontal="center"/>
    </xf>
    <xf numFmtId="166" fontId="1" fillId="0" borderId="10" xfId="2" applyNumberFormat="1" applyFont="1" applyBorder="1" applyAlignment="1">
      <alignment horizontal="center"/>
    </xf>
    <xf numFmtId="165" fontId="12" fillId="0" borderId="0" xfId="2" applyNumberFormat="1" applyFont="1"/>
    <xf numFmtId="0" fontId="4" fillId="0" borderId="0" xfId="0" applyFont="1" applyBorder="1"/>
    <xf numFmtId="0" fontId="1" fillId="0" borderId="0" xfId="0" applyFont="1" applyBorder="1"/>
    <xf numFmtId="0" fontId="7" fillId="0" borderId="13" xfId="0" applyFont="1" applyBorder="1" applyAlignment="1">
      <alignment horizontal="center"/>
    </xf>
    <xf numFmtId="0" fontId="4" fillId="0" borderId="13" xfId="0" applyFont="1" applyBorder="1" applyAlignment="1">
      <alignment horizontal="center"/>
    </xf>
    <xf numFmtId="10" fontId="13" fillId="0" borderId="0" xfId="3" applyNumberFormat="1" applyFont="1"/>
    <xf numFmtId="166" fontId="13" fillId="0" borderId="0" xfId="2" applyNumberFormat="1" applyFont="1"/>
    <xf numFmtId="2" fontId="13" fillId="0" borderId="0" xfId="2" applyNumberFormat="1" applyFont="1"/>
    <xf numFmtId="167" fontId="13" fillId="0" borderId="0" xfId="2" applyNumberFormat="1" applyFont="1"/>
    <xf numFmtId="0" fontId="2" fillId="2" borderId="1" xfId="0" applyFont="1" applyFill="1" applyBorder="1" applyAlignment="1">
      <alignment horizontal="left" vertical="center" wrapText="1"/>
    </xf>
    <xf numFmtId="0" fontId="2" fillId="2" borderId="1" xfId="0" applyFont="1" applyFill="1" applyBorder="1" applyAlignment="1">
      <alignment vertical="center"/>
    </xf>
    <xf numFmtId="0" fontId="2" fillId="2" borderId="1" xfId="0" applyFont="1" applyFill="1" applyBorder="1" applyAlignment="1">
      <alignment horizontal="left" vertical="center"/>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xf>
    <xf numFmtId="0" fontId="2" fillId="4" borderId="1" xfId="0" applyFont="1" applyFill="1" applyBorder="1" applyAlignment="1">
      <alignment vertical="center" wrapText="1"/>
    </xf>
    <xf numFmtId="0" fontId="2" fillId="4" borderId="0" xfId="0" applyFont="1" applyFill="1" applyAlignment="1">
      <alignment vertical="center"/>
    </xf>
    <xf numFmtId="0" fontId="2" fillId="0" borderId="0" xfId="0" applyFont="1" applyAlignment="1">
      <alignment horizontal="left" vertical="center"/>
    </xf>
    <xf numFmtId="0" fontId="2" fillId="0" borderId="0" xfId="0" applyFont="1" applyFill="1" applyBorder="1" applyAlignment="1">
      <alignment horizontal="center" vertical="center" wrapText="1"/>
    </xf>
    <xf numFmtId="0" fontId="2" fillId="0" borderId="0" xfId="0" applyFont="1" applyAlignment="1">
      <alignment vertical="center"/>
    </xf>
    <xf numFmtId="0" fontId="2" fillId="6" borderId="1" xfId="0" applyFont="1" applyFill="1" applyBorder="1" applyAlignment="1">
      <alignment horizontal="left" vertical="center"/>
    </xf>
    <xf numFmtId="0" fontId="2" fillId="6" borderId="1" xfId="0" applyFont="1" applyFill="1" applyBorder="1" applyAlignment="1">
      <alignment vertical="center"/>
    </xf>
    <xf numFmtId="2" fontId="2" fillId="6" borderId="1" xfId="0" applyNumberFormat="1" applyFont="1" applyFill="1" applyBorder="1" applyAlignment="1">
      <alignment vertical="center"/>
    </xf>
    <xf numFmtId="0" fontId="12" fillId="0" borderId="0" xfId="2" applyFont="1" applyBorder="1"/>
    <xf numFmtId="0" fontId="12" fillId="0" borderId="7" xfId="2" applyFont="1" applyBorder="1"/>
    <xf numFmtId="0" fontId="13" fillId="0" borderId="0" xfId="2" applyFont="1" applyBorder="1"/>
    <xf numFmtId="0" fontId="13" fillId="0" borderId="7" xfId="2" applyFont="1" applyBorder="1"/>
    <xf numFmtId="0" fontId="13" fillId="0" borderId="7" xfId="2" applyFont="1" applyBorder="1" applyAlignment="1">
      <alignment horizontal="left" vertical="center" wrapText="1"/>
    </xf>
    <xf numFmtId="0" fontId="14" fillId="0" borderId="7" xfId="2" applyFont="1" applyBorder="1"/>
    <xf numFmtId="0" fontId="13" fillId="0" borderId="7" xfId="2" applyFont="1" applyFill="1" applyBorder="1"/>
    <xf numFmtId="0" fontId="16" fillId="0" borderId="7" xfId="2" applyFont="1" applyBorder="1" applyAlignment="1">
      <alignment wrapText="1"/>
    </xf>
    <xf numFmtId="0" fontId="16" fillId="0" borderId="7" xfId="2" applyFont="1" applyBorder="1"/>
    <xf numFmtId="0" fontId="16" fillId="0" borderId="7" xfId="2" applyFont="1" applyBorder="1" applyAlignment="1">
      <alignment horizontal="left" indent="2"/>
    </xf>
    <xf numFmtId="0" fontId="1" fillId="7" borderId="0" xfId="0" applyFont="1" applyFill="1" applyBorder="1"/>
    <xf numFmtId="0" fontId="18" fillId="0" borderId="1" xfId="0" applyFont="1" applyFill="1" applyBorder="1" applyAlignment="1">
      <alignment horizontal="right" vertical="top"/>
    </xf>
    <xf numFmtId="0" fontId="7" fillId="0" borderId="14" xfId="0" applyFont="1" applyBorder="1" applyAlignment="1">
      <alignment horizontal="center"/>
    </xf>
    <xf numFmtId="166" fontId="12" fillId="0" borderId="0" xfId="2" applyNumberFormat="1" applyFont="1"/>
    <xf numFmtId="0" fontId="1" fillId="8" borderId="0" xfId="0" applyFont="1" applyFill="1" applyBorder="1"/>
    <xf numFmtId="0" fontId="1" fillId="8" borderId="0" xfId="0" applyFont="1" applyFill="1"/>
    <xf numFmtId="0" fontId="1" fillId="5" borderId="0" xfId="0" applyFont="1" applyFill="1"/>
    <xf numFmtId="0" fontId="7" fillId="0" borderId="13" xfId="0" applyFont="1" applyFill="1" applyBorder="1" applyAlignment="1">
      <alignment horizontal="center"/>
    </xf>
    <xf numFmtId="2" fontId="1" fillId="0" borderId="0" xfId="0" applyNumberFormat="1" applyFont="1"/>
    <xf numFmtId="9" fontId="1" fillId="0" borderId="0" xfId="0" applyNumberFormat="1" applyFont="1"/>
    <xf numFmtId="1" fontId="1" fillId="0" borderId="0" xfId="0" applyNumberFormat="1" applyFont="1"/>
    <xf numFmtId="0" fontId="4" fillId="8" borderId="0" xfId="0" applyFont="1" applyFill="1"/>
    <xf numFmtId="1" fontId="1" fillId="8" borderId="0" xfId="0" applyNumberFormat="1" applyFont="1" applyFill="1"/>
    <xf numFmtId="0" fontId="1" fillId="7" borderId="0" xfId="0" applyFont="1" applyFill="1"/>
    <xf numFmtId="9" fontId="1" fillId="7" borderId="0" xfId="0" applyNumberFormat="1" applyFont="1" applyFill="1"/>
    <xf numFmtId="164" fontId="1" fillId="0" borderId="0" xfId="0" applyNumberFormat="1" applyFont="1"/>
    <xf numFmtId="9" fontId="2" fillId="6" borderId="1" xfId="0" applyNumberFormat="1" applyFont="1" applyFill="1" applyBorder="1" applyAlignment="1">
      <alignment vertical="center"/>
    </xf>
    <xf numFmtId="0" fontId="2" fillId="0" borderId="0" xfId="0" applyFont="1" applyAlignment="1">
      <alignment horizontal="left" vertical="center" wrapText="1"/>
    </xf>
    <xf numFmtId="0" fontId="24" fillId="0" borderId="0" xfId="5" applyAlignment="1" applyProtection="1">
      <alignment vertical="center"/>
    </xf>
    <xf numFmtId="0" fontId="2" fillId="0" borderId="0" xfId="0" applyFont="1" applyAlignment="1">
      <alignment vertical="center" wrapText="1"/>
    </xf>
    <xf numFmtId="165" fontId="14" fillId="0" borderId="0" xfId="2" quotePrefix="1" applyNumberFormat="1" applyFont="1" applyFill="1"/>
    <xf numFmtId="0" fontId="23" fillId="0" borderId="7" xfId="2" applyFont="1" applyBorder="1"/>
    <xf numFmtId="1" fontId="1" fillId="7" borderId="0" xfId="0" applyNumberFormat="1" applyFont="1" applyFill="1"/>
    <xf numFmtId="1" fontId="1" fillId="0" borderId="0" xfId="0" applyNumberFormat="1" applyFont="1" applyFill="1"/>
    <xf numFmtId="9" fontId="1" fillId="0" borderId="1" xfId="3" applyFont="1" applyBorder="1"/>
    <xf numFmtId="0" fontId="2" fillId="6" borderId="1" xfId="0" applyFont="1" applyFill="1" applyBorder="1" applyAlignment="1">
      <alignment horizontal="left" vertical="center" wrapText="1"/>
    </xf>
    <xf numFmtId="0" fontId="4" fillId="0" borderId="1" xfId="0" applyFont="1" applyFill="1" applyBorder="1" applyAlignment="1">
      <alignment wrapText="1"/>
    </xf>
    <xf numFmtId="0" fontId="2" fillId="6" borderId="1" xfId="0" applyFont="1" applyFill="1" applyBorder="1" applyAlignment="1">
      <alignment vertical="center" wrapText="1"/>
    </xf>
    <xf numFmtId="0" fontId="2" fillId="6" borderId="12" xfId="0" applyFont="1" applyFill="1" applyBorder="1" applyAlignment="1">
      <alignment horizontal="left" vertical="center"/>
    </xf>
    <xf numFmtId="0" fontId="2" fillId="6" borderId="12" xfId="0" applyFont="1" applyFill="1" applyBorder="1" applyAlignment="1">
      <alignment vertical="center"/>
    </xf>
    <xf numFmtId="0" fontId="2" fillId="6" borderId="0" xfId="0" applyFont="1" applyFill="1" applyAlignment="1">
      <alignment horizontal="left" vertical="center"/>
    </xf>
    <xf numFmtId="0" fontId="2" fillId="6" borderId="0" xfId="0" applyFont="1" applyFill="1" applyAlignment="1">
      <alignment vertical="center"/>
    </xf>
    <xf numFmtId="0" fontId="2" fillId="6" borderId="0" xfId="0" applyFont="1" applyFill="1" applyAlignment="1">
      <alignment horizontal="left" vertical="center" wrapText="1"/>
    </xf>
    <xf numFmtId="0" fontId="2" fillId="0" borderId="0" xfId="0" applyFont="1" applyFill="1" applyAlignment="1">
      <alignment horizontal="left" vertical="center"/>
    </xf>
    <xf numFmtId="0" fontId="2" fillId="0" borderId="0" xfId="0" applyFont="1" applyFill="1" applyAlignment="1">
      <alignment vertical="center"/>
    </xf>
    <xf numFmtId="0" fontId="2" fillId="0" borderId="0" xfId="0" applyFont="1" applyFill="1" applyAlignment="1">
      <alignment horizontal="left" vertical="center" wrapText="1"/>
    </xf>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left" vertical="center" wrapText="1"/>
    </xf>
    <xf numFmtId="0" fontId="2" fillId="0" borderId="0" xfId="0" applyFont="1" applyAlignment="1">
      <alignment horizontal="center" vertical="center" wrapText="1"/>
    </xf>
    <xf numFmtId="167" fontId="2" fillId="0" borderId="0" xfId="0" applyNumberFormat="1" applyFont="1" applyAlignment="1">
      <alignment horizontal="left" vertical="center"/>
    </xf>
    <xf numFmtId="0" fontId="3" fillId="0" borderId="0" xfId="0" applyFont="1" applyAlignment="1">
      <alignment horizontal="center" vertical="center"/>
    </xf>
    <xf numFmtId="2" fontId="2" fillId="0" borderId="0" xfId="0" applyNumberFormat="1" applyFont="1" applyAlignment="1">
      <alignment horizontal="left" vertical="center"/>
    </xf>
    <xf numFmtId="9" fontId="2" fillId="8" borderId="0" xfId="0" applyNumberFormat="1" applyFont="1" applyFill="1" applyAlignment="1">
      <alignment horizontal="left" vertical="center"/>
    </xf>
    <xf numFmtId="0" fontId="0" fillId="8" borderId="0" xfId="0" applyFill="1" applyAlignment="1">
      <alignment horizontal="left" vertical="center"/>
    </xf>
    <xf numFmtId="1" fontId="0" fillId="8" borderId="0" xfId="0" applyNumberFormat="1" applyFill="1" applyAlignment="1">
      <alignment horizontal="left" vertical="center"/>
    </xf>
    <xf numFmtId="0" fontId="2" fillId="8" borderId="0" xfId="0" applyFont="1" applyFill="1" applyAlignment="1">
      <alignment horizontal="left" vertical="center"/>
    </xf>
    <xf numFmtId="0" fontId="2" fillId="8" borderId="1" xfId="0" applyFont="1" applyFill="1" applyBorder="1" applyAlignment="1">
      <alignment vertical="center"/>
    </xf>
    <xf numFmtId="9" fontId="2" fillId="8" borderId="1" xfId="3" applyFont="1" applyFill="1" applyBorder="1" applyAlignment="1">
      <alignment vertical="center"/>
    </xf>
    <xf numFmtId="0" fontId="2" fillId="8" borderId="1" xfId="0" applyFont="1" applyFill="1" applyBorder="1" applyAlignment="1">
      <alignment vertical="center" wrapText="1"/>
    </xf>
    <xf numFmtId="0" fontId="15" fillId="5" borderId="7" xfId="2" applyFont="1" applyFill="1" applyBorder="1"/>
    <xf numFmtId="9" fontId="13" fillId="0" borderId="0" xfId="2" applyNumberFormat="1" applyFont="1"/>
    <xf numFmtId="0" fontId="1" fillId="0" borderId="0" xfId="0" applyFont="1" applyFill="1" applyAlignment="1">
      <alignment horizontal="right"/>
    </xf>
    <xf numFmtId="43" fontId="1" fillId="0" borderId="0" xfId="0" applyNumberFormat="1" applyFont="1"/>
    <xf numFmtId="0" fontId="2" fillId="6" borderId="9" xfId="0" applyFont="1" applyFill="1" applyBorder="1" applyAlignment="1">
      <alignment horizontal="center" vertical="center"/>
    </xf>
    <xf numFmtId="0" fontId="2" fillId="6" borderId="12" xfId="0" applyFont="1" applyFill="1" applyBorder="1" applyAlignment="1">
      <alignment horizontal="left" vertical="center" wrapText="1"/>
    </xf>
    <xf numFmtId="0" fontId="2" fillId="6" borderId="11" xfId="0" applyFont="1" applyFill="1" applyBorder="1" applyAlignment="1">
      <alignment horizontal="center" vertical="center"/>
    </xf>
    <xf numFmtId="0" fontId="2" fillId="6" borderId="8" xfId="0" applyFont="1" applyFill="1" applyBorder="1" applyAlignment="1">
      <alignment horizontal="center" vertical="center"/>
    </xf>
    <xf numFmtId="0" fontId="1" fillId="9" borderId="0" xfId="0" applyFont="1" applyFill="1"/>
    <xf numFmtId="0" fontId="1" fillId="0" borderId="0" xfId="0" applyFont="1" applyFill="1" applyAlignment="1">
      <alignment horizontal="left"/>
    </xf>
    <xf numFmtId="2" fontId="2" fillId="6" borderId="12" xfId="0" applyNumberFormat="1" applyFont="1" applyFill="1" applyBorder="1" applyAlignment="1">
      <alignment vertical="center"/>
    </xf>
    <xf numFmtId="10" fontId="2" fillId="6" borderId="1" xfId="0" applyNumberFormat="1" applyFont="1" applyFill="1" applyBorder="1" applyAlignment="1">
      <alignment vertical="center"/>
    </xf>
    <xf numFmtId="2" fontId="2" fillId="8" borderId="12" xfId="0" applyNumberFormat="1" applyFont="1" applyFill="1" applyBorder="1" applyAlignment="1">
      <alignment vertical="center"/>
    </xf>
    <xf numFmtId="0" fontId="2" fillId="0" borderId="1" xfId="0" applyFont="1" applyBorder="1" applyAlignment="1">
      <alignment horizontal="left" vertical="top" wrapText="1" indent="3"/>
    </xf>
    <xf numFmtId="1" fontId="4" fillId="0" borderId="0" xfId="0" applyNumberFormat="1" applyFont="1"/>
    <xf numFmtId="0" fontId="1" fillId="0" borderId="0" xfId="0" applyFont="1" applyBorder="1" applyAlignment="1">
      <alignment vertical="top" wrapText="1"/>
    </xf>
    <xf numFmtId="0" fontId="1" fillId="0" borderId="0" xfId="0" applyFont="1" applyBorder="1" applyAlignment="1">
      <alignment vertical="top"/>
    </xf>
    <xf numFmtId="0" fontId="1" fillId="0" borderId="0" xfId="0" applyFont="1" applyBorder="1" applyAlignment="1">
      <alignment wrapText="1"/>
    </xf>
    <xf numFmtId="2" fontId="12" fillId="0" borderId="0" xfId="2" applyNumberFormat="1" applyFont="1" applyFill="1"/>
    <xf numFmtId="1" fontId="13" fillId="0" borderId="0" xfId="2" applyNumberFormat="1" applyFont="1" applyFill="1"/>
    <xf numFmtId="0" fontId="6" fillId="9" borderId="0" xfId="0" applyFont="1" applyFill="1" applyAlignment="1">
      <alignment vertical="center"/>
    </xf>
    <xf numFmtId="0" fontId="2" fillId="5" borderId="12" xfId="0" applyFont="1" applyFill="1" applyBorder="1" applyAlignment="1">
      <alignment horizontal="left" vertical="center" wrapText="1"/>
    </xf>
    <xf numFmtId="0" fontId="2" fillId="5" borderId="1" xfId="0" applyFont="1" applyFill="1" applyBorder="1" applyAlignment="1">
      <alignment horizontal="left" vertical="center"/>
    </xf>
    <xf numFmtId="0" fontId="2" fillId="5" borderId="1" xfId="0" applyFont="1" applyFill="1" applyBorder="1" applyAlignment="1">
      <alignment vertical="center"/>
    </xf>
    <xf numFmtId="0" fontId="2" fillId="5" borderId="12" xfId="0" applyFont="1" applyFill="1" applyBorder="1" applyAlignment="1">
      <alignment horizontal="left" vertical="center"/>
    </xf>
    <xf numFmtId="0" fontId="2" fillId="5" borderId="12" xfId="0" applyFont="1" applyFill="1" applyBorder="1" applyAlignment="1">
      <alignment vertical="center"/>
    </xf>
    <xf numFmtId="10" fontId="2" fillId="5" borderId="12" xfId="0" applyNumberFormat="1" applyFont="1" applyFill="1" applyBorder="1" applyAlignment="1">
      <alignment horizontal="left" vertical="center"/>
    </xf>
    <xf numFmtId="0" fontId="2" fillId="5" borderId="1" xfId="0" applyFont="1" applyFill="1" applyBorder="1" applyAlignment="1">
      <alignment horizontal="left" vertical="center" wrapText="1"/>
    </xf>
    <xf numFmtId="10" fontId="2" fillId="5" borderId="1" xfId="0" applyNumberFormat="1" applyFont="1" applyFill="1" applyBorder="1" applyAlignment="1">
      <alignment horizontal="left" vertical="center"/>
    </xf>
    <xf numFmtId="1" fontId="13" fillId="5" borderId="1" xfId="2" applyNumberFormat="1" applyFont="1" applyFill="1" applyBorder="1"/>
    <xf numFmtId="0" fontId="13" fillId="13" borderId="1" xfId="2" applyFont="1" applyFill="1" applyBorder="1"/>
    <xf numFmtId="1" fontId="13" fillId="13" borderId="1" xfId="2" applyNumberFormat="1" applyFont="1" applyFill="1" applyBorder="1"/>
    <xf numFmtId="0" fontId="12" fillId="5" borderId="0" xfId="2" applyFont="1" applyFill="1"/>
    <xf numFmtId="0" fontId="4" fillId="0" borderId="1" xfId="0" applyFont="1" applyFill="1" applyBorder="1" applyAlignment="1">
      <alignment horizontal="center" vertical="center" wrapText="1"/>
    </xf>
    <xf numFmtId="0" fontId="18" fillId="0" borderId="1" xfId="0" applyFont="1" applyFill="1" applyBorder="1" applyAlignment="1">
      <alignment horizontal="center" vertical="center"/>
    </xf>
    <xf numFmtId="0" fontId="13" fillId="14" borderId="1" xfId="2" applyFont="1" applyFill="1" applyBorder="1"/>
    <xf numFmtId="0" fontId="13" fillId="0" borderId="1" xfId="2" applyFont="1" applyBorder="1"/>
    <xf numFmtId="9" fontId="13" fillId="0" borderId="1" xfId="3" applyFont="1" applyBorder="1"/>
    <xf numFmtId="0" fontId="13" fillId="0" borderId="1" xfId="2" applyFont="1" applyBorder="1" applyAlignment="1">
      <alignment horizontal="left"/>
    </xf>
    <xf numFmtId="9" fontId="13" fillId="0" borderId="1" xfId="2" applyNumberFormat="1" applyFont="1" applyBorder="1" applyAlignment="1">
      <alignment horizontal="left"/>
    </xf>
    <xf numFmtId="2" fontId="13" fillId="0" borderId="1" xfId="2" applyNumberFormat="1" applyFont="1" applyBorder="1"/>
    <xf numFmtId="1" fontId="1" fillId="15" borderId="1" xfId="0" applyNumberFormat="1" applyFont="1" applyFill="1" applyBorder="1"/>
    <xf numFmtId="2" fontId="1" fillId="15" borderId="1" xfId="0" applyNumberFormat="1" applyFont="1" applyFill="1" applyBorder="1"/>
    <xf numFmtId="164" fontId="13" fillId="0" borderId="1" xfId="2" applyNumberFormat="1" applyFont="1" applyBorder="1" applyAlignment="1">
      <alignment horizontal="center"/>
    </xf>
    <xf numFmtId="0" fontId="13" fillId="0" borderId="1" xfId="2" applyFont="1" applyBorder="1" applyAlignment="1">
      <alignment horizontal="center"/>
    </xf>
    <xf numFmtId="1" fontId="13" fillId="0" borderId="0" xfId="2" applyNumberFormat="1" applyFont="1"/>
    <xf numFmtId="1" fontId="13" fillId="5" borderId="19" xfId="2" applyNumberFormat="1" applyFont="1" applyFill="1" applyBorder="1" applyAlignment="1">
      <alignment horizontal="center"/>
    </xf>
    <xf numFmtId="2" fontId="12" fillId="0" borderId="20" xfId="2" applyNumberFormat="1" applyFont="1" applyBorder="1" applyAlignment="1">
      <alignment horizontal="center"/>
    </xf>
    <xf numFmtId="0" fontId="13" fillId="0" borderId="12" xfId="2" applyFont="1" applyBorder="1" applyAlignment="1">
      <alignment horizontal="left" wrapText="1"/>
    </xf>
    <xf numFmtId="9" fontId="12" fillId="0" borderId="19" xfId="3" applyFont="1" applyBorder="1"/>
    <xf numFmtId="2" fontId="12" fillId="0" borderId="21" xfId="2" applyNumberFormat="1" applyFont="1" applyBorder="1" applyAlignment="1">
      <alignment horizontal="center"/>
    </xf>
    <xf numFmtId="0" fontId="13" fillId="0" borderId="0" xfId="2" applyFont="1" applyFill="1" applyBorder="1"/>
    <xf numFmtId="1" fontId="13" fillId="0" borderId="0" xfId="2" applyNumberFormat="1" applyFont="1" applyFill="1" applyBorder="1"/>
    <xf numFmtId="164" fontId="12" fillId="15" borderId="19" xfId="2" applyNumberFormat="1" applyFont="1" applyFill="1" applyBorder="1" applyAlignment="1">
      <alignment horizontal="center"/>
    </xf>
    <xf numFmtId="0" fontId="41" fillId="0" borderId="0" xfId="2" applyFont="1" applyBorder="1"/>
    <xf numFmtId="0" fontId="41" fillId="15" borderId="1" xfId="2" applyFont="1" applyFill="1" applyBorder="1"/>
    <xf numFmtId="2" fontId="41" fillId="15" borderId="1" xfId="2" applyNumberFormat="1" applyFont="1" applyFill="1" applyBorder="1"/>
    <xf numFmtId="0" fontId="41" fillId="0" borderId="0" xfId="2" applyFont="1"/>
    <xf numFmtId="2" fontId="42" fillId="0" borderId="0" xfId="0" applyNumberFormat="1" applyFont="1" applyAlignment="1">
      <alignment horizontal="left" vertical="center"/>
    </xf>
    <xf numFmtId="2" fontId="20" fillId="5" borderId="19" xfId="0" applyNumberFormat="1" applyFont="1" applyFill="1" applyBorder="1" applyAlignment="1">
      <alignment horizontal="center" vertical="center"/>
    </xf>
    <xf numFmtId="0" fontId="13" fillId="5" borderId="2" xfId="2" applyFont="1" applyFill="1" applyBorder="1"/>
    <xf numFmtId="1" fontId="13" fillId="5" borderId="4" xfId="2" applyNumberFormat="1" applyFont="1" applyFill="1" applyBorder="1"/>
    <xf numFmtId="2" fontId="13" fillId="5" borderId="19" xfId="2" applyNumberFormat="1" applyFont="1" applyFill="1" applyBorder="1" applyAlignment="1">
      <alignment horizontal="center"/>
    </xf>
    <xf numFmtId="0" fontId="41" fillId="17" borderId="1" xfId="2" applyFont="1" applyFill="1" applyBorder="1"/>
    <xf numFmtId="168" fontId="41" fillId="17" borderId="1" xfId="3" applyNumberFormat="1" applyFont="1" applyFill="1" applyBorder="1"/>
    <xf numFmtId="1" fontId="41" fillId="17" borderId="1" xfId="2" applyNumberFormat="1" applyFont="1" applyFill="1" applyBorder="1"/>
    <xf numFmtId="164" fontId="41" fillId="17" borderId="1" xfId="3" applyNumberFormat="1" applyFont="1" applyFill="1" applyBorder="1" applyAlignment="1">
      <alignment horizontal="center"/>
    </xf>
    <xf numFmtId="2" fontId="1" fillId="16" borderId="1" xfId="0" applyNumberFormat="1" applyFont="1" applyFill="1" applyBorder="1"/>
    <xf numFmtId="2" fontId="4" fillId="16" borderId="1" xfId="0" applyNumberFormat="1" applyFont="1" applyFill="1" applyBorder="1"/>
    <xf numFmtId="0" fontId="4" fillId="5" borderId="0" xfId="0" applyFont="1" applyFill="1" applyAlignment="1">
      <alignment horizontal="center"/>
    </xf>
    <xf numFmtId="2" fontId="4" fillId="0" borderId="1" xfId="0" applyNumberFormat="1" applyFont="1" applyFill="1" applyBorder="1"/>
    <xf numFmtId="0" fontId="4" fillId="16" borderId="1" xfId="0" applyFont="1" applyFill="1" applyBorder="1" applyAlignment="1">
      <alignment wrapText="1"/>
    </xf>
    <xf numFmtId="9" fontId="1" fillId="0" borderId="0" xfId="3" applyFont="1"/>
    <xf numFmtId="2" fontId="4" fillId="15" borderId="1" xfId="0" applyNumberFormat="1" applyFont="1" applyFill="1" applyBorder="1"/>
    <xf numFmtId="0" fontId="1" fillId="15" borderId="0" xfId="0" applyFont="1" applyFill="1"/>
    <xf numFmtId="0" fontId="1" fillId="15" borderId="1" xfId="0" applyFont="1" applyFill="1" applyBorder="1"/>
    <xf numFmtId="2" fontId="12" fillId="0" borderId="0" xfId="2" applyNumberFormat="1" applyFont="1" applyBorder="1" applyAlignment="1">
      <alignment horizontal="center"/>
    </xf>
    <xf numFmtId="2" fontId="13" fillId="5" borderId="0" xfId="2" applyNumberFormat="1" applyFont="1" applyFill="1" applyBorder="1" applyAlignment="1">
      <alignment horizontal="center"/>
    </xf>
    <xf numFmtId="164" fontId="13" fillId="0" borderId="0" xfId="2" applyNumberFormat="1" applyFont="1" applyBorder="1"/>
    <xf numFmtId="0" fontId="13" fillId="0" borderId="12" xfId="2" applyFont="1" applyBorder="1" applyAlignment="1">
      <alignment horizontal="center"/>
    </xf>
    <xf numFmtId="2" fontId="13" fillId="0" borderId="0" xfId="2" applyNumberFormat="1" applyFont="1" applyBorder="1"/>
    <xf numFmtId="9" fontId="13" fillId="0" borderId="0" xfId="3" applyFont="1" applyBorder="1"/>
    <xf numFmtId="0" fontId="4" fillId="5" borderId="0" xfId="0" applyFont="1" applyFill="1"/>
    <xf numFmtId="9" fontId="13" fillId="0" borderId="0" xfId="3" applyFont="1"/>
    <xf numFmtId="9" fontId="1" fillId="0" borderId="0" xfId="3" applyFont="1" applyAlignment="1">
      <alignment horizontal="center"/>
    </xf>
    <xf numFmtId="9" fontId="4" fillId="0" borderId="1" xfId="0" applyNumberFormat="1" applyFont="1" applyFill="1" applyBorder="1" applyAlignment="1">
      <alignment horizontal="center" wrapText="1"/>
    </xf>
    <xf numFmtId="0" fontId="43" fillId="18" borderId="0" xfId="0" applyFont="1" applyFill="1" applyAlignment="1">
      <alignment horizontal="center"/>
    </xf>
    <xf numFmtId="0" fontId="43" fillId="19" borderId="0" xfId="0" applyFont="1" applyFill="1" applyAlignment="1">
      <alignment horizontal="center"/>
    </xf>
    <xf numFmtId="1" fontId="1" fillId="15" borderId="4" xfId="0" applyNumberFormat="1" applyFont="1" applyFill="1" applyBorder="1"/>
    <xf numFmtId="2" fontId="1" fillId="0" borderId="19" xfId="0" applyNumberFormat="1" applyFont="1" applyBorder="1" applyAlignment="1">
      <alignment horizontal="center"/>
    </xf>
    <xf numFmtId="2" fontId="1" fillId="0" borderId="22" xfId="0" applyNumberFormat="1" applyFont="1" applyBorder="1" applyAlignment="1">
      <alignment horizontal="center"/>
    </xf>
    <xf numFmtId="2" fontId="13" fillId="0" borderId="2" xfId="2" applyNumberFormat="1" applyFont="1" applyBorder="1"/>
    <xf numFmtId="9" fontId="12" fillId="0" borderId="19" xfId="3" applyFont="1" applyBorder="1" applyAlignment="1">
      <alignment horizontal="center"/>
    </xf>
    <xf numFmtId="9" fontId="13" fillId="0" borderId="19" xfId="3" applyFont="1" applyBorder="1" applyAlignment="1">
      <alignment horizontal="center"/>
    </xf>
    <xf numFmtId="1" fontId="13" fillId="0" borderId="0" xfId="2" applyNumberFormat="1" applyFont="1" applyBorder="1" applyAlignment="1">
      <alignment horizontal="center"/>
    </xf>
    <xf numFmtId="168" fontId="13" fillId="0" borderId="0" xfId="3" applyNumberFormat="1" applyFont="1"/>
    <xf numFmtId="200" fontId="13" fillId="5" borderId="0" xfId="2" applyNumberFormat="1" applyFont="1" applyFill="1"/>
    <xf numFmtId="168" fontId="13" fillId="0" borderId="0" xfId="3" applyNumberFormat="1" applyFont="1" applyBorder="1"/>
    <xf numFmtId="201" fontId="1" fillId="0" borderId="0" xfId="0" applyNumberFormat="1" applyFont="1"/>
    <xf numFmtId="0" fontId="4" fillId="0" borderId="1" xfId="0" applyFont="1" applyFill="1" applyBorder="1" applyAlignment="1">
      <alignment horizontal="center" vertical="center" wrapText="1"/>
    </xf>
    <xf numFmtId="0" fontId="18" fillId="0"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0" borderId="3" xfId="0" applyFont="1" applyBorder="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applyAlignment="1">
      <alignment vertical="center" wrapText="1"/>
    </xf>
    <xf numFmtId="0" fontId="21"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1" fillId="5" borderId="1" xfId="0" applyFont="1" applyFill="1" applyBorder="1" applyAlignment="1">
      <alignment vertical="center" wrapText="1"/>
    </xf>
    <xf numFmtId="0" fontId="2" fillId="6" borderId="1" xfId="0" quotePrefix="1" applyFont="1" applyFill="1" applyBorder="1" applyAlignment="1">
      <alignment horizontal="center" vertical="center" wrapText="1"/>
    </xf>
    <xf numFmtId="0" fontId="2" fillId="6" borderId="18"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9"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2" fillId="6" borderId="5" xfId="0" applyFont="1" applyFill="1" applyBorder="1" applyAlignment="1">
      <alignment horizontal="center" vertical="center"/>
    </xf>
    <xf numFmtId="0" fontId="2" fillId="6" borderId="10"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5" xfId="0" quotePrefix="1" applyFont="1" applyFill="1" applyBorder="1" applyAlignment="1">
      <alignment horizontal="center" vertical="center" wrapText="1"/>
    </xf>
    <xf numFmtId="0" fontId="2" fillId="6" borderId="10" xfId="0" quotePrefix="1" applyFont="1" applyFill="1" applyBorder="1" applyAlignment="1">
      <alignment horizontal="center" vertical="center" wrapText="1"/>
    </xf>
    <xf numFmtId="0" fontId="2" fillId="6" borderId="12" xfId="0" quotePrefix="1" applyFont="1" applyFill="1" applyBorder="1" applyAlignment="1">
      <alignment horizontal="center" vertical="center" wrapText="1"/>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5" xfId="0" applyFont="1" applyFill="1" applyBorder="1" applyAlignment="1">
      <alignment horizontal="left" vertical="center" wrapText="1"/>
    </xf>
    <xf numFmtId="0" fontId="2" fillId="6" borderId="10" xfId="0" applyFont="1" applyFill="1" applyBorder="1" applyAlignment="1">
      <alignment horizontal="left" vertical="center" wrapText="1"/>
    </xf>
    <xf numFmtId="0" fontId="2" fillId="6" borderId="12" xfId="0" applyFont="1" applyFill="1" applyBorder="1" applyAlignment="1">
      <alignment horizontal="left" vertical="center" wrapText="1"/>
    </xf>
    <xf numFmtId="0" fontId="2" fillId="5" borderId="11"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2" fontId="1" fillId="0" borderId="1" xfId="0" applyNumberFormat="1" applyFont="1" applyFill="1" applyBorder="1"/>
    <xf numFmtId="2" fontId="1" fillId="0" borderId="0" xfId="0" applyNumberFormat="1" applyFont="1" applyFill="1" applyBorder="1"/>
    <xf numFmtId="0" fontId="42" fillId="0" borderId="0" xfId="0" applyFont="1" applyFill="1"/>
    <xf numFmtId="2" fontId="42" fillId="0" borderId="0" xfId="0" applyNumberFormat="1" applyFont="1" applyFill="1"/>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0" borderId="1" xfId="0" applyFont="1" applyFill="1" applyBorder="1" applyAlignment="1"/>
    <xf numFmtId="0" fontId="1" fillId="0" borderId="1" xfId="0" applyFont="1" applyFill="1" applyBorder="1" applyAlignment="1">
      <alignment horizontal="center" vertical="center" wrapText="1" shrinkToFit="1"/>
    </xf>
    <xf numFmtId="0" fontId="1" fillId="0" borderId="1" xfId="0" applyFont="1" applyFill="1" applyBorder="1" applyAlignment="1">
      <alignment horizontal="center" vertical="top"/>
    </xf>
    <xf numFmtId="0" fontId="5" fillId="0" borderId="1" xfId="0" applyFont="1" applyFill="1" applyBorder="1" applyAlignment="1">
      <alignment horizontal="justify" vertical="top" wrapText="1"/>
    </xf>
    <xf numFmtId="0" fontId="1" fillId="0" borderId="1" xfId="0" applyFont="1" applyFill="1" applyBorder="1" applyAlignment="1">
      <alignment horizontal="justify" vertical="top" wrapText="1"/>
    </xf>
    <xf numFmtId="10" fontId="1" fillId="0" borderId="0" xfId="0" applyNumberFormat="1" applyFont="1" applyFill="1"/>
    <xf numFmtId="2" fontId="1" fillId="0" borderId="0" xfId="0" applyNumberFormat="1" applyFont="1" applyFill="1"/>
    <xf numFmtId="0" fontId="5" fillId="0" borderId="1" xfId="0" applyFont="1" applyFill="1" applyBorder="1" applyAlignment="1">
      <alignment horizontal="justify" vertical="top"/>
    </xf>
    <xf numFmtId="0" fontId="1" fillId="0" borderId="1" xfId="0" applyFont="1" applyFill="1" applyBorder="1" applyAlignment="1">
      <alignment vertical="top" wrapText="1"/>
    </xf>
    <xf numFmtId="0" fontId="1" fillId="0" borderId="1" xfId="0" applyFont="1" applyFill="1" applyBorder="1" applyAlignment="1">
      <alignment horizontal="center" vertical="center"/>
    </xf>
    <xf numFmtId="0" fontId="1" fillId="0" borderId="1" xfId="0" applyFont="1" applyFill="1" applyBorder="1" applyAlignment="1">
      <alignment horizontal="justify" vertical="top"/>
    </xf>
    <xf numFmtId="0" fontId="1" fillId="0" borderId="11" xfId="0" applyFont="1" applyFill="1" applyBorder="1"/>
    <xf numFmtId="0" fontId="1" fillId="0" borderId="8" xfId="0" applyFont="1" applyFill="1" applyBorder="1" applyAlignment="1">
      <alignment vertical="top" wrapText="1"/>
    </xf>
    <xf numFmtId="0" fontId="1" fillId="0" borderId="9" xfId="0" applyFont="1" applyFill="1" applyBorder="1" applyAlignment="1">
      <alignment vertical="top" wrapText="1"/>
    </xf>
    <xf numFmtId="0" fontId="1" fillId="0" borderId="6" xfId="0" applyFont="1" applyFill="1" applyBorder="1"/>
    <xf numFmtId="0" fontId="1" fillId="0" borderId="0" xfId="0" applyFont="1" applyFill="1" applyBorder="1" applyAlignment="1">
      <alignment horizontal="justify" vertical="top"/>
    </xf>
    <xf numFmtId="0" fontId="1" fillId="0" borderId="7" xfId="0" applyFont="1" applyFill="1" applyBorder="1"/>
    <xf numFmtId="0" fontId="1" fillId="0" borderId="0" xfId="0" applyFont="1" applyFill="1" applyAlignment="1">
      <alignment horizontal="left" wrapText="1"/>
    </xf>
    <xf numFmtId="0" fontId="1" fillId="0" borderId="0" xfId="0" applyFont="1" applyFill="1" applyAlignment="1">
      <alignment wrapText="1"/>
    </xf>
    <xf numFmtId="0" fontId="1" fillId="0" borderId="0" xfId="0" applyFont="1" applyFill="1" applyBorder="1" applyAlignment="1">
      <alignment horizontal="left" vertical="top" wrapText="1"/>
    </xf>
    <xf numFmtId="0" fontId="1" fillId="0" borderId="0" xfId="0" applyFont="1" applyFill="1" applyBorder="1" applyAlignment="1">
      <alignment vertical="top" wrapText="1"/>
    </xf>
    <xf numFmtId="0" fontId="1" fillId="0" borderId="7" xfId="0" applyFont="1" applyFill="1" applyBorder="1" applyAlignment="1">
      <alignment vertical="top" wrapText="1"/>
    </xf>
    <xf numFmtId="0" fontId="1" fillId="0" borderId="2" xfId="0" applyFont="1" applyFill="1" applyBorder="1"/>
    <xf numFmtId="0" fontId="1" fillId="0" borderId="4" xfId="0" applyFont="1" applyFill="1" applyBorder="1"/>
    <xf numFmtId="9" fontId="1" fillId="0" borderId="1" xfId="3" applyFont="1" applyFill="1" applyBorder="1"/>
    <xf numFmtId="0" fontId="1" fillId="0" borderId="0" xfId="0" applyFont="1" applyFill="1" applyBorder="1" applyAlignment="1">
      <alignment horizontal="left" wrapText="1"/>
    </xf>
    <xf numFmtId="0" fontId="1" fillId="0" borderId="7" xfId="0" applyFont="1" applyFill="1" applyBorder="1" applyAlignment="1">
      <alignment horizontal="left" wrapText="1"/>
    </xf>
    <xf numFmtId="2" fontId="1" fillId="0" borderId="1" xfId="3" applyNumberFormat="1" applyFont="1" applyFill="1" applyBorder="1"/>
    <xf numFmtId="0" fontId="1" fillId="0" borderId="11" xfId="0" applyFont="1" applyFill="1" applyBorder="1" applyAlignment="1">
      <alignment horizontal="left"/>
    </xf>
    <xf numFmtId="0" fontId="1" fillId="0" borderId="8" xfId="0" applyFont="1" applyFill="1" applyBorder="1" applyAlignment="1">
      <alignment horizontal="left"/>
    </xf>
    <xf numFmtId="0" fontId="1" fillId="0" borderId="9" xfId="0" applyFont="1" applyFill="1" applyBorder="1" applyAlignment="1">
      <alignment horizontal="left"/>
    </xf>
    <xf numFmtId="0" fontId="1" fillId="0" borderId="5" xfId="0" applyFont="1" applyFill="1" applyBorder="1"/>
    <xf numFmtId="2" fontId="1" fillId="0" borderId="5" xfId="0" applyNumberFormat="1" applyFont="1" applyFill="1" applyBorder="1"/>
    <xf numFmtId="0" fontId="44"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44" fillId="0" borderId="1" xfId="0" applyFont="1" applyFill="1" applyBorder="1" applyAlignment="1">
      <alignment vertical="center"/>
    </xf>
    <xf numFmtId="0" fontId="44" fillId="0" borderId="1" xfId="0" applyFont="1" applyFill="1" applyBorder="1" applyAlignment="1">
      <alignment horizontal="center" vertical="center"/>
    </xf>
    <xf numFmtId="0" fontId="1" fillId="0" borderId="1" xfId="0" applyFont="1" applyFill="1" applyBorder="1" applyAlignment="1">
      <alignment horizontal="justify" vertical="top" wrapText="1"/>
    </xf>
    <xf numFmtId="0" fontId="1" fillId="0" borderId="1" xfId="0" applyFont="1" applyFill="1" applyBorder="1" applyAlignment="1">
      <alignment wrapText="1"/>
    </xf>
    <xf numFmtId="0" fontId="44" fillId="0" borderId="1" xfId="0" applyFont="1" applyFill="1" applyBorder="1" applyAlignment="1">
      <alignment horizontal="center" vertical="center" wrapText="1" shrinkToFit="1"/>
    </xf>
    <xf numFmtId="0" fontId="44" fillId="0" borderId="1" xfId="0" applyFont="1" applyFill="1" applyBorder="1" applyAlignment="1">
      <alignment horizontal="center" vertical="top"/>
    </xf>
    <xf numFmtId="2" fontId="1" fillId="0" borderId="1" xfId="0" applyNumberFormat="1" applyFont="1" applyFill="1" applyBorder="1" applyAlignment="1">
      <alignment horizontal="center" vertical="top"/>
    </xf>
    <xf numFmtId="2" fontId="45" fillId="0" borderId="1" xfId="0" applyNumberFormat="1" applyFont="1" applyFill="1" applyBorder="1" applyAlignment="1">
      <alignment horizontal="center" vertical="top"/>
    </xf>
    <xf numFmtId="0" fontId="45" fillId="0" borderId="1" xfId="0" applyFont="1" applyFill="1" applyBorder="1" applyAlignment="1">
      <alignment horizontal="center" vertical="top"/>
    </xf>
    <xf numFmtId="0" fontId="46" fillId="0" borderId="1" xfId="0" applyFont="1" applyFill="1" applyBorder="1" applyAlignment="1">
      <alignment horizontal="center" vertical="top"/>
    </xf>
    <xf numFmtId="2" fontId="46" fillId="0" borderId="1" xfId="0" applyNumberFormat="1" applyFont="1" applyFill="1" applyBorder="1" applyAlignment="1">
      <alignment horizontal="center" vertical="top"/>
    </xf>
    <xf numFmtId="0" fontId="1" fillId="0" borderId="1" xfId="0" applyFont="1" applyFill="1" applyBorder="1" applyAlignment="1">
      <alignment horizontal="center" vertical="top" wrapText="1"/>
    </xf>
    <xf numFmtId="0" fontId="44" fillId="0" borderId="1" xfId="0" applyFont="1" applyFill="1" applyBorder="1" applyAlignment="1">
      <alignment horizontal="center" vertical="center"/>
    </xf>
    <xf numFmtId="0" fontId="1" fillId="0" borderId="0" xfId="0" applyFont="1" applyFill="1" applyBorder="1" applyAlignment="1">
      <alignment vertical="top" wrapText="1"/>
    </xf>
  </cellXfs>
  <cellStyles count="142">
    <cellStyle name="%" xfId="10"/>
    <cellStyle name="% 10" xfId="11"/>
    <cellStyle name="% 11" xfId="12"/>
    <cellStyle name="% 12" xfId="13"/>
    <cellStyle name="% 2" xfId="14"/>
    <cellStyle name="% 2 2" xfId="15"/>
    <cellStyle name="% 3" xfId="16"/>
    <cellStyle name="% 3 2" xfId="17"/>
    <cellStyle name="% 4" xfId="18"/>
    <cellStyle name="% 4 2" xfId="19"/>
    <cellStyle name="% 5" xfId="20"/>
    <cellStyle name="% 6" xfId="21"/>
    <cellStyle name="% 7" xfId="22"/>
    <cellStyle name="% 8" xfId="23"/>
    <cellStyle name="% 9" xfId="24"/>
    <cellStyle name="%_AuctionConfigC2X Template" xfId="25"/>
    <cellStyle name="%_AuctionConfigC2X Template 2" xfId="26"/>
    <cellStyle name="%_AuctionConfigC2X_template v2" xfId="27"/>
    <cellStyle name="%_AuctionConfigC2X_template v2 2" xfId="28"/>
    <cellStyle name="******************************************" xfId="29"/>
    <cellStyle name="****************************************** 2" xfId="30"/>
    <cellStyle name="cc0 -CalComma" xfId="31"/>
    <cellStyle name="cc0b-CalCommaB" xfId="32"/>
    <cellStyle name="cc1 -CalComma" xfId="33"/>
    <cellStyle name="cc2 -CalComma" xfId="34"/>
    <cellStyle name="cc3 -CalComma" xfId="35"/>
    <cellStyle name="cc4 -CalComma" xfId="36"/>
    <cellStyle name="cdDMM -CalDate" xfId="37"/>
    <cellStyle name="cdDMMY -CalDate" xfId="38"/>
    <cellStyle name="cdDMMYHM -CalDateTime" xfId="39"/>
    <cellStyle name="cdDMY -CalDate" xfId="40"/>
    <cellStyle name="cdMDY -CalDate" xfId="41"/>
    <cellStyle name="cdMMY -CalDate" xfId="42"/>
    <cellStyle name="cdMMYc-CalDateC" xfId="43"/>
    <cellStyle name="cf0 -CalFixed" xfId="44"/>
    <cellStyle name="cmHM  -CalTime" xfId="45"/>
    <cellStyle name="cmHM24+ -CalTime" xfId="46"/>
    <cellStyle name="Comma 2" xfId="47"/>
    <cellStyle name="Comma 3" xfId="48"/>
    <cellStyle name="Comma 4" xfId="49"/>
    <cellStyle name="Comma 5" xfId="50"/>
    <cellStyle name="Comma 6" xfId="51"/>
    <cellStyle name="Comma 7" xfId="52"/>
    <cellStyle name="cp0 -CalPercent" xfId="53"/>
    <cellStyle name="cp1 -CalPercent" xfId="54"/>
    <cellStyle name="cp2 -CalPercent" xfId="55"/>
    <cellStyle name="cp3 -CalPercent" xfId="56"/>
    <cellStyle name="cr0 -CalCurr" xfId="57"/>
    <cellStyle name="cr1 -CalCurr" xfId="58"/>
    <cellStyle name="cr2 -CalCurr" xfId="59"/>
    <cellStyle name="cr3 -CalCurr" xfId="60"/>
    <cellStyle name="cr4 -CalCurr" xfId="61"/>
    <cellStyle name="Currency 2" xfId="62"/>
    <cellStyle name="h0 -Heading" xfId="63"/>
    <cellStyle name="h1 -Heading" xfId="64"/>
    <cellStyle name="h2 -Heading" xfId="65"/>
    <cellStyle name="h3 -Heading" xfId="66"/>
    <cellStyle name="hp0 -Hyperlink" xfId="67"/>
    <cellStyle name="hp1 -Hyperlink" xfId="68"/>
    <cellStyle name="hp2 -Hyperlink" xfId="69"/>
    <cellStyle name="hp3 -Hyperlink" xfId="70"/>
    <cellStyle name="Hyperlink" xfId="5" builtinId="8"/>
    <cellStyle name="ic0 -InpComma" xfId="71"/>
    <cellStyle name="ic1 -InpComma" xfId="72"/>
    <cellStyle name="ic2 -InpComma" xfId="73"/>
    <cellStyle name="ic2b-InpCommaB" xfId="74"/>
    <cellStyle name="ic3 -InpComma" xfId="75"/>
    <cellStyle name="ic4 -InpComma" xfId="76"/>
    <cellStyle name="idDMM -InpDate" xfId="77"/>
    <cellStyle name="idDMMY -InpDate" xfId="78"/>
    <cellStyle name="idDMMYHM -InpDateTime" xfId="79"/>
    <cellStyle name="idDMY -InpDate" xfId="80"/>
    <cellStyle name="idMDY -InpDate" xfId="81"/>
    <cellStyle name="idMMY -InpDate" xfId="82"/>
    <cellStyle name="if0 -InpFixed" xfId="83"/>
    <cellStyle name="if0b-InpFixedB" xfId="84"/>
    <cellStyle name="if0-InpFixed" xfId="85"/>
    <cellStyle name="iln -InpTableTextNoWrap" xfId="86"/>
    <cellStyle name="ilnb-InpTableTextNoWrapB" xfId="87"/>
    <cellStyle name="ilw -InpTableTextWrap" xfId="88"/>
    <cellStyle name="imHM  -InpTime" xfId="89"/>
    <cellStyle name="imHM24+ -InpTime" xfId="90"/>
    <cellStyle name="ip0 -InpPercent" xfId="91"/>
    <cellStyle name="ip1 -InpPercent" xfId="92"/>
    <cellStyle name="ip2 -InpPercent" xfId="93"/>
    <cellStyle name="ip3 -InpPercent" xfId="94"/>
    <cellStyle name="ir0 -InpCurr" xfId="95"/>
    <cellStyle name="ir1 -InpCurr" xfId="96"/>
    <cellStyle name="ir2 -InpComma" xfId="97"/>
    <cellStyle name="ir2 -InpCurr" xfId="98"/>
    <cellStyle name="ir3 -InpCurr" xfId="99"/>
    <cellStyle name="ir4 -InpCurr" xfId="100"/>
    <cellStyle name="is0 -InpSideText" xfId="101"/>
    <cellStyle name="is1 -InpSideText" xfId="102"/>
    <cellStyle name="is2 -InpSideText" xfId="103"/>
    <cellStyle name="is3 -InpSideText" xfId="104"/>
    <cellStyle name="is4 -InpSideText" xfId="105"/>
    <cellStyle name="itn -InpTopTextNoWrap" xfId="106"/>
    <cellStyle name="itw -InpTopTextWrap" xfId="107"/>
    <cellStyle name="ltn -TableTextNoWrap" xfId="108"/>
    <cellStyle name="ltnb-TableTextNoWrapB" xfId="109"/>
    <cellStyle name="ltw -TableTextWrap" xfId="110"/>
    <cellStyle name="MINOR ROW HEADING" xfId="111"/>
    <cellStyle name="Normal" xfId="0" builtinId="0"/>
    <cellStyle name="Normal - Style1" xfId="112"/>
    <cellStyle name="Normal 10" xfId="113"/>
    <cellStyle name="Normal 11" xfId="114"/>
    <cellStyle name="Normal 12" xfId="115"/>
    <cellStyle name="Normal 13" xfId="116"/>
    <cellStyle name="Normal 14" xfId="117"/>
    <cellStyle name="Normal 15" xfId="118"/>
    <cellStyle name="Normal 2" xfId="1"/>
    <cellStyle name="Normal 2 2" xfId="119"/>
    <cellStyle name="Normal 2_WB-Semen Station-Financials &amp; physicals" xfId="141"/>
    <cellStyle name="Normal 3" xfId="2"/>
    <cellStyle name="Normal 4" xfId="4"/>
    <cellStyle name="Normal 5" xfId="120"/>
    <cellStyle name="Normal 6" xfId="121"/>
    <cellStyle name="Normal 7" xfId="122"/>
    <cellStyle name="Normal 8" xfId="123"/>
    <cellStyle name="Normal 9" xfId="124"/>
    <cellStyle name="Note 2" xfId="125"/>
    <cellStyle name="Percent" xfId="3" builtinId="5"/>
    <cellStyle name="Percent 2" xfId="6"/>
    <cellStyle name="Percent 3" xfId="126"/>
    <cellStyle name="Prozent 3 2" xfId="7"/>
    <cellStyle name="sh0 -SideHeading" xfId="127"/>
    <cellStyle name="sh1 -SideHeading" xfId="128"/>
    <cellStyle name="sh2 -SideHeading" xfId="129"/>
    <cellStyle name="sh3 -SideHeading" xfId="130"/>
    <cellStyle name="st0 -SideText" xfId="131"/>
    <cellStyle name="st1 -SideText" xfId="132"/>
    <cellStyle name="st2 -SideText" xfId="133"/>
    <cellStyle name="st3 -SideText" xfId="134"/>
    <cellStyle name="st4 -SideText" xfId="135"/>
    <cellStyle name="st5 -SideText" xfId="136"/>
    <cellStyle name="Standard_Herd simulation- 12-04" xfId="8"/>
    <cellStyle name="Style 1" xfId="137"/>
    <cellStyle name="ttn -TopTextNoWrap" xfId="138"/>
    <cellStyle name="ttw -TopTextWrap" xfId="139"/>
    <cellStyle name="Usual" xfId="140"/>
    <cellStyle name="常规 2" xfId="9"/>
  </cellStyles>
  <dxfs count="0"/>
  <tableStyles count="0" defaultTableStyle="TableStyleMedium9" defaultPivotStyle="PivotStyleLight16"/>
  <colors>
    <mruColors>
      <color rgb="FFFF99FF"/>
      <color rgb="FF0033CC"/>
      <color rgb="FF00FFFF"/>
      <color rgb="FF00CCFF"/>
    </mruColors>
  </colors>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571500</xdr:colOff>
      <xdr:row>29</xdr:row>
      <xdr:rowOff>0</xdr:rowOff>
    </xdr:from>
    <xdr:to>
      <xdr:col>6</xdr:col>
      <xdr:colOff>352425</xdr:colOff>
      <xdr:row>40</xdr:row>
      <xdr:rowOff>114300</xdr:rowOff>
    </xdr:to>
    <xdr:sp macro="" textlink="">
      <xdr:nvSpPr>
        <xdr:cNvPr id="2" name="TextBox 1"/>
        <xdr:cNvSpPr txBox="1"/>
      </xdr:nvSpPr>
      <xdr:spPr>
        <a:xfrm>
          <a:off x="571500" y="14163675"/>
          <a:ext cx="6591300" cy="220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lvl="0"/>
          <a:r>
            <a:rPr lang="en-US" sz="1100" b="1">
              <a:solidFill>
                <a:schemeClr val="dk1"/>
              </a:solidFill>
              <a:latin typeface="+mn-lt"/>
              <a:ea typeface="+mn-ea"/>
              <a:cs typeface="+mn-cs"/>
            </a:rPr>
            <a:t>Improved Bacteriological Quality</a:t>
          </a:r>
        </a:p>
        <a:p>
          <a:pPr lvl="0"/>
          <a:endParaRPr lang="en-US" sz="1100">
            <a:solidFill>
              <a:schemeClr val="dk1"/>
            </a:solidFill>
            <a:latin typeface="+mn-lt"/>
            <a:ea typeface="+mn-ea"/>
            <a:cs typeface="+mn-cs"/>
          </a:endParaRPr>
        </a:p>
        <a:p>
          <a:r>
            <a:rPr lang="en-US" sz="1100">
              <a:solidFill>
                <a:schemeClr val="dk1"/>
              </a:solidFill>
              <a:latin typeface="+mn-lt"/>
              <a:ea typeface="+mn-ea"/>
              <a:cs typeface="+mn-cs"/>
            </a:rPr>
            <a:t>Based on the testing done by the unions , it has been established that there is significant improvement in the bacteriological quality of milk handled through BMCs. The Standard Plate Count (SPC) /ml and MBR time are the two indicators of bacteriological quality of milk.  The testing undertaken by the unions  has shown that :</a:t>
          </a:r>
        </a:p>
        <a:p>
          <a:pPr lvl="0"/>
          <a:r>
            <a:rPr lang="en-US" sz="1100">
              <a:solidFill>
                <a:schemeClr val="dk1"/>
              </a:solidFill>
              <a:latin typeface="+mn-lt"/>
              <a:ea typeface="+mn-ea"/>
              <a:cs typeface="+mn-cs"/>
            </a:rPr>
            <a:t> </a:t>
          </a:r>
        </a:p>
        <a:p>
          <a:pPr lvl="0"/>
          <a:r>
            <a:rPr lang="en-US" sz="1100">
              <a:solidFill>
                <a:schemeClr val="dk1"/>
              </a:solidFill>
              <a:latin typeface="+mn-lt"/>
              <a:ea typeface="+mn-ea"/>
              <a:cs typeface="+mn-cs"/>
            </a:rPr>
            <a:t>1. The SPC of   as low as 1 Lakh /ml has been reported by some unions as against  SPC of  few Crores /ml before installation of BMCs. </a:t>
          </a:r>
        </a:p>
        <a:p>
          <a:pPr lvl="0"/>
          <a:endParaRPr lang="en-US" sz="1100">
            <a:solidFill>
              <a:schemeClr val="dk1"/>
            </a:solidFill>
            <a:latin typeface="+mn-lt"/>
            <a:ea typeface="+mn-ea"/>
            <a:cs typeface="+mn-cs"/>
          </a:endParaRPr>
        </a:p>
        <a:p>
          <a:pPr lvl="0"/>
          <a:r>
            <a:rPr lang="en-US" sz="1100">
              <a:solidFill>
                <a:schemeClr val="dk1"/>
              </a:solidFill>
              <a:latin typeface="+mn-lt"/>
              <a:ea typeface="+mn-ea"/>
              <a:cs typeface="+mn-cs"/>
            </a:rPr>
            <a:t>2.  Similarly , high  MBR time  of  4.5 hours has been reported  after installation of BMCs as against MBR time of 15 -90 minutes before installation of BMCs. </a:t>
          </a:r>
        </a:p>
        <a:p>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admin/Local%20Settings/Temporary%20Internet%20Files/Content.Outlook/EOH37D9A/FONTERRA%20-Trading%20EventS%20Historical%20Data%20upto%2018th%20Jan1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Stats"/>
      <sheetName val="LR charts"/>
      <sheetName val="gDT-TWI"/>
    </sheetNames>
    <sheetDataSet>
      <sheetData sheetId="0" refreshError="1"/>
      <sheetData sheetId="1">
        <row r="1">
          <cell r="AI1" t="str">
            <v>AMF_X</v>
          </cell>
          <cell r="AL1" t="str">
            <v>SMP_USDA</v>
          </cell>
          <cell r="AN1" t="str">
            <v>WMP_USDA</v>
          </cell>
        </row>
        <row r="2">
          <cell r="AI2">
            <v>1508.3333333333333</v>
          </cell>
          <cell r="AL2">
            <v>2237.5</v>
          </cell>
          <cell r="AN2">
            <v>2075</v>
          </cell>
        </row>
        <row r="3">
          <cell r="AI3">
            <v>1500</v>
          </cell>
          <cell r="AL3">
            <v>2212.5</v>
          </cell>
          <cell r="AN3">
            <v>2025</v>
          </cell>
        </row>
        <row r="4">
          <cell r="AI4">
            <v>1500</v>
          </cell>
          <cell r="AL4">
            <v>2125</v>
          </cell>
          <cell r="AN4">
            <v>2062.5</v>
          </cell>
        </row>
        <row r="5">
          <cell r="AI5">
            <v>1500</v>
          </cell>
          <cell r="AL5">
            <v>2137.5</v>
          </cell>
          <cell r="AN5">
            <v>2062.5</v>
          </cell>
        </row>
        <row r="6">
          <cell r="AI6">
            <v>1500</v>
          </cell>
          <cell r="AL6">
            <v>2137.5</v>
          </cell>
          <cell r="AN6">
            <v>2083.75</v>
          </cell>
        </row>
        <row r="7">
          <cell r="AI7">
            <v>1537.5</v>
          </cell>
          <cell r="AL7">
            <v>2137.5</v>
          </cell>
          <cell r="AN7">
            <v>2100</v>
          </cell>
        </row>
        <row r="8">
          <cell r="AI8">
            <v>1700</v>
          </cell>
          <cell r="AL8">
            <v>2120.8333333333335</v>
          </cell>
          <cell r="AN8">
            <v>2095.8333333333335</v>
          </cell>
        </row>
        <row r="9">
          <cell r="AI9">
            <v>1737.5</v>
          </cell>
          <cell r="AL9">
            <v>2087.5</v>
          </cell>
          <cell r="AN9">
            <v>2050</v>
          </cell>
        </row>
        <row r="10">
          <cell r="AI10">
            <v>1737.5</v>
          </cell>
          <cell r="AL10">
            <v>2062.5</v>
          </cell>
          <cell r="AN10">
            <v>2025</v>
          </cell>
        </row>
        <row r="11">
          <cell r="AI11">
            <v>1531.25</v>
          </cell>
          <cell r="AL11">
            <v>1987.5</v>
          </cell>
          <cell r="AN11">
            <v>1968.75</v>
          </cell>
        </row>
        <row r="12">
          <cell r="AI12">
            <v>1487.5</v>
          </cell>
          <cell r="AL12">
            <v>1875</v>
          </cell>
          <cell r="AN12">
            <v>1862.5</v>
          </cell>
        </row>
        <row r="13">
          <cell r="AI13">
            <v>1350</v>
          </cell>
          <cell r="AL13">
            <v>1718.75</v>
          </cell>
          <cell r="AN13">
            <v>1700</v>
          </cell>
        </row>
        <row r="14">
          <cell r="AI14">
            <v>1366.6666666666667</v>
          </cell>
          <cell r="AL14">
            <v>1608.3333333333333</v>
          </cell>
          <cell r="AN14">
            <v>1595.8333333333333</v>
          </cell>
        </row>
        <row r="15">
          <cell r="AI15">
            <v>1375</v>
          </cell>
          <cell r="AL15">
            <v>1481.25</v>
          </cell>
          <cell r="AN15">
            <v>1450</v>
          </cell>
        </row>
        <row r="16">
          <cell r="AI16">
            <v>1312.5</v>
          </cell>
          <cell r="AL16">
            <v>1362.5</v>
          </cell>
          <cell r="AN16">
            <v>1350</v>
          </cell>
        </row>
        <row r="17">
          <cell r="AI17">
            <v>1300</v>
          </cell>
          <cell r="AL17">
            <v>1306.25</v>
          </cell>
          <cell r="AN17">
            <v>1325</v>
          </cell>
        </row>
        <row r="18">
          <cell r="AI18">
            <v>1300</v>
          </cell>
          <cell r="AL18">
            <v>1262.5</v>
          </cell>
          <cell r="AN18">
            <v>1287.5</v>
          </cell>
        </row>
        <row r="19">
          <cell r="AI19">
            <v>1300</v>
          </cell>
          <cell r="AL19">
            <v>1237.5</v>
          </cell>
          <cell r="AN19">
            <v>1237.5</v>
          </cell>
        </row>
        <row r="20">
          <cell r="AI20">
            <v>1300</v>
          </cell>
          <cell r="AL20">
            <v>1204.1666666666667</v>
          </cell>
          <cell r="AN20">
            <v>1237.5</v>
          </cell>
        </row>
        <row r="21">
          <cell r="AI21">
            <v>1250</v>
          </cell>
          <cell r="AL21">
            <v>1200</v>
          </cell>
          <cell r="AN21">
            <v>1218.75</v>
          </cell>
        </row>
        <row r="22">
          <cell r="AI22">
            <v>1312.5</v>
          </cell>
          <cell r="AL22">
            <v>1262.5</v>
          </cell>
          <cell r="AN22">
            <v>1275</v>
          </cell>
        </row>
        <row r="23">
          <cell r="AI23">
            <v>1325</v>
          </cell>
          <cell r="AL23">
            <v>1368.75</v>
          </cell>
          <cell r="AN23">
            <v>1387.5</v>
          </cell>
        </row>
        <row r="24">
          <cell r="AI24">
            <v>1411.25</v>
          </cell>
          <cell r="AL24">
            <v>1500</v>
          </cell>
          <cell r="AN24">
            <v>1493.75</v>
          </cell>
        </row>
        <row r="25">
          <cell r="AI25">
            <v>1425</v>
          </cell>
          <cell r="AL25">
            <v>1575</v>
          </cell>
          <cell r="AN25">
            <v>1581.25</v>
          </cell>
        </row>
        <row r="26">
          <cell r="AI26">
            <v>1450</v>
          </cell>
          <cell r="AL26">
            <v>1708.3333333333333</v>
          </cell>
          <cell r="AN26">
            <v>1729.1666666666667</v>
          </cell>
        </row>
        <row r="27">
          <cell r="AI27">
            <v>1400</v>
          </cell>
          <cell r="AL27">
            <v>1762.5</v>
          </cell>
          <cell r="AN27">
            <v>1793.75</v>
          </cell>
        </row>
        <row r="28">
          <cell r="AI28">
            <v>1600</v>
          </cell>
          <cell r="AL28">
            <v>1750</v>
          </cell>
          <cell r="AN28">
            <v>1825</v>
          </cell>
        </row>
        <row r="29">
          <cell r="AI29">
            <v>1600</v>
          </cell>
          <cell r="AL29">
            <v>1725</v>
          </cell>
          <cell r="AN29">
            <v>1781.25</v>
          </cell>
        </row>
        <row r="30">
          <cell r="AI30">
            <v>1600</v>
          </cell>
          <cell r="AL30">
            <v>1700</v>
          </cell>
          <cell r="AN30">
            <v>1743.75</v>
          </cell>
        </row>
        <row r="31">
          <cell r="AI31">
            <v>1625</v>
          </cell>
          <cell r="AL31">
            <v>1700</v>
          </cell>
          <cell r="AN31">
            <v>1737.5</v>
          </cell>
        </row>
        <row r="32">
          <cell r="AI32">
            <v>1675</v>
          </cell>
          <cell r="AL32">
            <v>1700</v>
          </cell>
          <cell r="AN32">
            <v>1712.5</v>
          </cell>
        </row>
        <row r="33">
          <cell r="AI33">
            <v>1712.5</v>
          </cell>
          <cell r="AL33">
            <v>1700</v>
          </cell>
          <cell r="AN33">
            <v>1700</v>
          </cell>
        </row>
        <row r="34">
          <cell r="AI34">
            <v>1875</v>
          </cell>
          <cell r="AL34">
            <v>1737.5</v>
          </cell>
          <cell r="AN34">
            <v>1737.5</v>
          </cell>
        </row>
        <row r="35">
          <cell r="AI35">
            <v>1875</v>
          </cell>
          <cell r="AL35">
            <v>1800</v>
          </cell>
          <cell r="AN35">
            <v>1800</v>
          </cell>
        </row>
        <row r="36">
          <cell r="AI36">
            <v>1875</v>
          </cell>
          <cell r="AL36">
            <v>1800</v>
          </cell>
          <cell r="AN36">
            <v>1800</v>
          </cell>
        </row>
        <row r="37">
          <cell r="AI37">
            <v>1875</v>
          </cell>
          <cell r="AL37">
            <v>1812.5</v>
          </cell>
          <cell r="AN37">
            <v>1812.5</v>
          </cell>
        </row>
        <row r="38">
          <cell r="AI38">
            <v>1825</v>
          </cell>
          <cell r="AL38">
            <v>1837.5</v>
          </cell>
          <cell r="AN38">
            <v>1841.6666666666667</v>
          </cell>
        </row>
        <row r="39">
          <cell r="AI39">
            <v>1850</v>
          </cell>
          <cell r="AL39">
            <v>1850</v>
          </cell>
          <cell r="AN39">
            <v>1850</v>
          </cell>
        </row>
        <row r="40">
          <cell r="AI40">
            <v>1900</v>
          </cell>
          <cell r="AL40">
            <v>1850</v>
          </cell>
          <cell r="AN40">
            <v>1875</v>
          </cell>
        </row>
        <row r="41">
          <cell r="AI41">
            <v>1900</v>
          </cell>
          <cell r="AL41">
            <v>1850</v>
          </cell>
          <cell r="AN41">
            <v>1875</v>
          </cell>
        </row>
        <row r="42">
          <cell r="AI42">
            <v>1950</v>
          </cell>
          <cell r="AL42">
            <v>1950</v>
          </cell>
          <cell r="AN42">
            <v>1950</v>
          </cell>
        </row>
        <row r="43">
          <cell r="AI43">
            <v>2075</v>
          </cell>
          <cell r="AL43">
            <v>2050</v>
          </cell>
          <cell r="AN43">
            <v>2050</v>
          </cell>
        </row>
        <row r="44">
          <cell r="AI44">
            <v>2233.3333333333335</v>
          </cell>
          <cell r="AL44">
            <v>2100</v>
          </cell>
          <cell r="AN44">
            <v>2100</v>
          </cell>
        </row>
        <row r="45">
          <cell r="AI45">
            <v>2250</v>
          </cell>
          <cell r="AL45">
            <v>2100</v>
          </cell>
          <cell r="AN45">
            <v>2100</v>
          </cell>
        </row>
        <row r="46">
          <cell r="AI46">
            <v>2250</v>
          </cell>
          <cell r="AL46">
            <v>2100</v>
          </cell>
          <cell r="AN46">
            <v>2100</v>
          </cell>
        </row>
        <row r="47">
          <cell r="AI47">
            <v>2275</v>
          </cell>
          <cell r="AL47">
            <v>2175</v>
          </cell>
          <cell r="AN47">
            <v>2125</v>
          </cell>
        </row>
        <row r="48">
          <cell r="AI48">
            <v>2437.5</v>
          </cell>
          <cell r="AL48">
            <v>2200</v>
          </cell>
          <cell r="AN48">
            <v>2225</v>
          </cell>
        </row>
        <row r="49">
          <cell r="AI49">
            <v>2400</v>
          </cell>
          <cell r="AL49">
            <v>2200</v>
          </cell>
          <cell r="AN49">
            <v>2225</v>
          </cell>
        </row>
        <row r="50">
          <cell r="AI50">
            <v>2279.1666666666665</v>
          </cell>
          <cell r="AL50">
            <v>2216.6666666666665</v>
          </cell>
          <cell r="AN50">
            <v>2258.3333333333335</v>
          </cell>
        </row>
        <row r="51">
          <cell r="AI51">
            <v>2337.5</v>
          </cell>
          <cell r="AL51">
            <v>2225</v>
          </cell>
          <cell r="AN51">
            <v>2275</v>
          </cell>
        </row>
        <row r="52">
          <cell r="AI52">
            <v>2487.5</v>
          </cell>
          <cell r="AL52">
            <v>2225</v>
          </cell>
          <cell r="AN52">
            <v>2250</v>
          </cell>
        </row>
        <row r="53">
          <cell r="AI53">
            <v>2500</v>
          </cell>
          <cell r="AL53">
            <v>2200</v>
          </cell>
          <cell r="AN53">
            <v>2225</v>
          </cell>
        </row>
        <row r="54">
          <cell r="AI54">
            <v>2462.5</v>
          </cell>
          <cell r="AL54">
            <v>2175</v>
          </cell>
          <cell r="AN54">
            <v>2225</v>
          </cell>
        </row>
        <row r="55">
          <cell r="AI55">
            <v>2587.5</v>
          </cell>
          <cell r="AL55">
            <v>2200</v>
          </cell>
          <cell r="AN55">
            <v>2225</v>
          </cell>
        </row>
        <row r="56">
          <cell r="AI56">
            <v>2675</v>
          </cell>
          <cell r="AL56">
            <v>2233.3333333333335</v>
          </cell>
          <cell r="AN56">
            <v>2258.3333333333335</v>
          </cell>
        </row>
        <row r="57">
          <cell r="AI57">
            <v>2587.5</v>
          </cell>
          <cell r="AL57">
            <v>2275</v>
          </cell>
          <cell r="AN57">
            <v>2300</v>
          </cell>
        </row>
        <row r="58">
          <cell r="AI58">
            <v>2537.5</v>
          </cell>
          <cell r="AL58">
            <v>2281.25</v>
          </cell>
          <cell r="AN58">
            <v>2312.5</v>
          </cell>
        </row>
        <row r="59">
          <cell r="AI59">
            <v>2550</v>
          </cell>
          <cell r="AL59">
            <v>2250</v>
          </cell>
          <cell r="AN59">
            <v>2300</v>
          </cell>
        </row>
        <row r="60">
          <cell r="AI60">
            <v>2550</v>
          </cell>
          <cell r="AL60">
            <v>2237.5</v>
          </cell>
          <cell r="AN60">
            <v>2268.75</v>
          </cell>
        </row>
        <row r="61">
          <cell r="AI61">
            <v>2550</v>
          </cell>
          <cell r="AL61">
            <v>2175</v>
          </cell>
          <cell r="AN61">
            <v>2250</v>
          </cell>
        </row>
        <row r="62">
          <cell r="AI62">
            <v>2475</v>
          </cell>
          <cell r="AL62">
            <v>2162.5</v>
          </cell>
          <cell r="AN62">
            <v>2175</v>
          </cell>
        </row>
        <row r="63">
          <cell r="AI63">
            <v>2475</v>
          </cell>
          <cell r="AL63">
            <v>2181.25</v>
          </cell>
          <cell r="AN63">
            <v>2187.5</v>
          </cell>
        </row>
        <row r="64">
          <cell r="AI64">
            <v>2425</v>
          </cell>
          <cell r="AL64">
            <v>2150</v>
          </cell>
          <cell r="AN64">
            <v>2158.3333333333335</v>
          </cell>
        </row>
        <row r="65">
          <cell r="AI65">
            <v>2337.5</v>
          </cell>
          <cell r="AL65">
            <v>2087.5</v>
          </cell>
          <cell r="AN65">
            <v>2112.5</v>
          </cell>
        </row>
        <row r="66">
          <cell r="AI66">
            <v>2306.25</v>
          </cell>
          <cell r="AL66">
            <v>2075</v>
          </cell>
          <cell r="AN66">
            <v>2100</v>
          </cell>
        </row>
        <row r="67">
          <cell r="AI67">
            <v>2250</v>
          </cell>
          <cell r="AL67">
            <v>2050</v>
          </cell>
          <cell r="AN67">
            <v>2062.5</v>
          </cell>
        </row>
        <row r="68">
          <cell r="AI68">
            <v>2250</v>
          </cell>
          <cell r="AL68">
            <v>2075</v>
          </cell>
          <cell r="AN68">
            <v>2100</v>
          </cell>
        </row>
        <row r="69">
          <cell r="AI69">
            <v>2250</v>
          </cell>
          <cell r="AL69">
            <v>2091.6666666666665</v>
          </cell>
          <cell r="AN69">
            <v>2091.6666666666665</v>
          </cell>
        </row>
        <row r="70">
          <cell r="AI70">
            <v>2275</v>
          </cell>
          <cell r="AL70">
            <v>2175</v>
          </cell>
          <cell r="AN70">
            <v>2075</v>
          </cell>
        </row>
        <row r="71">
          <cell r="AI71">
            <v>2275</v>
          </cell>
          <cell r="AL71">
            <v>2262.5</v>
          </cell>
          <cell r="AN71">
            <v>2162.5</v>
          </cell>
        </row>
        <row r="72">
          <cell r="AI72">
            <v>2275</v>
          </cell>
          <cell r="AL72">
            <v>2612.5</v>
          </cell>
          <cell r="AN72">
            <v>2387.5</v>
          </cell>
        </row>
        <row r="73">
          <cell r="AI73">
            <v>2350</v>
          </cell>
          <cell r="AL73">
            <v>2825</v>
          </cell>
          <cell r="AN73">
            <v>2687.5</v>
          </cell>
        </row>
        <row r="74">
          <cell r="AI74">
            <v>2350</v>
          </cell>
          <cell r="AL74">
            <v>2912.5</v>
          </cell>
          <cell r="AN74">
            <v>2850</v>
          </cell>
        </row>
        <row r="75">
          <cell r="AI75">
            <v>2375</v>
          </cell>
          <cell r="AL75">
            <v>3125</v>
          </cell>
          <cell r="AN75">
            <v>3050</v>
          </cell>
        </row>
        <row r="76">
          <cell r="AI76">
            <v>2550</v>
          </cell>
          <cell r="AL76">
            <v>3316.6666666666665</v>
          </cell>
          <cell r="AN76">
            <v>3225</v>
          </cell>
        </row>
        <row r="77">
          <cell r="AI77">
            <v>2987.5</v>
          </cell>
          <cell r="AL77">
            <v>3850</v>
          </cell>
          <cell r="AN77">
            <v>3850</v>
          </cell>
        </row>
        <row r="78">
          <cell r="AI78">
            <v>3250</v>
          </cell>
          <cell r="AL78">
            <v>4200</v>
          </cell>
          <cell r="AN78">
            <v>4025</v>
          </cell>
        </row>
        <row r="79">
          <cell r="AI79">
            <v>4387.5</v>
          </cell>
          <cell r="AL79">
            <v>4800</v>
          </cell>
          <cell r="AN79">
            <v>4412.5</v>
          </cell>
        </row>
        <row r="80">
          <cell r="AI80">
            <v>5575</v>
          </cell>
          <cell r="AL80">
            <v>5150</v>
          </cell>
          <cell r="AN80">
            <v>4650</v>
          </cell>
        </row>
        <row r="81">
          <cell r="AI81">
            <v>5916.666666666667</v>
          </cell>
          <cell r="AL81">
            <v>5083.333333333333</v>
          </cell>
          <cell r="AN81">
            <v>4750</v>
          </cell>
        </row>
        <row r="82">
          <cell r="AI82">
            <v>6200</v>
          </cell>
          <cell r="AL82">
            <v>4950</v>
          </cell>
          <cell r="AN82">
            <v>4750</v>
          </cell>
        </row>
        <row r="83">
          <cell r="AI83">
            <v>6200</v>
          </cell>
          <cell r="AL83">
            <v>5000</v>
          </cell>
          <cell r="AN83">
            <v>4950</v>
          </cell>
        </row>
        <row r="84">
          <cell r="AI84">
            <v>5875</v>
          </cell>
          <cell r="AL84">
            <v>4925</v>
          </cell>
          <cell r="AN84">
            <v>4875</v>
          </cell>
        </row>
        <row r="85">
          <cell r="AI85">
            <v>4900</v>
          </cell>
          <cell r="AL85">
            <v>4625</v>
          </cell>
          <cell r="AN85">
            <v>4800</v>
          </cell>
        </row>
        <row r="86">
          <cell r="AI86">
            <v>4900</v>
          </cell>
          <cell r="AL86">
            <v>4266.666666666667</v>
          </cell>
          <cell r="AN86">
            <v>4533.333333333333</v>
          </cell>
        </row>
        <row r="87">
          <cell r="AI87">
            <v>4675</v>
          </cell>
          <cell r="AL87">
            <v>4000</v>
          </cell>
          <cell r="AN87">
            <v>4550</v>
          </cell>
        </row>
        <row r="88">
          <cell r="AI88">
            <v>4630</v>
          </cell>
          <cell r="AL88">
            <v>3775</v>
          </cell>
          <cell r="AN88">
            <v>4750</v>
          </cell>
        </row>
        <row r="89">
          <cell r="AI89">
            <v>4600</v>
          </cell>
          <cell r="AL89">
            <v>3500</v>
          </cell>
          <cell r="AN89">
            <v>4550</v>
          </cell>
        </row>
        <row r="90">
          <cell r="AI90">
            <v>4812.5</v>
          </cell>
          <cell r="AL90">
            <v>3475</v>
          </cell>
          <cell r="AN90">
            <v>4500</v>
          </cell>
        </row>
        <row r="91">
          <cell r="AI91">
            <v>4830</v>
          </cell>
          <cell r="AL91">
            <v>3475</v>
          </cell>
          <cell r="AN91">
            <v>4400</v>
          </cell>
        </row>
        <row r="92">
          <cell r="AI92">
            <v>4762.5</v>
          </cell>
          <cell r="AL92">
            <v>3600</v>
          </cell>
          <cell r="AN92" t="str">
            <v xml:space="preserve"> </v>
          </cell>
        </row>
        <row r="93">
          <cell r="AI93">
            <v>4700</v>
          </cell>
          <cell r="AL93">
            <v>3437.5</v>
          </cell>
          <cell r="AN93" t="str">
            <v xml:space="preserve"> </v>
          </cell>
        </row>
        <row r="94">
          <cell r="AI94">
            <v>4000</v>
          </cell>
          <cell r="AL94">
            <v>3025</v>
          </cell>
          <cell r="AN94" t="str">
            <v xml:space="preserve"> </v>
          </cell>
        </row>
        <row r="95">
          <cell r="AI95">
            <v>3650</v>
          </cell>
          <cell r="AL95">
            <v>2600</v>
          </cell>
          <cell r="AN95" t="str">
            <v xml:space="preserve"> </v>
          </cell>
        </row>
        <row r="96">
          <cell r="AI96">
            <v>3175</v>
          </cell>
          <cell r="AL96">
            <v>2200</v>
          </cell>
          <cell r="AN96" t="str">
            <v xml:space="preserve"> </v>
          </cell>
        </row>
        <row r="97">
          <cell r="AI97">
            <v>2310</v>
          </cell>
          <cell r="AL97">
            <v>2000</v>
          </cell>
          <cell r="AN97" t="str">
            <v xml:space="preserve"> </v>
          </cell>
        </row>
        <row r="98">
          <cell r="AI98">
            <v>2062.5</v>
          </cell>
          <cell r="AL98">
            <v>1825</v>
          </cell>
          <cell r="AN98" t="str">
            <v xml:space="preserve"> </v>
          </cell>
        </row>
        <row r="99">
          <cell r="AI99">
            <v>1950</v>
          </cell>
          <cell r="AL99">
            <v>1750</v>
          </cell>
          <cell r="AN99" t="str">
            <v xml:space="preserve"> </v>
          </cell>
        </row>
        <row r="100">
          <cell r="AI100">
            <v>1900</v>
          </cell>
          <cell r="AL100">
            <v>1812.5</v>
          </cell>
          <cell r="AN100" t="str">
            <v xml:space="preserve"> </v>
          </cell>
        </row>
        <row r="101">
          <cell r="AI101">
            <v>1925</v>
          </cell>
          <cell r="AL101">
            <v>1983.3333333333333</v>
          </cell>
          <cell r="AN101" t="str">
            <v xml:space="preserve"> </v>
          </cell>
        </row>
        <row r="102">
          <cell r="AI102">
            <v>2100</v>
          </cell>
          <cell r="AL102">
            <v>2000</v>
          </cell>
          <cell r="AN102" t="str">
            <v xml:space="preserve"> </v>
          </cell>
        </row>
        <row r="103">
          <cell r="AI103">
            <v>2140</v>
          </cell>
          <cell r="AL103">
            <v>2012.5</v>
          </cell>
          <cell r="AN103" t="str">
            <v xml:space="preserve"> </v>
          </cell>
        </row>
        <row r="104">
          <cell r="AI104">
            <v>2200</v>
          </cell>
          <cell r="AL104">
            <v>2012.5</v>
          </cell>
          <cell r="AN104" t="str">
            <v xml:space="preserve"> </v>
          </cell>
        </row>
        <row r="105">
          <cell r="AI105">
            <v>2380</v>
          </cell>
          <cell r="AL105">
            <v>2075</v>
          </cell>
          <cell r="AN105" t="str">
            <v xml:space="preserve"> </v>
          </cell>
        </row>
        <row r="106">
          <cell r="AI106">
            <v>2925</v>
          </cell>
          <cell r="AL106">
            <v>2343.75</v>
          </cell>
          <cell r="AN106" t="str">
            <v xml:space="preserve"> </v>
          </cell>
        </row>
        <row r="107">
          <cell r="AI107">
            <v>3520</v>
          </cell>
          <cell r="AL107">
            <v>2708.3333333333335</v>
          </cell>
          <cell r="AN107" t="str">
            <v xml:space="preserve"> </v>
          </cell>
        </row>
        <row r="108">
          <cell r="AI108" t="str">
            <v xml:space="preserve">     </v>
          </cell>
          <cell r="AL108">
            <v>3375</v>
          </cell>
        </row>
        <row r="109">
          <cell r="AI109" t="str">
            <v xml:space="preserve">     </v>
          </cell>
          <cell r="AL109">
            <v>3375</v>
          </cell>
        </row>
        <row r="110">
          <cell r="AI110" t="str">
            <v xml:space="preserve">     </v>
          </cell>
          <cell r="AL110">
            <v>3062.5</v>
          </cell>
        </row>
        <row r="111">
          <cell r="AI111" t="str">
            <v xml:space="preserve">     </v>
          </cell>
          <cell r="AL111">
            <v>2750</v>
          </cell>
        </row>
        <row r="112">
          <cell r="AL112" t="str">
            <v xml:space="preserve"> </v>
          </cell>
        </row>
        <row r="113">
          <cell r="AI113" t="str">
            <v xml:space="preserve">     </v>
          </cell>
          <cell r="AL113" t="str">
            <v xml:space="preserve"> </v>
          </cell>
        </row>
        <row r="114">
          <cell r="AI114" t="str">
            <v xml:space="preserve">     </v>
          </cell>
          <cell r="AL114" t="str">
            <v xml:space="preserve"> </v>
          </cell>
        </row>
        <row r="115">
          <cell r="AI115" t="str">
            <v xml:space="preserve">     </v>
          </cell>
          <cell r="AL115" t="str">
            <v xml:space="preserve"> </v>
          </cell>
        </row>
        <row r="116">
          <cell r="AI116" t="str">
            <v xml:space="preserve">     </v>
          </cell>
          <cell r="AL116" t="str">
            <v xml:space="preserve"> </v>
          </cell>
        </row>
        <row r="117">
          <cell r="AI117" t="str">
            <v xml:space="preserve">     </v>
          </cell>
          <cell r="AL117" t="str">
            <v xml:space="preserve"> </v>
          </cell>
        </row>
        <row r="118">
          <cell r="AI118" t="str">
            <v xml:space="preserve">     </v>
          </cell>
          <cell r="AL118" t="str">
            <v xml:space="preserve"> </v>
          </cell>
        </row>
        <row r="119">
          <cell r="AI119" t="str">
            <v xml:space="preserve">     </v>
          </cell>
          <cell r="AL119" t="str">
            <v xml:space="preserve"> </v>
          </cell>
        </row>
        <row r="120">
          <cell r="AI120" t="str">
            <v xml:space="preserve">     </v>
          </cell>
          <cell r="AL120" t="str">
            <v xml:space="preserve"> </v>
          </cell>
        </row>
        <row r="121">
          <cell r="AI121" t="str">
            <v xml:space="preserve">     </v>
          </cell>
          <cell r="AL121" t="str">
            <v xml:space="preserve"> </v>
          </cell>
        </row>
        <row r="122">
          <cell r="AL122" t="str">
            <v xml:space="preserve"> </v>
          </cell>
        </row>
        <row r="123">
          <cell r="AL123" t="str">
            <v xml:space="preserve"> </v>
          </cell>
        </row>
        <row r="124">
          <cell r="AL124" t="str">
            <v xml:space="preserve"> </v>
          </cell>
        </row>
        <row r="125">
          <cell r="AL125" t="str">
            <v xml:space="preserve"> </v>
          </cell>
        </row>
        <row r="126">
          <cell r="AL126" t="str">
            <v xml:space="preserve"> </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3">
    <tabColor rgb="FF00B050"/>
  </sheetPr>
  <dimension ref="A1:AJ155"/>
  <sheetViews>
    <sheetView workbookViewId="0">
      <pane xSplit="1" ySplit="119" topLeftCell="B142" activePane="bottomRight" state="frozen"/>
      <selection pane="topRight" activeCell="B1" sqref="B1"/>
      <selection pane="bottomLeft" activeCell="A120" sqref="A120"/>
      <selection pane="bottomRight" activeCell="C153" sqref="C153"/>
    </sheetView>
  </sheetViews>
  <sheetFormatPr defaultRowHeight="15" outlineLevelRow="1"/>
  <cols>
    <col min="1" max="1" width="54.5703125" style="1" customWidth="1"/>
    <col min="2" max="2" width="17.42578125" style="1" customWidth="1"/>
    <col min="3" max="3" width="18.7109375" style="1" customWidth="1"/>
    <col min="4" max="4" width="11.42578125" style="1" customWidth="1"/>
    <col min="5" max="5" width="9.5703125" style="1" customWidth="1"/>
    <col min="6" max="7" width="9.85546875" style="1" bestFit="1" customWidth="1"/>
    <col min="8" max="8" width="9.7109375" style="1" bestFit="1" customWidth="1"/>
    <col min="9" max="9" width="9.5703125" style="1" bestFit="1" customWidth="1"/>
    <col min="10" max="10" width="9.7109375" style="1" bestFit="1" customWidth="1"/>
    <col min="11" max="11" width="9.85546875" style="1" bestFit="1" customWidth="1"/>
    <col min="12" max="15" width="13" style="1" bestFit="1" customWidth="1"/>
    <col min="16" max="29" width="9.85546875" style="1" bestFit="1" customWidth="1"/>
    <col min="30" max="16384" width="9.140625" style="1"/>
  </cols>
  <sheetData>
    <row r="1" spans="1:29" ht="15.75" thickBot="1">
      <c r="A1" s="6"/>
      <c r="C1" s="65"/>
      <c r="D1" s="66"/>
      <c r="E1" s="58" t="s">
        <v>33</v>
      </c>
      <c r="F1" s="26" t="s">
        <v>34</v>
      </c>
      <c r="G1" s="26" t="s">
        <v>35</v>
      </c>
      <c r="H1" s="26" t="s">
        <v>36</v>
      </c>
      <c r="I1" s="26" t="s">
        <v>37</v>
      </c>
      <c r="J1" s="63" t="s">
        <v>38</v>
      </c>
      <c r="K1" s="26" t="s">
        <v>39</v>
      </c>
      <c r="L1" s="27" t="s">
        <v>40</v>
      </c>
      <c r="M1" s="27" t="s">
        <v>41</v>
      </c>
      <c r="N1" s="27" t="s">
        <v>42</v>
      </c>
      <c r="O1" s="27" t="s">
        <v>43</v>
      </c>
      <c r="P1" s="11" t="s">
        <v>52</v>
      </c>
      <c r="Q1" s="11" t="s">
        <v>53</v>
      </c>
      <c r="R1" s="11" t="s">
        <v>54</v>
      </c>
      <c r="S1" s="11" t="s">
        <v>55</v>
      </c>
      <c r="T1" s="11" t="s">
        <v>110</v>
      </c>
      <c r="U1" s="11" t="s">
        <v>111</v>
      </c>
      <c r="V1" s="11" t="s">
        <v>112</v>
      </c>
      <c r="W1" s="11" t="s">
        <v>113</v>
      </c>
      <c r="X1" s="11" t="s">
        <v>114</v>
      </c>
      <c r="Y1" s="11" t="s">
        <v>115</v>
      </c>
      <c r="Z1" s="11" t="s">
        <v>116</v>
      </c>
      <c r="AA1" s="11" t="s">
        <v>117</v>
      </c>
      <c r="AB1" s="11" t="s">
        <v>118</v>
      </c>
      <c r="AC1" s="11" t="s">
        <v>119</v>
      </c>
    </row>
    <row r="2" spans="1:29" ht="15.75" hidden="1" thickTop="1">
      <c r="A2" s="4" t="s">
        <v>120</v>
      </c>
    </row>
    <row r="3" spans="1:29" hidden="1">
      <c r="A3" s="1" t="s">
        <v>140</v>
      </c>
      <c r="B3" s="25" t="s">
        <v>100</v>
      </c>
      <c r="E3" s="66">
        <v>95.811979999999977</v>
      </c>
      <c r="F3" s="66">
        <v>113.364453</v>
      </c>
      <c r="G3" s="66">
        <v>130.458733</v>
      </c>
      <c r="H3" s="66">
        <v>145.314876</v>
      </c>
      <c r="I3" s="66">
        <v>153.273156</v>
      </c>
      <c r="J3" s="66">
        <v>164.78352299999997</v>
      </c>
      <c r="K3" s="66">
        <f>J3</f>
        <v>164.78352299999997</v>
      </c>
      <c r="L3" s="66">
        <f t="shared" ref="L3:AC3" si="0">K3</f>
        <v>164.78352299999997</v>
      </c>
      <c r="M3" s="66">
        <f t="shared" si="0"/>
        <v>164.78352299999997</v>
      </c>
      <c r="N3" s="66">
        <f t="shared" si="0"/>
        <v>164.78352299999997</v>
      </c>
      <c r="O3" s="66">
        <f t="shared" si="0"/>
        <v>164.78352299999997</v>
      </c>
      <c r="P3" s="66">
        <f t="shared" si="0"/>
        <v>164.78352299999997</v>
      </c>
      <c r="Q3" s="66">
        <f t="shared" si="0"/>
        <v>164.78352299999997</v>
      </c>
      <c r="R3" s="66">
        <f t="shared" si="0"/>
        <v>164.78352299999997</v>
      </c>
      <c r="S3" s="66">
        <f t="shared" si="0"/>
        <v>164.78352299999997</v>
      </c>
      <c r="T3" s="66">
        <f t="shared" si="0"/>
        <v>164.78352299999997</v>
      </c>
      <c r="U3" s="66">
        <f t="shared" si="0"/>
        <v>164.78352299999997</v>
      </c>
      <c r="V3" s="66">
        <f t="shared" si="0"/>
        <v>164.78352299999997</v>
      </c>
      <c r="W3" s="66">
        <f t="shared" si="0"/>
        <v>164.78352299999997</v>
      </c>
      <c r="X3" s="66">
        <f t="shared" si="0"/>
        <v>164.78352299999997</v>
      </c>
      <c r="Y3" s="66">
        <f t="shared" si="0"/>
        <v>164.78352299999997</v>
      </c>
      <c r="Z3" s="66">
        <f t="shared" si="0"/>
        <v>164.78352299999997</v>
      </c>
      <c r="AA3" s="66">
        <f t="shared" si="0"/>
        <v>164.78352299999997</v>
      </c>
      <c r="AB3" s="66">
        <f t="shared" si="0"/>
        <v>164.78352299999997</v>
      </c>
      <c r="AC3" s="66">
        <f t="shared" si="0"/>
        <v>164.78352299999997</v>
      </c>
    </row>
    <row r="4" spans="1:29" hidden="1">
      <c r="A4" s="1" t="s">
        <v>102</v>
      </c>
      <c r="B4" s="25" t="s">
        <v>100</v>
      </c>
      <c r="E4" s="66">
        <v>20.443650000000002</v>
      </c>
      <c r="F4" s="66">
        <v>36.398449999999997</v>
      </c>
      <c r="G4" s="66">
        <v>40.498875999999996</v>
      </c>
      <c r="H4" s="66">
        <v>44.048538000000001</v>
      </c>
      <c r="I4" s="66">
        <v>44.914769999999997</v>
      </c>
      <c r="J4" s="66">
        <v>46.565408000000005</v>
      </c>
      <c r="K4" s="66">
        <f>J4</f>
        <v>46.565408000000005</v>
      </c>
      <c r="L4" s="66">
        <f t="shared" ref="L4:AC4" si="1">K4</f>
        <v>46.565408000000005</v>
      </c>
      <c r="M4" s="66">
        <f t="shared" si="1"/>
        <v>46.565408000000005</v>
      </c>
      <c r="N4" s="66">
        <f t="shared" si="1"/>
        <v>46.565408000000005</v>
      </c>
      <c r="O4" s="66">
        <f t="shared" si="1"/>
        <v>46.565408000000005</v>
      </c>
      <c r="P4" s="66">
        <f t="shared" si="1"/>
        <v>46.565408000000005</v>
      </c>
      <c r="Q4" s="66">
        <f t="shared" si="1"/>
        <v>46.565408000000005</v>
      </c>
      <c r="R4" s="66">
        <f t="shared" si="1"/>
        <v>46.565408000000005</v>
      </c>
      <c r="S4" s="66">
        <f t="shared" si="1"/>
        <v>46.565408000000005</v>
      </c>
      <c r="T4" s="66">
        <f t="shared" si="1"/>
        <v>46.565408000000005</v>
      </c>
      <c r="U4" s="66">
        <f t="shared" si="1"/>
        <v>46.565408000000005</v>
      </c>
      <c r="V4" s="66">
        <f t="shared" si="1"/>
        <v>46.565408000000005</v>
      </c>
      <c r="W4" s="66">
        <f t="shared" si="1"/>
        <v>46.565408000000005</v>
      </c>
      <c r="X4" s="66">
        <f t="shared" si="1"/>
        <v>46.565408000000005</v>
      </c>
      <c r="Y4" s="66">
        <f t="shared" si="1"/>
        <v>46.565408000000005</v>
      </c>
      <c r="Z4" s="66">
        <f t="shared" si="1"/>
        <v>46.565408000000005</v>
      </c>
      <c r="AA4" s="66">
        <f t="shared" si="1"/>
        <v>46.565408000000005</v>
      </c>
      <c r="AB4" s="66">
        <f t="shared" si="1"/>
        <v>46.565408000000005</v>
      </c>
      <c r="AC4" s="66">
        <f t="shared" si="1"/>
        <v>46.565408000000005</v>
      </c>
    </row>
    <row r="5" spans="1:29" hidden="1">
      <c r="A5" s="8" t="s">
        <v>103</v>
      </c>
      <c r="B5" s="25" t="s">
        <v>100</v>
      </c>
      <c r="E5" s="66">
        <f t="shared" ref="E5:AC5" si="2">SUM(E6:E7)</f>
        <v>55.197527778000008</v>
      </c>
      <c r="F5" s="66">
        <f t="shared" si="2"/>
        <v>121.06552270249557</v>
      </c>
      <c r="G5" s="66">
        <f t="shared" si="2"/>
        <v>132.84173130212707</v>
      </c>
      <c r="H5" s="66">
        <f t="shared" si="2"/>
        <v>135.88707952834187</v>
      </c>
      <c r="I5" s="66">
        <f t="shared" si="2"/>
        <v>140.82006331891878</v>
      </c>
      <c r="J5" s="66">
        <f t="shared" si="2"/>
        <v>148.75277468782591</v>
      </c>
      <c r="K5" s="66">
        <f t="shared" si="2"/>
        <v>157.36785407609781</v>
      </c>
      <c r="L5" s="66">
        <f t="shared" si="2"/>
        <v>162.80510511687442</v>
      </c>
      <c r="M5" s="66">
        <f t="shared" si="2"/>
        <v>167.49455486945027</v>
      </c>
      <c r="N5" s="66">
        <f t="shared" si="2"/>
        <v>174.07248605948081</v>
      </c>
      <c r="O5" s="66">
        <f t="shared" si="2"/>
        <v>178.496495529627</v>
      </c>
      <c r="P5" s="66">
        <f t="shared" si="2"/>
        <v>177.03125461713756</v>
      </c>
      <c r="Q5" s="66">
        <f t="shared" si="2"/>
        <v>172.67262131958381</v>
      </c>
      <c r="R5" s="66">
        <f t="shared" si="2"/>
        <v>169.06311158404264</v>
      </c>
      <c r="S5" s="66">
        <f t="shared" si="2"/>
        <v>166.53547402604991</v>
      </c>
      <c r="T5" s="66">
        <f t="shared" si="2"/>
        <v>164.59630863962684</v>
      </c>
      <c r="U5" s="66">
        <f t="shared" si="2"/>
        <v>163.69464143194182</v>
      </c>
      <c r="V5" s="66">
        <f t="shared" si="2"/>
        <v>163.69464143194182</v>
      </c>
      <c r="W5" s="66">
        <f t="shared" si="2"/>
        <v>163.69464143194182</v>
      </c>
      <c r="X5" s="66">
        <f t="shared" si="2"/>
        <v>163.69464143194182</v>
      </c>
      <c r="Y5" s="66">
        <f t="shared" si="2"/>
        <v>163.69464143194182</v>
      </c>
      <c r="Z5" s="66">
        <f t="shared" si="2"/>
        <v>163.69464143194182</v>
      </c>
      <c r="AA5" s="66">
        <f t="shared" si="2"/>
        <v>163.69464143194182</v>
      </c>
      <c r="AB5" s="66">
        <f t="shared" si="2"/>
        <v>163.69464143194182</v>
      </c>
      <c r="AC5" s="66">
        <f t="shared" si="2"/>
        <v>163.69464143194182</v>
      </c>
    </row>
    <row r="6" spans="1:29" hidden="1" outlineLevel="1">
      <c r="A6" s="108" t="s">
        <v>186</v>
      </c>
      <c r="B6" s="25" t="s">
        <v>100</v>
      </c>
      <c r="C6" s="64"/>
      <c r="E6" s="66">
        <v>0</v>
      </c>
      <c r="F6" s="66">
        <v>5.9555555555555557</v>
      </c>
      <c r="G6" s="66">
        <v>5.9555555555555557</v>
      </c>
      <c r="H6" s="66">
        <v>0</v>
      </c>
      <c r="I6" s="66">
        <v>0</v>
      </c>
      <c r="J6" s="66">
        <v>0</v>
      </c>
      <c r="K6" s="66"/>
      <c r="L6" s="66"/>
      <c r="M6" s="66"/>
      <c r="N6" s="66"/>
      <c r="O6" s="66"/>
      <c r="P6" s="66"/>
      <c r="Q6" s="66"/>
      <c r="R6" s="66"/>
      <c r="S6" s="66"/>
      <c r="T6" s="66"/>
      <c r="U6" s="66"/>
      <c r="V6" s="66"/>
      <c r="W6" s="66"/>
      <c r="X6" s="66"/>
      <c r="Y6" s="66"/>
      <c r="Z6" s="66"/>
      <c r="AA6" s="66"/>
      <c r="AB6" s="66"/>
      <c r="AC6" s="66"/>
    </row>
    <row r="7" spans="1:29" hidden="1" outlineLevel="1">
      <c r="A7" s="108" t="s">
        <v>122</v>
      </c>
      <c r="B7" s="25" t="s">
        <v>100</v>
      </c>
      <c r="E7" s="66">
        <f>SUM(E82:E85)</f>
        <v>55.197527778000008</v>
      </c>
      <c r="F7" s="66">
        <f t="shared" ref="F7:AC7" si="3">SUM(F82:F85)</f>
        <v>115.10996714694002</v>
      </c>
      <c r="G7" s="66">
        <f t="shared" si="3"/>
        <v>126.88617574657151</v>
      </c>
      <c r="H7" s="66">
        <f t="shared" si="3"/>
        <v>135.88707952834187</v>
      </c>
      <c r="I7" s="66">
        <f t="shared" si="3"/>
        <v>140.82006331891878</v>
      </c>
      <c r="J7" s="66">
        <f t="shared" si="3"/>
        <v>148.75277468782591</v>
      </c>
      <c r="K7" s="66">
        <f t="shared" si="3"/>
        <v>157.36785407609781</v>
      </c>
      <c r="L7" s="66">
        <f t="shared" si="3"/>
        <v>162.80510511687442</v>
      </c>
      <c r="M7" s="66">
        <f t="shared" si="3"/>
        <v>167.49455486945027</v>
      </c>
      <c r="N7" s="66">
        <f t="shared" si="3"/>
        <v>174.07248605948081</v>
      </c>
      <c r="O7" s="66">
        <f t="shared" si="3"/>
        <v>178.496495529627</v>
      </c>
      <c r="P7" s="66">
        <f t="shared" si="3"/>
        <v>177.03125461713756</v>
      </c>
      <c r="Q7" s="66">
        <f t="shared" si="3"/>
        <v>172.67262131958381</v>
      </c>
      <c r="R7" s="66">
        <f t="shared" si="3"/>
        <v>169.06311158404264</v>
      </c>
      <c r="S7" s="66">
        <f t="shared" si="3"/>
        <v>166.53547402604991</v>
      </c>
      <c r="T7" s="66">
        <f t="shared" si="3"/>
        <v>164.59630863962684</v>
      </c>
      <c r="U7" s="66">
        <f t="shared" si="3"/>
        <v>163.69464143194182</v>
      </c>
      <c r="V7" s="66">
        <f t="shared" si="3"/>
        <v>163.69464143194182</v>
      </c>
      <c r="W7" s="66">
        <f t="shared" si="3"/>
        <v>163.69464143194182</v>
      </c>
      <c r="X7" s="66">
        <f t="shared" si="3"/>
        <v>163.69464143194182</v>
      </c>
      <c r="Y7" s="66">
        <f t="shared" si="3"/>
        <v>163.69464143194182</v>
      </c>
      <c r="Z7" s="66">
        <f t="shared" si="3"/>
        <v>163.69464143194182</v>
      </c>
      <c r="AA7" s="66">
        <f t="shared" si="3"/>
        <v>163.69464143194182</v>
      </c>
      <c r="AB7" s="66">
        <f t="shared" si="3"/>
        <v>163.69464143194182</v>
      </c>
      <c r="AC7" s="66">
        <f t="shared" si="3"/>
        <v>163.69464143194182</v>
      </c>
    </row>
    <row r="8" spans="1:29" hidden="1" collapsed="1">
      <c r="A8" s="115" t="s">
        <v>194</v>
      </c>
      <c r="B8" s="25" t="s">
        <v>100</v>
      </c>
      <c r="C8" s="64"/>
      <c r="E8" s="66">
        <v>111.11111111111111</v>
      </c>
      <c r="F8" s="66">
        <v>111.11111111111111</v>
      </c>
      <c r="G8" s="66">
        <v>0</v>
      </c>
      <c r="H8" s="66">
        <v>111.11111111111111</v>
      </c>
      <c r="I8" s="66">
        <v>0</v>
      </c>
      <c r="J8" s="66">
        <v>111.11111111111111</v>
      </c>
      <c r="K8" s="66">
        <v>0</v>
      </c>
      <c r="L8" s="66">
        <v>0</v>
      </c>
      <c r="M8" s="66">
        <v>0</v>
      </c>
      <c r="N8" s="66">
        <v>0</v>
      </c>
      <c r="O8" s="66">
        <v>0</v>
      </c>
      <c r="P8" s="66">
        <v>0</v>
      </c>
      <c r="Q8" s="66">
        <v>0</v>
      </c>
      <c r="R8" s="66">
        <v>0</v>
      </c>
      <c r="S8" s="66">
        <v>0</v>
      </c>
      <c r="T8" s="66">
        <v>0</v>
      </c>
      <c r="U8" s="66">
        <v>0</v>
      </c>
      <c r="V8" s="66">
        <v>0</v>
      </c>
      <c r="W8" s="66">
        <v>0</v>
      </c>
      <c r="X8" s="66">
        <v>0</v>
      </c>
      <c r="Y8" s="66">
        <v>0</v>
      </c>
      <c r="Z8" s="66">
        <v>0</v>
      </c>
      <c r="AA8" s="66">
        <v>0</v>
      </c>
      <c r="AB8" s="66">
        <v>0</v>
      </c>
      <c r="AC8" s="66">
        <v>0</v>
      </c>
    </row>
    <row r="9" spans="1:29" hidden="1">
      <c r="A9" s="8" t="s">
        <v>104</v>
      </c>
      <c r="B9" s="25" t="s">
        <v>100</v>
      </c>
      <c r="E9" s="66">
        <v>131.64600000000002</v>
      </c>
      <c r="F9" s="66">
        <v>417.16450000000003</v>
      </c>
      <c r="G9" s="66">
        <v>786.79449999999997</v>
      </c>
      <c r="H9" s="66">
        <v>611.00080000000003</v>
      </c>
      <c r="I9" s="66">
        <v>589.54360000000008</v>
      </c>
      <c r="J9" s="66">
        <v>569.13800000000015</v>
      </c>
      <c r="K9" s="66">
        <f>J9</f>
        <v>569.13800000000015</v>
      </c>
      <c r="L9" s="66">
        <f t="shared" ref="L9:AC9" si="4">K9</f>
        <v>569.13800000000015</v>
      </c>
      <c r="M9" s="66">
        <f t="shared" si="4"/>
        <v>569.13800000000015</v>
      </c>
      <c r="N9" s="66">
        <f t="shared" si="4"/>
        <v>569.13800000000015</v>
      </c>
      <c r="O9" s="66">
        <f t="shared" si="4"/>
        <v>569.13800000000015</v>
      </c>
      <c r="P9" s="66">
        <f t="shared" si="4"/>
        <v>569.13800000000015</v>
      </c>
      <c r="Q9" s="66">
        <f t="shared" si="4"/>
        <v>569.13800000000015</v>
      </c>
      <c r="R9" s="66">
        <f t="shared" si="4"/>
        <v>569.13800000000015</v>
      </c>
      <c r="S9" s="66">
        <f t="shared" si="4"/>
        <v>569.13800000000015</v>
      </c>
      <c r="T9" s="66">
        <f t="shared" si="4"/>
        <v>569.13800000000015</v>
      </c>
      <c r="U9" s="66">
        <f t="shared" si="4"/>
        <v>569.13800000000015</v>
      </c>
      <c r="V9" s="66">
        <f t="shared" si="4"/>
        <v>569.13800000000015</v>
      </c>
      <c r="W9" s="66">
        <f t="shared" si="4"/>
        <v>569.13800000000015</v>
      </c>
      <c r="X9" s="66">
        <f t="shared" si="4"/>
        <v>569.13800000000015</v>
      </c>
      <c r="Y9" s="66">
        <f t="shared" si="4"/>
        <v>569.13800000000015</v>
      </c>
      <c r="Z9" s="66">
        <f t="shared" si="4"/>
        <v>569.13800000000015</v>
      </c>
      <c r="AA9" s="66">
        <f t="shared" si="4"/>
        <v>569.13800000000015</v>
      </c>
      <c r="AB9" s="66">
        <f t="shared" si="4"/>
        <v>569.13800000000015</v>
      </c>
      <c r="AC9" s="66">
        <f t="shared" si="4"/>
        <v>569.13800000000015</v>
      </c>
    </row>
    <row r="10" spans="1:29" hidden="1">
      <c r="A10" s="1" t="s">
        <v>196</v>
      </c>
      <c r="B10" s="25" t="s">
        <v>100</v>
      </c>
      <c r="E10" s="64">
        <v>0</v>
      </c>
      <c r="F10" s="64">
        <v>4.9079999999999999E-2</v>
      </c>
      <c r="G10" s="64">
        <v>4.4989999999999995E-2</v>
      </c>
      <c r="H10" s="64">
        <v>4.4989999999999995E-2</v>
      </c>
      <c r="I10" s="64">
        <v>1.6360000000000003E-2</v>
      </c>
      <c r="J10" s="64">
        <v>0</v>
      </c>
      <c r="K10" s="66">
        <v>0</v>
      </c>
      <c r="L10" s="66">
        <v>0</v>
      </c>
      <c r="M10" s="66">
        <v>0</v>
      </c>
      <c r="N10" s="66">
        <v>0</v>
      </c>
      <c r="O10" s="66">
        <v>0</v>
      </c>
      <c r="P10" s="66">
        <v>0</v>
      </c>
      <c r="Q10" s="66">
        <v>0</v>
      </c>
      <c r="R10" s="66">
        <v>0</v>
      </c>
      <c r="S10" s="66">
        <v>0</v>
      </c>
      <c r="T10" s="66">
        <v>0</v>
      </c>
      <c r="U10" s="66">
        <v>0</v>
      </c>
      <c r="V10" s="66">
        <v>0</v>
      </c>
      <c r="W10" s="66">
        <v>0</v>
      </c>
      <c r="X10" s="66">
        <v>0</v>
      </c>
      <c r="Y10" s="66">
        <v>0</v>
      </c>
      <c r="Z10" s="66">
        <v>0</v>
      </c>
      <c r="AA10" s="66">
        <v>0</v>
      </c>
      <c r="AB10" s="66">
        <v>0</v>
      </c>
      <c r="AC10" s="66">
        <v>0</v>
      </c>
    </row>
    <row r="11" spans="1:29" hidden="1">
      <c r="A11" s="1" t="s">
        <v>139</v>
      </c>
      <c r="B11" s="25" t="s">
        <v>100</v>
      </c>
      <c r="E11" s="66">
        <v>23.57</v>
      </c>
      <c r="F11" s="66">
        <v>23.625999999999998</v>
      </c>
      <c r="G11" s="66">
        <v>23.579000000000001</v>
      </c>
      <c r="H11" s="66">
        <v>23.524000000000001</v>
      </c>
      <c r="I11" s="66">
        <v>23.413</v>
      </c>
      <c r="J11" s="66">
        <v>23.413</v>
      </c>
      <c r="K11" s="66">
        <v>0</v>
      </c>
      <c r="L11" s="66">
        <f t="shared" ref="L11:AC13" si="5">K11</f>
        <v>0</v>
      </c>
      <c r="M11" s="66">
        <f t="shared" si="5"/>
        <v>0</v>
      </c>
      <c r="N11" s="66">
        <f t="shared" si="5"/>
        <v>0</v>
      </c>
      <c r="O11" s="66">
        <f t="shared" si="5"/>
        <v>0</v>
      </c>
      <c r="P11" s="66">
        <f t="shared" si="5"/>
        <v>0</v>
      </c>
      <c r="Q11" s="66">
        <f t="shared" si="5"/>
        <v>0</v>
      </c>
      <c r="R11" s="66">
        <f t="shared" si="5"/>
        <v>0</v>
      </c>
      <c r="S11" s="66">
        <f t="shared" si="5"/>
        <v>0</v>
      </c>
      <c r="T11" s="66">
        <f t="shared" si="5"/>
        <v>0</v>
      </c>
      <c r="U11" s="66">
        <f t="shared" si="5"/>
        <v>0</v>
      </c>
      <c r="V11" s="66">
        <f t="shared" si="5"/>
        <v>0</v>
      </c>
      <c r="W11" s="66">
        <f t="shared" si="5"/>
        <v>0</v>
      </c>
      <c r="X11" s="66">
        <f t="shared" si="5"/>
        <v>0</v>
      </c>
      <c r="Y11" s="66">
        <f t="shared" si="5"/>
        <v>0</v>
      </c>
      <c r="Z11" s="66">
        <f t="shared" si="5"/>
        <v>0</v>
      </c>
      <c r="AA11" s="66">
        <f t="shared" si="5"/>
        <v>0</v>
      </c>
      <c r="AB11" s="66">
        <f t="shared" si="5"/>
        <v>0</v>
      </c>
      <c r="AC11" s="66">
        <f t="shared" si="5"/>
        <v>0</v>
      </c>
    </row>
    <row r="12" spans="1:29" hidden="1">
      <c r="A12" s="114" t="s">
        <v>134</v>
      </c>
      <c r="B12" s="25" t="s">
        <v>100</v>
      </c>
      <c r="E12" s="66">
        <v>0</v>
      </c>
      <c r="F12" s="66">
        <v>0</v>
      </c>
      <c r="G12" s="66">
        <v>0</v>
      </c>
      <c r="H12" s="66">
        <v>0</v>
      </c>
      <c r="I12" s="66">
        <v>0</v>
      </c>
      <c r="J12" s="66">
        <v>0</v>
      </c>
      <c r="K12" s="66">
        <v>0</v>
      </c>
      <c r="L12" s="66">
        <f>K12</f>
        <v>0</v>
      </c>
      <c r="M12" s="66">
        <f t="shared" si="5"/>
        <v>0</v>
      </c>
      <c r="N12" s="66">
        <f t="shared" si="5"/>
        <v>0</v>
      </c>
      <c r="O12" s="66">
        <f t="shared" si="5"/>
        <v>0</v>
      </c>
      <c r="P12" s="66">
        <f t="shared" si="5"/>
        <v>0</v>
      </c>
      <c r="Q12" s="66">
        <f t="shared" si="5"/>
        <v>0</v>
      </c>
      <c r="R12" s="66">
        <f t="shared" si="5"/>
        <v>0</v>
      </c>
      <c r="S12" s="66">
        <f t="shared" si="5"/>
        <v>0</v>
      </c>
      <c r="T12" s="66">
        <f t="shared" si="5"/>
        <v>0</v>
      </c>
      <c r="U12" s="66">
        <f t="shared" si="5"/>
        <v>0</v>
      </c>
      <c r="V12" s="66">
        <f t="shared" si="5"/>
        <v>0</v>
      </c>
      <c r="W12" s="66">
        <f t="shared" si="5"/>
        <v>0</v>
      </c>
      <c r="X12" s="66">
        <f t="shared" si="5"/>
        <v>0</v>
      </c>
      <c r="Y12" s="66">
        <f t="shared" si="5"/>
        <v>0</v>
      </c>
      <c r="Z12" s="66">
        <f t="shared" si="5"/>
        <v>0</v>
      </c>
      <c r="AA12" s="66">
        <f t="shared" si="5"/>
        <v>0</v>
      </c>
      <c r="AB12" s="66">
        <f t="shared" si="5"/>
        <v>0</v>
      </c>
      <c r="AC12" s="66">
        <f t="shared" si="5"/>
        <v>0</v>
      </c>
    </row>
    <row r="13" spans="1:29" hidden="1">
      <c r="A13" s="8" t="s">
        <v>201</v>
      </c>
      <c r="B13" s="25" t="s">
        <v>100</v>
      </c>
      <c r="E13" s="66">
        <v>12.272</v>
      </c>
      <c r="F13" s="66">
        <v>22.012</v>
      </c>
      <c r="G13" s="66">
        <v>31.312000000000001</v>
      </c>
      <c r="H13" s="66">
        <v>15.26</v>
      </c>
      <c r="I13" s="66">
        <v>11.36</v>
      </c>
      <c r="J13" s="66">
        <v>11.36</v>
      </c>
      <c r="K13" s="66">
        <f>J13</f>
        <v>11.36</v>
      </c>
      <c r="L13" s="66">
        <f t="shared" ref="L13" si="6">K13</f>
        <v>11.36</v>
      </c>
      <c r="M13" s="66">
        <f t="shared" si="5"/>
        <v>11.36</v>
      </c>
      <c r="N13" s="66">
        <f t="shared" si="5"/>
        <v>11.36</v>
      </c>
      <c r="O13" s="66">
        <f t="shared" si="5"/>
        <v>11.36</v>
      </c>
      <c r="P13" s="66">
        <f t="shared" si="5"/>
        <v>11.36</v>
      </c>
      <c r="Q13" s="66">
        <f t="shared" si="5"/>
        <v>11.36</v>
      </c>
      <c r="R13" s="66">
        <f t="shared" si="5"/>
        <v>11.36</v>
      </c>
      <c r="S13" s="66">
        <f t="shared" si="5"/>
        <v>11.36</v>
      </c>
      <c r="T13" s="66">
        <f t="shared" si="5"/>
        <v>11.36</v>
      </c>
      <c r="U13" s="66">
        <f t="shared" si="5"/>
        <v>11.36</v>
      </c>
      <c r="V13" s="66">
        <f t="shared" si="5"/>
        <v>11.36</v>
      </c>
      <c r="W13" s="66">
        <f t="shared" si="5"/>
        <v>11.36</v>
      </c>
      <c r="X13" s="66">
        <f t="shared" si="5"/>
        <v>11.36</v>
      </c>
      <c r="Y13" s="66">
        <f t="shared" si="5"/>
        <v>11.36</v>
      </c>
      <c r="Z13" s="66">
        <f t="shared" si="5"/>
        <v>11.36</v>
      </c>
      <c r="AA13" s="66">
        <f t="shared" si="5"/>
        <v>11.36</v>
      </c>
      <c r="AB13" s="66">
        <f t="shared" si="5"/>
        <v>11.36</v>
      </c>
      <c r="AC13" s="66">
        <f t="shared" si="5"/>
        <v>11.36</v>
      </c>
    </row>
    <row r="14" spans="1:29" hidden="1">
      <c r="A14" s="1" t="s">
        <v>121</v>
      </c>
      <c r="B14" s="25" t="s">
        <v>100</v>
      </c>
      <c r="E14" s="66">
        <f>E92</f>
        <v>154.64110949999997</v>
      </c>
      <c r="F14" s="66">
        <f t="shared" ref="F14:AC14" si="7">F92</f>
        <v>417.6630328</v>
      </c>
      <c r="G14" s="66">
        <f t="shared" si="7"/>
        <v>642.83917211999994</v>
      </c>
      <c r="H14" s="66">
        <f t="shared" si="7"/>
        <v>690.532297148</v>
      </c>
      <c r="I14" s="66">
        <f t="shared" si="7"/>
        <v>575.68595885920001</v>
      </c>
      <c r="J14" s="66">
        <f t="shared" si="7"/>
        <v>268.88585634367996</v>
      </c>
      <c r="K14" s="66">
        <f t="shared" si="7"/>
        <v>268.88585634367996</v>
      </c>
      <c r="L14" s="66">
        <f t="shared" si="7"/>
        <v>268.88585634367996</v>
      </c>
      <c r="M14" s="66">
        <f t="shared" si="7"/>
        <v>268.88585634367996</v>
      </c>
      <c r="N14" s="66">
        <f t="shared" si="7"/>
        <v>268.88585634367996</v>
      </c>
      <c r="O14" s="66">
        <f t="shared" si="7"/>
        <v>268.88585634367996</v>
      </c>
      <c r="P14" s="66">
        <f t="shared" si="7"/>
        <v>268.88585634367996</v>
      </c>
      <c r="Q14" s="66">
        <f t="shared" si="7"/>
        <v>268.88585634367996</v>
      </c>
      <c r="R14" s="66">
        <f t="shared" si="7"/>
        <v>268.88585634367996</v>
      </c>
      <c r="S14" s="66">
        <f t="shared" si="7"/>
        <v>268.88585634367996</v>
      </c>
      <c r="T14" s="66">
        <f t="shared" si="7"/>
        <v>268.88585634367996</v>
      </c>
      <c r="U14" s="66">
        <f t="shared" si="7"/>
        <v>268.88585634367996</v>
      </c>
      <c r="V14" s="66">
        <f t="shared" si="7"/>
        <v>268.88585634367996</v>
      </c>
      <c r="W14" s="66">
        <f t="shared" si="7"/>
        <v>268.88585634367996</v>
      </c>
      <c r="X14" s="66">
        <f t="shared" si="7"/>
        <v>268.88585634367996</v>
      </c>
      <c r="Y14" s="66">
        <f t="shared" si="7"/>
        <v>268.88585634367996</v>
      </c>
      <c r="Z14" s="66">
        <f t="shared" si="7"/>
        <v>268.88585634367996</v>
      </c>
      <c r="AA14" s="66">
        <f t="shared" si="7"/>
        <v>268.88585634367996</v>
      </c>
      <c r="AB14" s="66">
        <f t="shared" si="7"/>
        <v>268.88585634367996</v>
      </c>
      <c r="AC14" s="66">
        <f t="shared" si="7"/>
        <v>268.88585634367996</v>
      </c>
    </row>
    <row r="15" spans="1:29" hidden="1">
      <c r="A15" s="1" t="s">
        <v>195</v>
      </c>
      <c r="B15" s="25" t="s">
        <v>100</v>
      </c>
      <c r="E15" s="66">
        <v>35.269999999999996</v>
      </c>
      <c r="F15" s="66">
        <v>152.57900000000001</v>
      </c>
      <c r="G15" s="66">
        <v>180.596</v>
      </c>
      <c r="H15" s="66">
        <v>268.41949999999997</v>
      </c>
      <c r="I15" s="66">
        <v>282.09750000000003</v>
      </c>
      <c r="J15" s="66">
        <v>290.55099999999999</v>
      </c>
      <c r="K15" s="66">
        <f>J15</f>
        <v>290.55099999999999</v>
      </c>
      <c r="L15" s="66">
        <f t="shared" ref="L15:AC15" si="8">K15</f>
        <v>290.55099999999999</v>
      </c>
      <c r="M15" s="66">
        <f t="shared" si="8"/>
        <v>290.55099999999999</v>
      </c>
      <c r="N15" s="66">
        <f t="shared" si="8"/>
        <v>290.55099999999999</v>
      </c>
      <c r="O15" s="66">
        <f t="shared" si="8"/>
        <v>290.55099999999999</v>
      </c>
      <c r="P15" s="66">
        <f t="shared" si="8"/>
        <v>290.55099999999999</v>
      </c>
      <c r="Q15" s="66">
        <f t="shared" si="8"/>
        <v>290.55099999999999</v>
      </c>
      <c r="R15" s="66">
        <f t="shared" si="8"/>
        <v>290.55099999999999</v>
      </c>
      <c r="S15" s="66">
        <f t="shared" si="8"/>
        <v>290.55099999999999</v>
      </c>
      <c r="T15" s="66">
        <f t="shared" si="8"/>
        <v>290.55099999999999</v>
      </c>
      <c r="U15" s="66">
        <f t="shared" si="8"/>
        <v>290.55099999999999</v>
      </c>
      <c r="V15" s="66">
        <f t="shared" si="8"/>
        <v>290.55099999999999</v>
      </c>
      <c r="W15" s="66">
        <f t="shared" si="8"/>
        <v>290.55099999999999</v>
      </c>
      <c r="X15" s="66">
        <f t="shared" si="8"/>
        <v>290.55099999999999</v>
      </c>
      <c r="Y15" s="66">
        <f t="shared" si="8"/>
        <v>290.55099999999999</v>
      </c>
      <c r="Z15" s="66">
        <f t="shared" si="8"/>
        <v>290.55099999999999</v>
      </c>
      <c r="AA15" s="66">
        <f t="shared" si="8"/>
        <v>290.55099999999999</v>
      </c>
      <c r="AB15" s="66">
        <f t="shared" si="8"/>
        <v>290.55099999999999</v>
      </c>
      <c r="AC15" s="66">
        <f t="shared" si="8"/>
        <v>290.55099999999999</v>
      </c>
    </row>
    <row r="16" spans="1:29" hidden="1">
      <c r="A16" s="8" t="s">
        <v>108</v>
      </c>
      <c r="B16" s="25" t="s">
        <v>100</v>
      </c>
      <c r="E16" s="66" t="e">
        <f>E108</f>
        <v>#REF!</v>
      </c>
      <c r="F16" s="66" t="e">
        <f t="shared" ref="F16:AC16" si="9">F108</f>
        <v>#REF!</v>
      </c>
      <c r="G16" s="66" t="e">
        <f t="shared" si="9"/>
        <v>#REF!</v>
      </c>
      <c r="H16" s="66" t="e">
        <f t="shared" si="9"/>
        <v>#REF!</v>
      </c>
      <c r="I16" s="66" t="e">
        <f t="shared" si="9"/>
        <v>#REF!</v>
      </c>
      <c r="J16" s="66" t="e">
        <f t="shared" si="9"/>
        <v>#REF!</v>
      </c>
      <c r="K16" s="66" t="e">
        <f t="shared" si="9"/>
        <v>#REF!</v>
      </c>
      <c r="L16" s="66" t="e">
        <f t="shared" si="9"/>
        <v>#REF!</v>
      </c>
      <c r="M16" s="66" t="e">
        <f t="shared" si="9"/>
        <v>#REF!</v>
      </c>
      <c r="N16" s="66" t="e">
        <f t="shared" si="9"/>
        <v>#REF!</v>
      </c>
      <c r="O16" s="66" t="e">
        <f t="shared" si="9"/>
        <v>#REF!</v>
      </c>
      <c r="P16" s="66" t="e">
        <f t="shared" si="9"/>
        <v>#REF!</v>
      </c>
      <c r="Q16" s="66" t="e">
        <f t="shared" si="9"/>
        <v>#REF!</v>
      </c>
      <c r="R16" s="66" t="e">
        <f t="shared" si="9"/>
        <v>#REF!</v>
      </c>
      <c r="S16" s="66" t="e">
        <f t="shared" si="9"/>
        <v>#REF!</v>
      </c>
      <c r="T16" s="66" t="e">
        <f t="shared" si="9"/>
        <v>#REF!</v>
      </c>
      <c r="U16" s="66" t="e">
        <f t="shared" si="9"/>
        <v>#REF!</v>
      </c>
      <c r="V16" s="66" t="e">
        <f t="shared" si="9"/>
        <v>#REF!</v>
      </c>
      <c r="W16" s="66" t="e">
        <f t="shared" si="9"/>
        <v>#REF!</v>
      </c>
      <c r="X16" s="66" t="e">
        <f t="shared" si="9"/>
        <v>#REF!</v>
      </c>
      <c r="Y16" s="66" t="e">
        <f t="shared" si="9"/>
        <v>#REF!</v>
      </c>
      <c r="Z16" s="66" t="e">
        <f t="shared" si="9"/>
        <v>#REF!</v>
      </c>
      <c r="AA16" s="66" t="e">
        <f t="shared" si="9"/>
        <v>#REF!</v>
      </c>
      <c r="AB16" s="66" t="e">
        <f t="shared" si="9"/>
        <v>#REF!</v>
      </c>
      <c r="AC16" s="66" t="e">
        <f t="shared" si="9"/>
        <v>#REF!</v>
      </c>
    </row>
    <row r="17" spans="1:29" s="61" customFormat="1" hidden="1">
      <c r="A17" s="67" t="s">
        <v>101</v>
      </c>
      <c r="B17" s="60" t="s">
        <v>100</v>
      </c>
      <c r="E17" s="68" t="e">
        <f>SUM(E3,E4,E5,E8,E9,E10,E11,E12,E13,E14,E15,E16)</f>
        <v>#REF!</v>
      </c>
      <c r="F17" s="68" t="e">
        <f t="shared" ref="F17:AC17" si="10">SUM(F3,F4,F5,F8,F9,F10,F11,F12,F13,F14,F15,F16)</f>
        <v>#REF!</v>
      </c>
      <c r="G17" s="68" t="e">
        <f t="shared" si="10"/>
        <v>#REF!</v>
      </c>
      <c r="H17" s="68" t="e">
        <f t="shared" si="10"/>
        <v>#REF!</v>
      </c>
      <c r="I17" s="68" t="e">
        <f t="shared" si="10"/>
        <v>#REF!</v>
      </c>
      <c r="J17" s="68" t="e">
        <f t="shared" si="10"/>
        <v>#REF!</v>
      </c>
      <c r="K17" s="68" t="e">
        <f t="shared" si="10"/>
        <v>#REF!</v>
      </c>
      <c r="L17" s="68" t="e">
        <f t="shared" si="10"/>
        <v>#REF!</v>
      </c>
      <c r="M17" s="68" t="e">
        <f t="shared" si="10"/>
        <v>#REF!</v>
      </c>
      <c r="N17" s="68" t="e">
        <f t="shared" si="10"/>
        <v>#REF!</v>
      </c>
      <c r="O17" s="68" t="e">
        <f t="shared" si="10"/>
        <v>#REF!</v>
      </c>
      <c r="P17" s="68" t="e">
        <f t="shared" si="10"/>
        <v>#REF!</v>
      </c>
      <c r="Q17" s="68" t="e">
        <f t="shared" si="10"/>
        <v>#REF!</v>
      </c>
      <c r="R17" s="68" t="e">
        <f t="shared" si="10"/>
        <v>#REF!</v>
      </c>
      <c r="S17" s="68" t="e">
        <f t="shared" si="10"/>
        <v>#REF!</v>
      </c>
      <c r="T17" s="68" t="e">
        <f t="shared" si="10"/>
        <v>#REF!</v>
      </c>
      <c r="U17" s="68" t="e">
        <f t="shared" si="10"/>
        <v>#REF!</v>
      </c>
      <c r="V17" s="68" t="e">
        <f t="shared" si="10"/>
        <v>#REF!</v>
      </c>
      <c r="W17" s="68" t="e">
        <f t="shared" si="10"/>
        <v>#REF!</v>
      </c>
      <c r="X17" s="68" t="e">
        <f t="shared" si="10"/>
        <v>#REF!</v>
      </c>
      <c r="Y17" s="68" t="e">
        <f t="shared" si="10"/>
        <v>#REF!</v>
      </c>
      <c r="Z17" s="68" t="e">
        <f t="shared" si="10"/>
        <v>#REF!</v>
      </c>
      <c r="AA17" s="68" t="e">
        <f t="shared" si="10"/>
        <v>#REF!</v>
      </c>
      <c r="AB17" s="68" t="e">
        <f t="shared" si="10"/>
        <v>#REF!</v>
      </c>
      <c r="AC17" s="68" t="e">
        <f t="shared" si="10"/>
        <v>#REF!</v>
      </c>
    </row>
    <row r="18" spans="1:29" hidden="1"/>
    <row r="19" spans="1:29" hidden="1"/>
    <row r="20" spans="1:29" hidden="1">
      <c r="A20" s="4" t="s">
        <v>136</v>
      </c>
    </row>
    <row r="21" spans="1:29" hidden="1"/>
    <row r="22" spans="1:29" hidden="1"/>
    <row r="23" spans="1:29" hidden="1">
      <c r="A23" s="1" t="s">
        <v>210</v>
      </c>
      <c r="B23" s="25" t="s">
        <v>100</v>
      </c>
      <c r="C23" s="65">
        <v>1</v>
      </c>
      <c r="E23" s="66">
        <v>119.18499999999997</v>
      </c>
      <c r="F23" s="66">
        <v>34.700000000000003</v>
      </c>
      <c r="G23" s="66">
        <v>11.559000000000001</v>
      </c>
      <c r="H23" s="66">
        <v>14.411000000000001</v>
      </c>
      <c r="I23" s="66">
        <v>10.457000000000001</v>
      </c>
      <c r="J23" s="66">
        <v>14.392000000000001</v>
      </c>
      <c r="K23" s="62"/>
      <c r="L23" s="62"/>
      <c r="M23" s="62"/>
      <c r="N23" s="62"/>
      <c r="O23" s="62"/>
      <c r="P23" s="62"/>
      <c r="Q23" s="62"/>
      <c r="R23" s="62"/>
      <c r="S23" s="62"/>
      <c r="T23" s="62"/>
      <c r="U23" s="62"/>
      <c r="V23" s="62"/>
      <c r="W23" s="62"/>
      <c r="X23" s="62"/>
      <c r="Y23" s="62"/>
      <c r="Z23" s="62"/>
      <c r="AA23" s="62"/>
      <c r="AB23" s="62"/>
      <c r="AC23" s="62"/>
    </row>
    <row r="24" spans="1:29" s="69" customFormat="1" hidden="1">
      <c r="B24" s="56"/>
      <c r="C24" s="70"/>
      <c r="E24" s="78">
        <f>E23*$C$23</f>
        <v>119.18499999999997</v>
      </c>
      <c r="F24" s="78">
        <f t="shared" ref="F24:J24" si="11">F23*$C$23</f>
        <v>34.700000000000003</v>
      </c>
      <c r="G24" s="78">
        <f t="shared" si="11"/>
        <v>11.559000000000001</v>
      </c>
      <c r="H24" s="78">
        <f t="shared" si="11"/>
        <v>14.411000000000001</v>
      </c>
      <c r="I24" s="78">
        <f t="shared" si="11"/>
        <v>10.457000000000001</v>
      </c>
      <c r="J24" s="78">
        <f t="shared" si="11"/>
        <v>14.392000000000001</v>
      </c>
      <c r="K24" s="69">
        <f t="shared" ref="K24:AC24" si="12">K23*$C$23</f>
        <v>0</v>
      </c>
      <c r="L24" s="69">
        <f t="shared" si="12"/>
        <v>0</v>
      </c>
      <c r="M24" s="69">
        <f t="shared" si="12"/>
        <v>0</v>
      </c>
      <c r="N24" s="69">
        <f t="shared" si="12"/>
        <v>0</v>
      </c>
      <c r="O24" s="69">
        <f t="shared" si="12"/>
        <v>0</v>
      </c>
      <c r="P24" s="69">
        <f t="shared" si="12"/>
        <v>0</v>
      </c>
      <c r="Q24" s="69">
        <f t="shared" si="12"/>
        <v>0</v>
      </c>
      <c r="R24" s="69">
        <f t="shared" si="12"/>
        <v>0</v>
      </c>
      <c r="S24" s="69">
        <f t="shared" si="12"/>
        <v>0</v>
      </c>
      <c r="T24" s="69">
        <f t="shared" si="12"/>
        <v>0</v>
      </c>
      <c r="U24" s="69">
        <f t="shared" si="12"/>
        <v>0</v>
      </c>
      <c r="V24" s="69">
        <f t="shared" si="12"/>
        <v>0</v>
      </c>
      <c r="W24" s="69">
        <f t="shared" si="12"/>
        <v>0</v>
      </c>
      <c r="X24" s="69">
        <f t="shared" si="12"/>
        <v>0</v>
      </c>
      <c r="Y24" s="69">
        <f t="shared" si="12"/>
        <v>0</v>
      </c>
      <c r="Z24" s="69">
        <f t="shared" si="12"/>
        <v>0</v>
      </c>
      <c r="AA24" s="69">
        <f t="shared" si="12"/>
        <v>0</v>
      </c>
      <c r="AB24" s="69">
        <f t="shared" si="12"/>
        <v>0</v>
      </c>
      <c r="AC24" s="69">
        <f t="shared" si="12"/>
        <v>0</v>
      </c>
    </row>
    <row r="25" spans="1:29" s="8" customFormat="1" hidden="1">
      <c r="A25" s="8" t="s">
        <v>138</v>
      </c>
      <c r="B25" s="25" t="s">
        <v>100</v>
      </c>
      <c r="C25" s="65">
        <v>0</v>
      </c>
      <c r="E25" s="79">
        <v>0</v>
      </c>
      <c r="F25" s="79">
        <v>0</v>
      </c>
      <c r="G25" s="79">
        <v>0</v>
      </c>
      <c r="H25" s="79">
        <v>0</v>
      </c>
      <c r="I25" s="79">
        <v>0</v>
      </c>
      <c r="J25" s="79">
        <v>0</v>
      </c>
    </row>
    <row r="26" spans="1:29" s="69" customFormat="1" hidden="1">
      <c r="B26" s="56"/>
      <c r="C26" s="70"/>
      <c r="E26" s="78">
        <f>E25*$C$25</f>
        <v>0</v>
      </c>
      <c r="F26" s="78">
        <f t="shared" ref="F26:AC26" si="13">F25*$C$25</f>
        <v>0</v>
      </c>
      <c r="G26" s="78">
        <f t="shared" si="13"/>
        <v>0</v>
      </c>
      <c r="H26" s="78">
        <f t="shared" si="13"/>
        <v>0</v>
      </c>
      <c r="I26" s="78">
        <f t="shared" si="13"/>
        <v>0</v>
      </c>
      <c r="J26" s="78">
        <f t="shared" si="13"/>
        <v>0</v>
      </c>
      <c r="K26" s="78">
        <f t="shared" si="13"/>
        <v>0</v>
      </c>
      <c r="L26" s="78">
        <f t="shared" si="13"/>
        <v>0</v>
      </c>
      <c r="M26" s="78">
        <f t="shared" si="13"/>
        <v>0</v>
      </c>
      <c r="N26" s="78">
        <f t="shared" si="13"/>
        <v>0</v>
      </c>
      <c r="O26" s="78">
        <f t="shared" si="13"/>
        <v>0</v>
      </c>
      <c r="P26" s="78">
        <f t="shared" si="13"/>
        <v>0</v>
      </c>
      <c r="Q26" s="78">
        <f t="shared" si="13"/>
        <v>0</v>
      </c>
      <c r="R26" s="78">
        <f t="shared" si="13"/>
        <v>0</v>
      </c>
      <c r="S26" s="78">
        <f t="shared" si="13"/>
        <v>0</v>
      </c>
      <c r="T26" s="78">
        <f t="shared" si="13"/>
        <v>0</v>
      </c>
      <c r="U26" s="78">
        <f t="shared" si="13"/>
        <v>0</v>
      </c>
      <c r="V26" s="78">
        <f t="shared" si="13"/>
        <v>0</v>
      </c>
      <c r="W26" s="78">
        <f t="shared" si="13"/>
        <v>0</v>
      </c>
      <c r="X26" s="78">
        <f t="shared" si="13"/>
        <v>0</v>
      </c>
      <c r="Y26" s="78">
        <f t="shared" si="13"/>
        <v>0</v>
      </c>
      <c r="Z26" s="78">
        <f t="shared" si="13"/>
        <v>0</v>
      </c>
      <c r="AA26" s="78">
        <f t="shared" si="13"/>
        <v>0</v>
      </c>
      <c r="AB26" s="78">
        <f t="shared" si="13"/>
        <v>0</v>
      </c>
      <c r="AC26" s="78">
        <f t="shared" si="13"/>
        <v>0</v>
      </c>
    </row>
    <row r="27" spans="1:29" hidden="1">
      <c r="A27" s="1" t="s">
        <v>102</v>
      </c>
      <c r="B27" s="25" t="s">
        <v>100</v>
      </c>
      <c r="C27" s="65">
        <v>1</v>
      </c>
      <c r="E27" s="66">
        <v>6.2690000000000001</v>
      </c>
      <c r="F27" s="66">
        <v>6.7819999999999991</v>
      </c>
      <c r="G27" s="66">
        <v>6.5580000000000016</v>
      </c>
      <c r="H27" s="66">
        <v>2.3319999999999999</v>
      </c>
      <c r="I27" s="66">
        <v>0</v>
      </c>
      <c r="J27" s="66">
        <v>0</v>
      </c>
      <c r="K27" s="62"/>
      <c r="L27" s="62"/>
      <c r="M27" s="62"/>
      <c r="N27" s="62"/>
      <c r="O27" s="62"/>
      <c r="P27" s="62"/>
      <c r="Q27" s="62"/>
      <c r="R27" s="62"/>
      <c r="S27" s="62"/>
      <c r="T27" s="62"/>
      <c r="U27" s="62"/>
      <c r="V27" s="62"/>
      <c r="W27" s="62"/>
      <c r="X27" s="62"/>
      <c r="Y27" s="62"/>
      <c r="Z27" s="62"/>
      <c r="AA27" s="62"/>
      <c r="AB27" s="62"/>
      <c r="AC27" s="62"/>
    </row>
    <row r="28" spans="1:29" s="69" customFormat="1" hidden="1">
      <c r="B28" s="56"/>
      <c r="C28" s="70"/>
      <c r="E28" s="78">
        <f>E27*$C$27</f>
        <v>6.2690000000000001</v>
      </c>
      <c r="F28" s="78">
        <f t="shared" ref="F28:AC28" si="14">F27*$C$27</f>
        <v>6.7819999999999991</v>
      </c>
      <c r="G28" s="78">
        <f t="shared" si="14"/>
        <v>6.5580000000000016</v>
      </c>
      <c r="H28" s="78">
        <f t="shared" si="14"/>
        <v>2.3319999999999999</v>
      </c>
      <c r="I28" s="78">
        <f t="shared" si="14"/>
        <v>0</v>
      </c>
      <c r="J28" s="78">
        <f t="shared" si="14"/>
        <v>0</v>
      </c>
      <c r="K28" s="69">
        <f t="shared" si="14"/>
        <v>0</v>
      </c>
      <c r="L28" s="69">
        <f t="shared" si="14"/>
        <v>0</v>
      </c>
      <c r="M28" s="69">
        <f t="shared" si="14"/>
        <v>0</v>
      </c>
      <c r="N28" s="69">
        <f t="shared" si="14"/>
        <v>0</v>
      </c>
      <c r="O28" s="69">
        <f t="shared" si="14"/>
        <v>0</v>
      </c>
      <c r="P28" s="69">
        <f t="shared" si="14"/>
        <v>0</v>
      </c>
      <c r="Q28" s="69">
        <f t="shared" si="14"/>
        <v>0</v>
      </c>
      <c r="R28" s="69">
        <f t="shared" si="14"/>
        <v>0</v>
      </c>
      <c r="S28" s="69">
        <f t="shared" si="14"/>
        <v>0</v>
      </c>
      <c r="T28" s="69">
        <f t="shared" si="14"/>
        <v>0</v>
      </c>
      <c r="U28" s="69">
        <f t="shared" si="14"/>
        <v>0</v>
      </c>
      <c r="V28" s="69">
        <f t="shared" si="14"/>
        <v>0</v>
      </c>
      <c r="W28" s="69">
        <f t="shared" si="14"/>
        <v>0</v>
      </c>
      <c r="X28" s="69">
        <f t="shared" si="14"/>
        <v>0</v>
      </c>
      <c r="Y28" s="69">
        <f t="shared" si="14"/>
        <v>0</v>
      </c>
      <c r="Z28" s="69">
        <f t="shared" si="14"/>
        <v>0</v>
      </c>
      <c r="AA28" s="69">
        <f t="shared" si="14"/>
        <v>0</v>
      </c>
      <c r="AB28" s="69">
        <f t="shared" si="14"/>
        <v>0</v>
      </c>
      <c r="AC28" s="69">
        <f t="shared" si="14"/>
        <v>0</v>
      </c>
    </row>
    <row r="29" spans="1:29" hidden="1">
      <c r="A29" s="1" t="s">
        <v>103</v>
      </c>
      <c r="B29" s="25" t="s">
        <v>100</v>
      </c>
      <c r="C29" s="65">
        <v>1</v>
      </c>
      <c r="E29" s="66">
        <f>E80</f>
        <v>687.58729631999995</v>
      </c>
      <c r="F29" s="66">
        <f t="shared" ref="F29:J29" si="15">F80</f>
        <v>571.70360187555559</v>
      </c>
      <c r="G29" s="66">
        <f t="shared" si="15"/>
        <v>112.21980555555555</v>
      </c>
      <c r="H29" s="66">
        <f t="shared" si="15"/>
        <v>15.014999999999999</v>
      </c>
      <c r="I29" s="66">
        <f t="shared" si="15"/>
        <v>0.378</v>
      </c>
      <c r="J29" s="66">
        <f t="shared" si="15"/>
        <v>0.1575</v>
      </c>
    </row>
    <row r="30" spans="1:29" s="69" customFormat="1" hidden="1">
      <c r="B30" s="56"/>
      <c r="C30" s="70"/>
      <c r="E30" s="78">
        <f>E29*$C$29</f>
        <v>687.58729631999995</v>
      </c>
      <c r="F30" s="78">
        <f t="shared" ref="F30:J30" si="16">F29*$C$29</f>
        <v>571.70360187555559</v>
      </c>
      <c r="G30" s="78">
        <f t="shared" si="16"/>
        <v>112.21980555555555</v>
      </c>
      <c r="H30" s="78">
        <f t="shared" si="16"/>
        <v>15.014999999999999</v>
      </c>
      <c r="I30" s="78">
        <f t="shared" si="16"/>
        <v>0.378</v>
      </c>
      <c r="J30" s="78">
        <f t="shared" si="16"/>
        <v>0.1575</v>
      </c>
      <c r="K30" s="69">
        <f t="shared" ref="K30:AC30" si="17">K29*$C$29</f>
        <v>0</v>
      </c>
      <c r="L30" s="69">
        <f t="shared" si="17"/>
        <v>0</v>
      </c>
      <c r="M30" s="69">
        <f t="shared" si="17"/>
        <v>0</v>
      </c>
      <c r="N30" s="69">
        <f t="shared" si="17"/>
        <v>0</v>
      </c>
      <c r="O30" s="69">
        <f t="shared" si="17"/>
        <v>0</v>
      </c>
      <c r="P30" s="69">
        <f t="shared" si="17"/>
        <v>0</v>
      </c>
      <c r="Q30" s="69">
        <f t="shared" si="17"/>
        <v>0</v>
      </c>
      <c r="R30" s="69">
        <f t="shared" si="17"/>
        <v>0</v>
      </c>
      <c r="S30" s="69">
        <f t="shared" si="17"/>
        <v>0</v>
      </c>
      <c r="T30" s="69">
        <f t="shared" si="17"/>
        <v>0</v>
      </c>
      <c r="U30" s="69">
        <f t="shared" si="17"/>
        <v>0</v>
      </c>
      <c r="V30" s="69">
        <f t="shared" si="17"/>
        <v>0</v>
      </c>
      <c r="W30" s="69">
        <f t="shared" si="17"/>
        <v>0</v>
      </c>
      <c r="X30" s="69">
        <f t="shared" si="17"/>
        <v>0</v>
      </c>
      <c r="Y30" s="69">
        <f t="shared" si="17"/>
        <v>0</v>
      </c>
      <c r="Z30" s="69">
        <f t="shared" si="17"/>
        <v>0</v>
      </c>
      <c r="AA30" s="69">
        <f t="shared" si="17"/>
        <v>0</v>
      </c>
      <c r="AB30" s="69">
        <f t="shared" si="17"/>
        <v>0</v>
      </c>
      <c r="AC30" s="69">
        <f t="shared" si="17"/>
        <v>0</v>
      </c>
    </row>
    <row r="31" spans="1:29" hidden="1">
      <c r="A31" s="8" t="s">
        <v>104</v>
      </c>
      <c r="B31" s="25" t="s">
        <v>100</v>
      </c>
      <c r="C31" s="65">
        <v>1</v>
      </c>
      <c r="E31" s="66">
        <v>104.78800000000001</v>
      </c>
      <c r="F31" s="66">
        <v>207.69200000000001</v>
      </c>
      <c r="G31" s="66">
        <v>313.83199999999999</v>
      </c>
      <c r="H31" s="66">
        <v>82.103999999999999</v>
      </c>
      <c r="I31" s="66">
        <v>54.503999999999998</v>
      </c>
      <c r="J31" s="66">
        <v>54.503999999999998</v>
      </c>
    </row>
    <row r="32" spans="1:29" s="69" customFormat="1" hidden="1">
      <c r="B32" s="56"/>
      <c r="C32" s="70"/>
      <c r="E32" s="78">
        <f>E31*$C$31</f>
        <v>104.78800000000001</v>
      </c>
      <c r="F32" s="78">
        <f t="shared" ref="F32:AC32" si="18">F31*$C$31</f>
        <v>207.69200000000001</v>
      </c>
      <c r="G32" s="78">
        <f t="shared" si="18"/>
        <v>313.83199999999999</v>
      </c>
      <c r="H32" s="78">
        <f t="shared" si="18"/>
        <v>82.103999999999999</v>
      </c>
      <c r="I32" s="78">
        <f t="shared" si="18"/>
        <v>54.503999999999998</v>
      </c>
      <c r="J32" s="78">
        <f t="shared" si="18"/>
        <v>54.503999999999998</v>
      </c>
      <c r="K32" s="69">
        <f t="shared" si="18"/>
        <v>0</v>
      </c>
      <c r="L32" s="69">
        <f t="shared" si="18"/>
        <v>0</v>
      </c>
      <c r="M32" s="69">
        <f t="shared" si="18"/>
        <v>0</v>
      </c>
      <c r="N32" s="69">
        <f t="shared" si="18"/>
        <v>0</v>
      </c>
      <c r="O32" s="69">
        <f t="shared" si="18"/>
        <v>0</v>
      </c>
      <c r="P32" s="69">
        <f t="shared" si="18"/>
        <v>0</v>
      </c>
      <c r="Q32" s="69">
        <f t="shared" si="18"/>
        <v>0</v>
      </c>
      <c r="R32" s="69">
        <f t="shared" si="18"/>
        <v>0</v>
      </c>
      <c r="S32" s="69">
        <f t="shared" si="18"/>
        <v>0</v>
      </c>
      <c r="T32" s="69">
        <f t="shared" si="18"/>
        <v>0</v>
      </c>
      <c r="U32" s="69">
        <f t="shared" si="18"/>
        <v>0</v>
      </c>
      <c r="V32" s="69">
        <f t="shared" si="18"/>
        <v>0</v>
      </c>
      <c r="W32" s="69">
        <f t="shared" si="18"/>
        <v>0</v>
      </c>
      <c r="X32" s="69">
        <f t="shared" si="18"/>
        <v>0</v>
      </c>
      <c r="Y32" s="69">
        <f t="shared" si="18"/>
        <v>0</v>
      </c>
      <c r="Z32" s="69">
        <f t="shared" si="18"/>
        <v>0</v>
      </c>
      <c r="AA32" s="69">
        <f t="shared" si="18"/>
        <v>0</v>
      </c>
      <c r="AB32" s="69">
        <f t="shared" si="18"/>
        <v>0</v>
      </c>
      <c r="AC32" s="69">
        <f t="shared" si="18"/>
        <v>0</v>
      </c>
    </row>
    <row r="33" spans="1:29" s="8" customFormat="1" hidden="1">
      <c r="A33" s="8" t="s">
        <v>141</v>
      </c>
      <c r="B33" s="25" t="s">
        <v>100</v>
      </c>
      <c r="C33" s="65">
        <v>1</v>
      </c>
      <c r="E33" s="79">
        <v>64.575000000000003</v>
      </c>
      <c r="F33" s="79">
        <v>62.470000000000006</v>
      </c>
      <c r="G33" s="79">
        <v>0</v>
      </c>
      <c r="H33" s="79">
        <v>0</v>
      </c>
      <c r="I33" s="79">
        <v>0</v>
      </c>
      <c r="J33" s="79">
        <v>0</v>
      </c>
    </row>
    <row r="34" spans="1:29" s="69" customFormat="1" hidden="1">
      <c r="B34" s="56"/>
      <c r="C34" s="70"/>
      <c r="E34" s="78">
        <f>E33*$C$33</f>
        <v>64.575000000000003</v>
      </c>
      <c r="F34" s="78">
        <f t="shared" ref="F34:AC34" si="19">F33*$C$33</f>
        <v>62.470000000000006</v>
      </c>
      <c r="G34" s="78">
        <f t="shared" si="19"/>
        <v>0</v>
      </c>
      <c r="H34" s="78">
        <f t="shared" si="19"/>
        <v>0</v>
      </c>
      <c r="I34" s="78">
        <f t="shared" si="19"/>
        <v>0</v>
      </c>
      <c r="J34" s="78">
        <f t="shared" si="19"/>
        <v>0</v>
      </c>
      <c r="K34" s="78">
        <f t="shared" si="19"/>
        <v>0</v>
      </c>
      <c r="L34" s="78">
        <f t="shared" si="19"/>
        <v>0</v>
      </c>
      <c r="M34" s="78">
        <f t="shared" si="19"/>
        <v>0</v>
      </c>
      <c r="N34" s="78">
        <f t="shared" si="19"/>
        <v>0</v>
      </c>
      <c r="O34" s="78">
        <f t="shared" si="19"/>
        <v>0</v>
      </c>
      <c r="P34" s="78">
        <f t="shared" si="19"/>
        <v>0</v>
      </c>
      <c r="Q34" s="78">
        <f t="shared" si="19"/>
        <v>0</v>
      </c>
      <c r="R34" s="78">
        <f t="shared" si="19"/>
        <v>0</v>
      </c>
      <c r="S34" s="78">
        <f t="shared" si="19"/>
        <v>0</v>
      </c>
      <c r="T34" s="78">
        <f t="shared" si="19"/>
        <v>0</v>
      </c>
      <c r="U34" s="78">
        <f t="shared" si="19"/>
        <v>0</v>
      </c>
      <c r="V34" s="78">
        <f t="shared" si="19"/>
        <v>0</v>
      </c>
      <c r="W34" s="78">
        <f t="shared" si="19"/>
        <v>0</v>
      </c>
      <c r="X34" s="78">
        <f t="shared" si="19"/>
        <v>0</v>
      </c>
      <c r="Y34" s="78">
        <f t="shared" si="19"/>
        <v>0</v>
      </c>
      <c r="Z34" s="78">
        <f t="shared" si="19"/>
        <v>0</v>
      </c>
      <c r="AA34" s="78">
        <f t="shared" si="19"/>
        <v>0</v>
      </c>
      <c r="AB34" s="78">
        <f t="shared" si="19"/>
        <v>0</v>
      </c>
      <c r="AC34" s="78">
        <f t="shared" si="19"/>
        <v>0</v>
      </c>
    </row>
    <row r="35" spans="1:29" hidden="1">
      <c r="A35" s="1" t="s">
        <v>105</v>
      </c>
      <c r="B35" s="25" t="s">
        <v>100</v>
      </c>
      <c r="C35" s="65">
        <v>1</v>
      </c>
      <c r="E35" s="66">
        <v>133.334</v>
      </c>
      <c r="F35" s="66">
        <v>22.222999999999999</v>
      </c>
      <c r="G35" s="66">
        <v>0</v>
      </c>
      <c r="H35" s="66">
        <v>33.333999999999996</v>
      </c>
      <c r="I35" s="66">
        <v>0</v>
      </c>
      <c r="J35" s="66">
        <v>0</v>
      </c>
    </row>
    <row r="36" spans="1:29" s="69" customFormat="1" hidden="1">
      <c r="B36" s="56"/>
      <c r="C36" s="70"/>
      <c r="E36" s="78">
        <f>E35*$C$35</f>
        <v>133.334</v>
      </c>
      <c r="F36" s="78">
        <f t="shared" ref="F36:AC36" si="20">F35*$C$35</f>
        <v>22.222999999999999</v>
      </c>
      <c r="G36" s="78">
        <f t="shared" si="20"/>
        <v>0</v>
      </c>
      <c r="H36" s="78">
        <f t="shared" si="20"/>
        <v>33.333999999999996</v>
      </c>
      <c r="I36" s="69">
        <f t="shared" si="20"/>
        <v>0</v>
      </c>
      <c r="J36" s="69">
        <f t="shared" si="20"/>
        <v>0</v>
      </c>
      <c r="K36" s="69">
        <f t="shared" si="20"/>
        <v>0</v>
      </c>
      <c r="L36" s="69">
        <f t="shared" si="20"/>
        <v>0</v>
      </c>
      <c r="M36" s="69">
        <f t="shared" si="20"/>
        <v>0</v>
      </c>
      <c r="N36" s="69">
        <f t="shared" si="20"/>
        <v>0</v>
      </c>
      <c r="O36" s="69">
        <f t="shared" si="20"/>
        <v>0</v>
      </c>
      <c r="P36" s="69">
        <f t="shared" si="20"/>
        <v>0</v>
      </c>
      <c r="Q36" s="69">
        <f t="shared" si="20"/>
        <v>0</v>
      </c>
      <c r="R36" s="69">
        <f t="shared" si="20"/>
        <v>0</v>
      </c>
      <c r="S36" s="69">
        <f t="shared" si="20"/>
        <v>0</v>
      </c>
      <c r="T36" s="69">
        <f t="shared" si="20"/>
        <v>0</v>
      </c>
      <c r="U36" s="69">
        <f t="shared" si="20"/>
        <v>0</v>
      </c>
      <c r="V36" s="69">
        <f t="shared" si="20"/>
        <v>0</v>
      </c>
      <c r="W36" s="69">
        <f t="shared" si="20"/>
        <v>0</v>
      </c>
      <c r="X36" s="69">
        <f t="shared" si="20"/>
        <v>0</v>
      </c>
      <c r="Y36" s="69">
        <f t="shared" si="20"/>
        <v>0</v>
      </c>
      <c r="Z36" s="69">
        <f t="shared" si="20"/>
        <v>0</v>
      </c>
      <c r="AA36" s="69">
        <f t="shared" si="20"/>
        <v>0</v>
      </c>
      <c r="AB36" s="69">
        <f t="shared" si="20"/>
        <v>0</v>
      </c>
      <c r="AC36" s="69">
        <f t="shared" si="20"/>
        <v>0</v>
      </c>
    </row>
    <row r="37" spans="1:29" hidden="1">
      <c r="A37" s="1" t="s">
        <v>142</v>
      </c>
      <c r="B37" s="25" t="s">
        <v>100</v>
      </c>
      <c r="C37" s="65">
        <v>1</v>
      </c>
      <c r="E37" s="66">
        <v>50.775000000000006</v>
      </c>
      <c r="F37" s="66">
        <v>115.78999999999999</v>
      </c>
      <c r="G37" s="66">
        <v>158.51000000000005</v>
      </c>
      <c r="H37" s="66">
        <v>145.13300000000001</v>
      </c>
      <c r="I37" s="66">
        <v>99.68</v>
      </c>
      <c r="J37" s="66">
        <v>0</v>
      </c>
      <c r="K37" s="66">
        <v>0</v>
      </c>
      <c r="L37" s="66">
        <v>0</v>
      </c>
      <c r="M37" s="66">
        <v>0</v>
      </c>
      <c r="N37" s="66">
        <v>0</v>
      </c>
      <c r="O37" s="66">
        <v>0</v>
      </c>
      <c r="P37" s="66">
        <v>0</v>
      </c>
      <c r="Q37" s="66">
        <v>0</v>
      </c>
      <c r="R37" s="66">
        <v>0</v>
      </c>
      <c r="S37" s="66">
        <v>0</v>
      </c>
      <c r="T37" s="66">
        <v>0</v>
      </c>
      <c r="U37" s="66">
        <v>0</v>
      </c>
      <c r="V37" s="66">
        <v>0</v>
      </c>
      <c r="W37" s="66">
        <v>0</v>
      </c>
      <c r="X37" s="66">
        <v>0</v>
      </c>
      <c r="Y37" s="66">
        <v>0</v>
      </c>
      <c r="Z37" s="66">
        <v>0</v>
      </c>
      <c r="AA37" s="66">
        <v>0</v>
      </c>
      <c r="AB37" s="66">
        <v>0</v>
      </c>
      <c r="AC37" s="66">
        <v>0</v>
      </c>
    </row>
    <row r="38" spans="1:29" s="69" customFormat="1" hidden="1">
      <c r="B38" s="56"/>
      <c r="C38" s="70"/>
      <c r="E38" s="78">
        <f>E37*$C$37</f>
        <v>50.775000000000006</v>
      </c>
      <c r="F38" s="78">
        <f t="shared" ref="F38:AC38" si="21">F37*$C$37</f>
        <v>115.78999999999999</v>
      </c>
      <c r="G38" s="78">
        <f t="shared" si="21"/>
        <v>158.51000000000005</v>
      </c>
      <c r="H38" s="78">
        <f t="shared" si="21"/>
        <v>145.13300000000001</v>
      </c>
      <c r="I38" s="78">
        <f t="shared" si="21"/>
        <v>99.68</v>
      </c>
      <c r="J38" s="78">
        <f t="shared" si="21"/>
        <v>0</v>
      </c>
      <c r="K38" s="78">
        <f t="shared" si="21"/>
        <v>0</v>
      </c>
      <c r="L38" s="78">
        <f t="shared" si="21"/>
        <v>0</v>
      </c>
      <c r="M38" s="78">
        <f t="shared" si="21"/>
        <v>0</v>
      </c>
      <c r="N38" s="69">
        <f t="shared" si="21"/>
        <v>0</v>
      </c>
      <c r="O38" s="69">
        <f t="shared" si="21"/>
        <v>0</v>
      </c>
      <c r="P38" s="69">
        <f t="shared" si="21"/>
        <v>0</v>
      </c>
      <c r="Q38" s="69">
        <f t="shared" si="21"/>
        <v>0</v>
      </c>
      <c r="R38" s="69">
        <f t="shared" si="21"/>
        <v>0</v>
      </c>
      <c r="S38" s="69">
        <f t="shared" si="21"/>
        <v>0</v>
      </c>
      <c r="T38" s="69">
        <f t="shared" si="21"/>
        <v>0</v>
      </c>
      <c r="U38" s="69">
        <f t="shared" si="21"/>
        <v>0</v>
      </c>
      <c r="V38" s="69">
        <f t="shared" si="21"/>
        <v>0</v>
      </c>
      <c r="W38" s="69">
        <f t="shared" si="21"/>
        <v>0</v>
      </c>
      <c r="X38" s="69">
        <f t="shared" si="21"/>
        <v>0</v>
      </c>
      <c r="Y38" s="69">
        <f t="shared" si="21"/>
        <v>0</v>
      </c>
      <c r="Z38" s="69">
        <f t="shared" si="21"/>
        <v>0</v>
      </c>
      <c r="AA38" s="69">
        <f t="shared" si="21"/>
        <v>0</v>
      </c>
      <c r="AB38" s="69">
        <f t="shared" si="21"/>
        <v>0</v>
      </c>
      <c r="AC38" s="69">
        <f t="shared" si="21"/>
        <v>0</v>
      </c>
    </row>
    <row r="39" spans="1:29" hidden="1">
      <c r="A39" s="1" t="s">
        <v>106</v>
      </c>
      <c r="B39" s="25" t="s">
        <v>100</v>
      </c>
      <c r="C39" s="65">
        <v>1</v>
      </c>
      <c r="E39" s="66">
        <v>11.112</v>
      </c>
      <c r="F39" s="66">
        <v>11.112</v>
      </c>
      <c r="G39" s="66">
        <v>22.224</v>
      </c>
      <c r="H39" s="66">
        <v>11.112</v>
      </c>
      <c r="I39" s="66">
        <v>11.112</v>
      </c>
      <c r="J39" s="66">
        <v>11.112</v>
      </c>
      <c r="K39" s="66">
        <v>0</v>
      </c>
      <c r="L39" s="66">
        <v>0</v>
      </c>
      <c r="M39" s="66">
        <v>0</v>
      </c>
      <c r="N39" s="66">
        <v>0</v>
      </c>
      <c r="O39" s="66">
        <v>0</v>
      </c>
      <c r="P39" s="66">
        <v>0</v>
      </c>
      <c r="Q39" s="66">
        <v>0</v>
      </c>
      <c r="R39" s="66">
        <v>0</v>
      </c>
      <c r="S39" s="66">
        <v>0</v>
      </c>
      <c r="T39" s="66">
        <v>0</v>
      </c>
      <c r="U39" s="66">
        <v>0</v>
      </c>
      <c r="V39" s="66">
        <v>0</v>
      </c>
      <c r="W39" s="66">
        <v>0</v>
      </c>
      <c r="X39" s="66">
        <v>0</v>
      </c>
      <c r="Y39" s="66">
        <v>0</v>
      </c>
      <c r="Z39" s="66">
        <v>0</v>
      </c>
      <c r="AA39" s="66">
        <v>0</v>
      </c>
      <c r="AB39" s="66">
        <v>0</v>
      </c>
      <c r="AC39" s="66">
        <v>0</v>
      </c>
    </row>
    <row r="40" spans="1:29" s="69" customFormat="1" hidden="1">
      <c r="B40" s="56"/>
      <c r="C40" s="70"/>
      <c r="E40" s="78">
        <f>E39*$C$39</f>
        <v>11.112</v>
      </c>
      <c r="F40" s="78">
        <f t="shared" ref="F40:AC40" si="22">F39*$C$39</f>
        <v>11.112</v>
      </c>
      <c r="G40" s="78">
        <f t="shared" si="22"/>
        <v>22.224</v>
      </c>
      <c r="H40" s="78">
        <f t="shared" si="22"/>
        <v>11.112</v>
      </c>
      <c r="I40" s="78">
        <f t="shared" si="22"/>
        <v>11.112</v>
      </c>
      <c r="J40" s="78">
        <f t="shared" si="22"/>
        <v>11.112</v>
      </c>
      <c r="K40" s="78">
        <f t="shared" si="22"/>
        <v>0</v>
      </c>
      <c r="L40" s="78">
        <f t="shared" si="22"/>
        <v>0</v>
      </c>
      <c r="M40" s="78">
        <f t="shared" si="22"/>
        <v>0</v>
      </c>
      <c r="N40" s="78">
        <f t="shared" si="22"/>
        <v>0</v>
      </c>
      <c r="O40" s="78">
        <f t="shared" si="22"/>
        <v>0</v>
      </c>
      <c r="P40" s="78">
        <f t="shared" si="22"/>
        <v>0</v>
      </c>
      <c r="Q40" s="78">
        <f t="shared" si="22"/>
        <v>0</v>
      </c>
      <c r="R40" s="78">
        <f t="shared" si="22"/>
        <v>0</v>
      </c>
      <c r="S40" s="78">
        <f t="shared" si="22"/>
        <v>0</v>
      </c>
      <c r="T40" s="78">
        <f t="shared" si="22"/>
        <v>0</v>
      </c>
      <c r="U40" s="78">
        <f t="shared" si="22"/>
        <v>0</v>
      </c>
      <c r="V40" s="78">
        <f t="shared" si="22"/>
        <v>0</v>
      </c>
      <c r="W40" s="78">
        <f t="shared" si="22"/>
        <v>0</v>
      </c>
      <c r="X40" s="78">
        <f t="shared" si="22"/>
        <v>0</v>
      </c>
      <c r="Y40" s="78">
        <f t="shared" si="22"/>
        <v>0</v>
      </c>
      <c r="Z40" s="78">
        <f t="shared" si="22"/>
        <v>0</v>
      </c>
      <c r="AA40" s="78">
        <f t="shared" si="22"/>
        <v>0</v>
      </c>
      <c r="AB40" s="78">
        <f t="shared" si="22"/>
        <v>0</v>
      </c>
      <c r="AC40" s="78">
        <f t="shared" si="22"/>
        <v>0</v>
      </c>
    </row>
    <row r="41" spans="1:29" s="8" customFormat="1" hidden="1">
      <c r="A41" s="8" t="s">
        <v>145</v>
      </c>
      <c r="B41" s="10" t="s">
        <v>100</v>
      </c>
      <c r="C41" s="9">
        <v>1</v>
      </c>
      <c r="E41" s="79">
        <v>0</v>
      </c>
      <c r="F41" s="79">
        <v>16.68</v>
      </c>
      <c r="G41" s="79">
        <v>38.92</v>
      </c>
      <c r="H41" s="79">
        <v>16.68</v>
      </c>
      <c r="I41" s="79">
        <v>38.92</v>
      </c>
      <c r="J41" s="79">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row>
    <row r="42" spans="1:29" s="69" customFormat="1" hidden="1">
      <c r="B42" s="56"/>
      <c r="C42" s="70"/>
      <c r="E42" s="69">
        <f>$C$41*E41</f>
        <v>0</v>
      </c>
      <c r="F42" s="78">
        <f t="shared" ref="F42:AC42" si="23">$C$41*F41</f>
        <v>16.68</v>
      </c>
      <c r="G42" s="78">
        <f t="shared" si="23"/>
        <v>38.92</v>
      </c>
      <c r="H42" s="78">
        <f t="shared" si="23"/>
        <v>16.68</v>
      </c>
      <c r="I42" s="78">
        <f t="shared" si="23"/>
        <v>38.92</v>
      </c>
      <c r="J42" s="78">
        <f t="shared" si="23"/>
        <v>0</v>
      </c>
      <c r="K42" s="69">
        <f t="shared" si="23"/>
        <v>0</v>
      </c>
      <c r="L42" s="69">
        <f t="shared" si="23"/>
        <v>0</v>
      </c>
      <c r="M42" s="69">
        <f t="shared" si="23"/>
        <v>0</v>
      </c>
      <c r="N42" s="69">
        <f t="shared" si="23"/>
        <v>0</v>
      </c>
      <c r="O42" s="69">
        <f t="shared" si="23"/>
        <v>0</v>
      </c>
      <c r="P42" s="69">
        <f t="shared" si="23"/>
        <v>0</v>
      </c>
      <c r="Q42" s="69">
        <f t="shared" si="23"/>
        <v>0</v>
      </c>
      <c r="R42" s="69">
        <f t="shared" si="23"/>
        <v>0</v>
      </c>
      <c r="S42" s="69">
        <f t="shared" si="23"/>
        <v>0</v>
      </c>
      <c r="T42" s="69">
        <f t="shared" si="23"/>
        <v>0</v>
      </c>
      <c r="U42" s="69">
        <f t="shared" si="23"/>
        <v>0</v>
      </c>
      <c r="V42" s="69">
        <f t="shared" si="23"/>
        <v>0</v>
      </c>
      <c r="W42" s="69">
        <f t="shared" si="23"/>
        <v>0</v>
      </c>
      <c r="X42" s="69">
        <f t="shared" si="23"/>
        <v>0</v>
      </c>
      <c r="Y42" s="69">
        <f t="shared" si="23"/>
        <v>0</v>
      </c>
      <c r="Z42" s="69">
        <f t="shared" si="23"/>
        <v>0</v>
      </c>
      <c r="AA42" s="69">
        <f t="shared" si="23"/>
        <v>0</v>
      </c>
      <c r="AB42" s="69">
        <f t="shared" si="23"/>
        <v>0</v>
      </c>
      <c r="AC42" s="69">
        <f t="shared" si="23"/>
        <v>0</v>
      </c>
    </row>
    <row r="43" spans="1:29" hidden="1">
      <c r="A43" s="114" t="s">
        <v>107</v>
      </c>
      <c r="B43" s="25" t="s">
        <v>100</v>
      </c>
      <c r="C43" s="65">
        <v>1</v>
      </c>
      <c r="E43" s="66">
        <v>0</v>
      </c>
      <c r="F43" s="66">
        <v>0</v>
      </c>
      <c r="G43" s="66">
        <v>0</v>
      </c>
      <c r="H43" s="66">
        <v>0</v>
      </c>
      <c r="I43" s="66">
        <v>0</v>
      </c>
      <c r="J43" s="66">
        <v>0</v>
      </c>
      <c r="K43" s="66">
        <v>0</v>
      </c>
      <c r="L43" s="66">
        <v>0</v>
      </c>
    </row>
    <row r="44" spans="1:29" s="69" customFormat="1" hidden="1">
      <c r="B44" s="56"/>
      <c r="C44" s="70"/>
      <c r="E44" s="78">
        <f>E43*$C$43</f>
        <v>0</v>
      </c>
      <c r="F44" s="78">
        <f t="shared" ref="F44:AC44" si="24">F43*$C$43</f>
        <v>0</v>
      </c>
      <c r="G44" s="78">
        <f t="shared" si="24"/>
        <v>0</v>
      </c>
      <c r="H44" s="69">
        <f t="shared" si="24"/>
        <v>0</v>
      </c>
      <c r="I44" s="69">
        <f t="shared" si="24"/>
        <v>0</v>
      </c>
      <c r="J44" s="69">
        <f t="shared" si="24"/>
        <v>0</v>
      </c>
      <c r="K44" s="69">
        <f t="shared" si="24"/>
        <v>0</v>
      </c>
      <c r="L44" s="69">
        <f t="shared" si="24"/>
        <v>0</v>
      </c>
      <c r="M44" s="69">
        <f t="shared" si="24"/>
        <v>0</v>
      </c>
      <c r="N44" s="69">
        <f t="shared" si="24"/>
        <v>0</v>
      </c>
      <c r="O44" s="69">
        <f t="shared" si="24"/>
        <v>0</v>
      </c>
      <c r="P44" s="69">
        <f t="shared" si="24"/>
        <v>0</v>
      </c>
      <c r="Q44" s="69">
        <f t="shared" si="24"/>
        <v>0</v>
      </c>
      <c r="R44" s="69">
        <f t="shared" si="24"/>
        <v>0</v>
      </c>
      <c r="S44" s="69">
        <f t="shared" si="24"/>
        <v>0</v>
      </c>
      <c r="T44" s="69">
        <f t="shared" si="24"/>
        <v>0</v>
      </c>
      <c r="U44" s="69">
        <f t="shared" si="24"/>
        <v>0</v>
      </c>
      <c r="V44" s="69">
        <f t="shared" si="24"/>
        <v>0</v>
      </c>
      <c r="W44" s="69">
        <f t="shared" si="24"/>
        <v>0</v>
      </c>
      <c r="X44" s="69">
        <f t="shared" si="24"/>
        <v>0</v>
      </c>
      <c r="Y44" s="69">
        <f t="shared" si="24"/>
        <v>0</v>
      </c>
      <c r="Z44" s="69">
        <f t="shared" si="24"/>
        <v>0</v>
      </c>
      <c r="AA44" s="69">
        <f t="shared" si="24"/>
        <v>0</v>
      </c>
      <c r="AB44" s="69">
        <f t="shared" si="24"/>
        <v>0</v>
      </c>
      <c r="AC44" s="69">
        <f t="shared" si="24"/>
        <v>0</v>
      </c>
    </row>
    <row r="45" spans="1:29" hidden="1">
      <c r="A45" s="1" t="s">
        <v>108</v>
      </c>
      <c r="B45" s="25" t="s">
        <v>100</v>
      </c>
      <c r="C45" s="65">
        <v>1</v>
      </c>
      <c r="E45" s="66">
        <v>1484.5490875</v>
      </c>
      <c r="F45" s="66">
        <v>981.49737500000015</v>
      </c>
      <c r="G45" s="66">
        <v>751.8195125000002</v>
      </c>
      <c r="H45" s="66">
        <v>786.45491249999998</v>
      </c>
      <c r="I45" s="66">
        <v>692.62633750000009</v>
      </c>
      <c r="J45" s="66">
        <v>756.36009999999999</v>
      </c>
      <c r="L45" s="66">
        <v>0</v>
      </c>
      <c r="N45" s="66">
        <v>0</v>
      </c>
      <c r="O45" s="66"/>
    </row>
    <row r="46" spans="1:29" s="69" customFormat="1" hidden="1">
      <c r="B46" s="56"/>
      <c r="C46" s="70"/>
      <c r="E46" s="78">
        <f>E45*$C$45</f>
        <v>1484.5490875</v>
      </c>
      <c r="F46" s="78">
        <f t="shared" ref="F46:N46" si="25">F45*$C$45</f>
        <v>981.49737500000015</v>
      </c>
      <c r="G46" s="78">
        <f t="shared" si="25"/>
        <v>751.8195125000002</v>
      </c>
      <c r="H46" s="78">
        <f t="shared" si="25"/>
        <v>786.45491249999998</v>
      </c>
      <c r="I46" s="78">
        <f t="shared" si="25"/>
        <v>692.62633750000009</v>
      </c>
      <c r="J46" s="78">
        <f t="shared" si="25"/>
        <v>756.36009999999999</v>
      </c>
      <c r="K46" s="78">
        <f t="shared" si="25"/>
        <v>0</v>
      </c>
      <c r="L46" s="78">
        <f t="shared" si="25"/>
        <v>0</v>
      </c>
      <c r="M46" s="78">
        <f t="shared" si="25"/>
        <v>0</v>
      </c>
      <c r="N46" s="78">
        <f t="shared" si="25"/>
        <v>0</v>
      </c>
      <c r="O46" s="78">
        <f t="shared" ref="O46:AC46" si="26">O45*$C$45</f>
        <v>0</v>
      </c>
      <c r="P46" s="78">
        <f t="shared" si="26"/>
        <v>0</v>
      </c>
      <c r="Q46" s="78">
        <f t="shared" si="26"/>
        <v>0</v>
      </c>
      <c r="R46" s="78">
        <f t="shared" si="26"/>
        <v>0</v>
      </c>
      <c r="S46" s="78">
        <f t="shared" si="26"/>
        <v>0</v>
      </c>
      <c r="T46" s="78">
        <f t="shared" si="26"/>
        <v>0</v>
      </c>
      <c r="U46" s="78">
        <f t="shared" si="26"/>
        <v>0</v>
      </c>
      <c r="V46" s="78">
        <f t="shared" si="26"/>
        <v>0</v>
      </c>
      <c r="W46" s="78">
        <f t="shared" si="26"/>
        <v>0</v>
      </c>
      <c r="X46" s="78">
        <f t="shared" si="26"/>
        <v>0</v>
      </c>
      <c r="Y46" s="78">
        <f t="shared" si="26"/>
        <v>0</v>
      </c>
      <c r="Z46" s="78">
        <f t="shared" si="26"/>
        <v>0</v>
      </c>
      <c r="AA46" s="78">
        <f t="shared" si="26"/>
        <v>0</v>
      </c>
      <c r="AB46" s="78">
        <f t="shared" si="26"/>
        <v>0</v>
      </c>
      <c r="AC46" s="78">
        <f t="shared" si="26"/>
        <v>0</v>
      </c>
    </row>
    <row r="47" spans="1:29" s="8" customFormat="1" hidden="1">
      <c r="A47" s="8" t="s">
        <v>201</v>
      </c>
      <c r="B47" s="25" t="s">
        <v>100</v>
      </c>
      <c r="C47" s="65">
        <v>1</v>
      </c>
      <c r="E47" s="79">
        <v>2.8</v>
      </c>
      <c r="F47" s="79">
        <v>261.464</v>
      </c>
      <c r="G47" s="79">
        <v>261.464</v>
      </c>
      <c r="H47" s="79">
        <v>0</v>
      </c>
      <c r="I47" s="79">
        <v>0</v>
      </c>
      <c r="J47" s="79">
        <v>0</v>
      </c>
      <c r="L47" s="79"/>
      <c r="M47" s="79"/>
      <c r="N47" s="79"/>
      <c r="O47" s="79"/>
      <c r="P47" s="79"/>
      <c r="Q47" s="79"/>
      <c r="R47" s="79"/>
      <c r="S47" s="79"/>
      <c r="T47" s="79"/>
      <c r="U47" s="79"/>
      <c r="V47" s="79"/>
      <c r="W47" s="79"/>
      <c r="X47" s="79"/>
      <c r="Y47" s="79"/>
    </row>
    <row r="48" spans="1:29" s="69" customFormat="1" hidden="1">
      <c r="B48" s="56"/>
      <c r="C48" s="70"/>
      <c r="E48" s="78">
        <f>E47*$C$47</f>
        <v>2.8</v>
      </c>
      <c r="F48" s="78">
        <f t="shared" ref="F48:K48" si="27">F47*$C$47</f>
        <v>261.464</v>
      </c>
      <c r="G48" s="78">
        <f t="shared" si="27"/>
        <v>261.464</v>
      </c>
      <c r="H48" s="78">
        <f t="shared" si="27"/>
        <v>0</v>
      </c>
      <c r="I48" s="78">
        <f t="shared" si="27"/>
        <v>0</v>
      </c>
      <c r="J48" s="78">
        <f t="shared" si="27"/>
        <v>0</v>
      </c>
      <c r="K48" s="78">
        <f t="shared" si="27"/>
        <v>0</v>
      </c>
      <c r="L48" s="78">
        <f t="shared" ref="L48:AC48" si="28">L47*$C$47</f>
        <v>0</v>
      </c>
      <c r="M48" s="78">
        <f t="shared" si="28"/>
        <v>0</v>
      </c>
      <c r="N48" s="78">
        <f t="shared" si="28"/>
        <v>0</v>
      </c>
      <c r="O48" s="78">
        <f t="shared" si="28"/>
        <v>0</v>
      </c>
      <c r="P48" s="78">
        <f t="shared" si="28"/>
        <v>0</v>
      </c>
      <c r="Q48" s="78">
        <f t="shared" si="28"/>
        <v>0</v>
      </c>
      <c r="R48" s="78">
        <f t="shared" si="28"/>
        <v>0</v>
      </c>
      <c r="S48" s="78">
        <f t="shared" si="28"/>
        <v>0</v>
      </c>
      <c r="T48" s="78">
        <f t="shared" si="28"/>
        <v>0</v>
      </c>
      <c r="U48" s="78">
        <f t="shared" si="28"/>
        <v>0</v>
      </c>
      <c r="V48" s="78">
        <f t="shared" si="28"/>
        <v>0</v>
      </c>
      <c r="W48" s="78">
        <f t="shared" si="28"/>
        <v>0</v>
      </c>
      <c r="X48" s="78">
        <f t="shared" si="28"/>
        <v>0</v>
      </c>
      <c r="Y48" s="78">
        <f t="shared" si="28"/>
        <v>0</v>
      </c>
      <c r="Z48" s="78">
        <f t="shared" si="28"/>
        <v>0</v>
      </c>
      <c r="AA48" s="78">
        <f t="shared" si="28"/>
        <v>0</v>
      </c>
      <c r="AB48" s="78">
        <f t="shared" si="28"/>
        <v>0</v>
      </c>
      <c r="AC48" s="78">
        <f t="shared" si="28"/>
        <v>0</v>
      </c>
    </row>
    <row r="49" spans="1:29" hidden="1">
      <c r="A49" s="61" t="s">
        <v>109</v>
      </c>
      <c r="B49" s="60" t="s">
        <v>100</v>
      </c>
      <c r="C49" s="61"/>
      <c r="D49" s="61"/>
      <c r="E49" s="68">
        <f>SUM(E24,E26,E28,E30,E32,E34,E36,E38,E40,E42,E44,E46,E48)</f>
        <v>2664.9743838200002</v>
      </c>
      <c r="F49" s="68">
        <f t="shared" ref="F49:K49" si="29">SUM(F24,F26,F28,F30,F32,F34,F36,F38,F40,F42,F44,F46,F48)</f>
        <v>2292.1139768755556</v>
      </c>
      <c r="G49" s="68">
        <f t="shared" si="29"/>
        <v>1677.1063180555557</v>
      </c>
      <c r="H49" s="68">
        <f t="shared" si="29"/>
        <v>1106.5759125</v>
      </c>
      <c r="I49" s="68">
        <f t="shared" si="29"/>
        <v>907.67733750000002</v>
      </c>
      <c r="J49" s="68">
        <f t="shared" si="29"/>
        <v>836.52559999999994</v>
      </c>
      <c r="K49" s="68">
        <f t="shared" si="29"/>
        <v>0</v>
      </c>
      <c r="L49" s="68">
        <f t="shared" ref="L49:AC49" si="30">L48+L46+L44+L42+L40+L38+L36+L34+L32+L30+L28+L26+L24</f>
        <v>0</v>
      </c>
      <c r="M49" s="68">
        <f t="shared" si="30"/>
        <v>0</v>
      </c>
      <c r="N49" s="68">
        <f t="shared" si="30"/>
        <v>0</v>
      </c>
      <c r="O49" s="68">
        <f t="shared" si="30"/>
        <v>0</v>
      </c>
      <c r="P49" s="68">
        <f t="shared" si="30"/>
        <v>0</v>
      </c>
      <c r="Q49" s="68">
        <f t="shared" si="30"/>
        <v>0</v>
      </c>
      <c r="R49" s="68">
        <f t="shared" si="30"/>
        <v>0</v>
      </c>
      <c r="S49" s="68">
        <f t="shared" si="30"/>
        <v>0</v>
      </c>
      <c r="T49" s="68">
        <f t="shared" si="30"/>
        <v>0</v>
      </c>
      <c r="U49" s="68">
        <f t="shared" si="30"/>
        <v>0</v>
      </c>
      <c r="V49" s="68">
        <f t="shared" si="30"/>
        <v>0</v>
      </c>
      <c r="W49" s="68">
        <f t="shared" si="30"/>
        <v>0</v>
      </c>
      <c r="X49" s="68">
        <f t="shared" si="30"/>
        <v>0</v>
      </c>
      <c r="Y49" s="68">
        <f t="shared" si="30"/>
        <v>0</v>
      </c>
      <c r="Z49" s="68">
        <f t="shared" si="30"/>
        <v>0</v>
      </c>
      <c r="AA49" s="68">
        <f t="shared" si="30"/>
        <v>0</v>
      </c>
      <c r="AB49" s="68">
        <f t="shared" si="30"/>
        <v>0</v>
      </c>
      <c r="AC49" s="68">
        <f t="shared" si="30"/>
        <v>0</v>
      </c>
    </row>
    <row r="50" spans="1:29" hidden="1"/>
    <row r="51" spans="1:29" hidden="1">
      <c r="A51" s="4"/>
    </row>
    <row r="52" spans="1:29" hidden="1">
      <c r="B52" s="24" t="s">
        <v>100</v>
      </c>
    </row>
    <row r="53" spans="1:29" hidden="1">
      <c r="A53" s="119"/>
      <c r="D53" s="66"/>
      <c r="E53" s="66"/>
      <c r="F53" s="66"/>
      <c r="G53" s="66"/>
      <c r="H53" s="66"/>
      <c r="I53" s="66"/>
      <c r="J53" s="66"/>
    </row>
    <row r="54" spans="1:29" hidden="1">
      <c r="A54" s="114" t="s">
        <v>134</v>
      </c>
      <c r="B54" s="1">
        <f>1000+110</f>
        <v>1110</v>
      </c>
      <c r="C54" s="65">
        <v>1</v>
      </c>
      <c r="E54" s="66" t="e">
        <f>E55/$D$55*$B$54*$C$54</f>
        <v>#REF!</v>
      </c>
      <c r="F54" s="66" t="e">
        <f t="shared" ref="F54:J54" si="31">F55/$D$55*$B$54*$C$54</f>
        <v>#REF!</v>
      </c>
      <c r="G54" s="66" t="e">
        <f t="shared" si="31"/>
        <v>#REF!</v>
      </c>
      <c r="H54" s="66" t="e">
        <f t="shared" si="31"/>
        <v>#REF!</v>
      </c>
      <c r="I54" s="66" t="e">
        <f t="shared" si="31"/>
        <v>#REF!</v>
      </c>
      <c r="J54" s="66" t="e">
        <f t="shared" si="31"/>
        <v>#REF!</v>
      </c>
    </row>
    <row r="55" spans="1:29" hidden="1">
      <c r="D55" s="66" t="e">
        <f>SUM(E55:J55)</f>
        <v>#REF!</v>
      </c>
      <c r="E55" s="66" t="e">
        <f>(E49-E46)+(E17-E16)</f>
        <v>#REF!</v>
      </c>
      <c r="F55" s="66" t="e">
        <f t="shared" ref="F55:J55" si="32">(F49-F46)+(F17-F16)</f>
        <v>#REF!</v>
      </c>
      <c r="G55" s="66" t="e">
        <f t="shared" si="32"/>
        <v>#REF!</v>
      </c>
      <c r="H55" s="66" t="e">
        <f t="shared" si="32"/>
        <v>#REF!</v>
      </c>
      <c r="I55" s="66" t="e">
        <f t="shared" si="32"/>
        <v>#REF!</v>
      </c>
      <c r="J55" s="66" t="e">
        <f t="shared" si="32"/>
        <v>#REF!</v>
      </c>
    </row>
    <row r="56" spans="1:29" hidden="1"/>
    <row r="57" spans="1:29" hidden="1">
      <c r="A57" s="4" t="s">
        <v>211</v>
      </c>
      <c r="B57" s="1">
        <v>2000</v>
      </c>
      <c r="C57" s="65">
        <v>1</v>
      </c>
    </row>
    <row r="58" spans="1:29" hidden="1">
      <c r="A58" s="1" t="s">
        <v>108</v>
      </c>
      <c r="B58" s="24" t="s">
        <v>100</v>
      </c>
      <c r="E58" s="66" t="e">
        <f>E61/$D$61*$C$61*$C$57</f>
        <v>#REF!</v>
      </c>
      <c r="F58" s="66" t="e">
        <f t="shared" ref="F58:J58" si="33">F61/$D$61*$C$61*$C$57</f>
        <v>#REF!</v>
      </c>
      <c r="G58" s="66" t="e">
        <f t="shared" si="33"/>
        <v>#REF!</v>
      </c>
      <c r="H58" s="66" t="e">
        <f t="shared" si="33"/>
        <v>#REF!</v>
      </c>
      <c r="I58" s="66" t="e">
        <f t="shared" si="33"/>
        <v>#REF!</v>
      </c>
      <c r="J58" s="66" t="e">
        <f t="shared" si="33"/>
        <v>#REF!</v>
      </c>
    </row>
    <row r="59" spans="1:29" hidden="1">
      <c r="A59" s="1" t="s">
        <v>212</v>
      </c>
      <c r="B59" s="24" t="s">
        <v>100</v>
      </c>
      <c r="E59" s="66" t="e">
        <f>E62/$D$61*$C$61*$C$57</f>
        <v>#REF!</v>
      </c>
      <c r="F59" s="66" t="e">
        <f t="shared" ref="F59:J59" si="34">F62/$D$61*$C$61*$C$57</f>
        <v>#REF!</v>
      </c>
      <c r="G59" s="66" t="e">
        <f t="shared" si="34"/>
        <v>#REF!</v>
      </c>
      <c r="H59" s="66" t="e">
        <f t="shared" si="34"/>
        <v>#REF!</v>
      </c>
      <c r="I59" s="66" t="e">
        <f t="shared" si="34"/>
        <v>#REF!</v>
      </c>
      <c r="J59" s="66" t="e">
        <f t="shared" si="34"/>
        <v>#REF!</v>
      </c>
    </row>
    <row r="60" spans="1:29" ht="16.5" hidden="1" customHeight="1">
      <c r="A60" s="1" t="s">
        <v>31</v>
      </c>
      <c r="E60" s="120" t="e">
        <f>SUM(E58:E59)</f>
        <v>#REF!</v>
      </c>
      <c r="F60" s="120" t="e">
        <f t="shared" ref="F60:J60" si="35">SUM(F58:F59)</f>
        <v>#REF!</v>
      </c>
      <c r="G60" s="120" t="e">
        <f t="shared" si="35"/>
        <v>#REF!</v>
      </c>
      <c r="H60" s="120" t="e">
        <f t="shared" si="35"/>
        <v>#REF!</v>
      </c>
      <c r="I60" s="120" t="e">
        <f t="shared" si="35"/>
        <v>#REF!</v>
      </c>
      <c r="J60" s="120" t="e">
        <f t="shared" si="35"/>
        <v>#REF!</v>
      </c>
    </row>
    <row r="61" spans="1:29" hidden="1">
      <c r="A61" s="1" t="s">
        <v>108</v>
      </c>
      <c r="C61" s="66" t="e">
        <f>D61/C63*B57</f>
        <v>#REF!</v>
      </c>
      <c r="D61" s="66">
        <f>SUM(E61:J61)</f>
        <v>5453.3073250000007</v>
      </c>
      <c r="E61" s="66">
        <f>E45</f>
        <v>1484.5490875</v>
      </c>
      <c r="F61" s="66">
        <f t="shared" ref="F61:J61" si="36">F45</f>
        <v>981.49737500000015</v>
      </c>
      <c r="G61" s="66">
        <f t="shared" si="36"/>
        <v>751.8195125000002</v>
      </c>
      <c r="H61" s="66">
        <f t="shared" si="36"/>
        <v>786.45491249999998</v>
      </c>
      <c r="I61" s="66">
        <f t="shared" si="36"/>
        <v>692.62633750000009</v>
      </c>
      <c r="J61" s="66">
        <f t="shared" si="36"/>
        <v>756.36009999999999</v>
      </c>
    </row>
    <row r="62" spans="1:29" hidden="1">
      <c r="A62" s="1" t="s">
        <v>212</v>
      </c>
      <c r="C62" s="66" t="e">
        <f>D62/C63*B57</f>
        <v>#REF!</v>
      </c>
      <c r="D62" s="66" t="e">
        <f>SUM(E62:J62)</f>
        <v>#REF!</v>
      </c>
      <c r="E62" s="66" t="e">
        <f>E49-E45+E54</f>
        <v>#REF!</v>
      </c>
      <c r="F62" s="66" t="e">
        <f t="shared" ref="F62:J62" si="37">F49-F45+F54</f>
        <v>#REF!</v>
      </c>
      <c r="G62" s="66" t="e">
        <f t="shared" si="37"/>
        <v>#REF!</v>
      </c>
      <c r="H62" s="66" t="e">
        <f t="shared" si="37"/>
        <v>#REF!</v>
      </c>
      <c r="I62" s="66" t="e">
        <f t="shared" si="37"/>
        <v>#REF!</v>
      </c>
      <c r="J62" s="66" t="e">
        <f t="shared" si="37"/>
        <v>#REF!</v>
      </c>
    </row>
    <row r="63" spans="1:29" hidden="1">
      <c r="A63" s="1" t="s">
        <v>31</v>
      </c>
      <c r="C63" s="66" t="e">
        <f>SUM(D61:D62)</f>
        <v>#REF!</v>
      </c>
    </row>
    <row r="64" spans="1:29" hidden="1"/>
    <row r="65" spans="1:29" hidden="1">
      <c r="A65" s="4" t="s">
        <v>219</v>
      </c>
    </row>
    <row r="66" spans="1:29" hidden="1">
      <c r="A66" s="4" t="s">
        <v>212</v>
      </c>
      <c r="D66" s="66"/>
      <c r="E66" s="66" t="e">
        <f>SUM(E24,E26,E28,E30,E32,E34,E36,E38,E40,E42,E44,E48)+E54</f>
        <v>#REF!</v>
      </c>
      <c r="F66" s="66" t="e">
        <f t="shared" ref="F66:J66" si="38">SUM(F24,F26,F28,F30,F32,F34,F36,F38,F40,F42,F44,F48)+F54</f>
        <v>#REF!</v>
      </c>
      <c r="G66" s="66" t="e">
        <f t="shared" si="38"/>
        <v>#REF!</v>
      </c>
      <c r="H66" s="66" t="e">
        <f t="shared" si="38"/>
        <v>#REF!</v>
      </c>
      <c r="I66" s="66" t="e">
        <f t="shared" si="38"/>
        <v>#REF!</v>
      </c>
      <c r="J66" s="66" t="e">
        <f t="shared" si="38"/>
        <v>#REF!</v>
      </c>
    </row>
    <row r="67" spans="1:29" hidden="1">
      <c r="A67" s="4" t="s">
        <v>108</v>
      </c>
      <c r="D67" s="66"/>
      <c r="E67" s="66">
        <f>E46</f>
        <v>1484.5490875</v>
      </c>
      <c r="F67" s="66">
        <f t="shared" ref="F67:J67" si="39">F46</f>
        <v>981.49737500000015</v>
      </c>
      <c r="G67" s="66">
        <f t="shared" si="39"/>
        <v>751.8195125000002</v>
      </c>
      <c r="H67" s="66">
        <f t="shared" si="39"/>
        <v>786.45491249999998</v>
      </c>
      <c r="I67" s="66">
        <f t="shared" si="39"/>
        <v>692.62633750000009</v>
      </c>
      <c r="J67" s="66">
        <f t="shared" si="39"/>
        <v>756.36009999999999</v>
      </c>
    </row>
    <row r="68" spans="1:29" hidden="1"/>
    <row r="69" spans="1:29" hidden="1"/>
    <row r="70" spans="1:29" hidden="1"/>
    <row r="71" spans="1:29" hidden="1">
      <c r="A71" s="4" t="s">
        <v>218</v>
      </c>
    </row>
    <row r="72" spans="1:29" ht="30" hidden="1">
      <c r="A72" s="121" t="s">
        <v>184</v>
      </c>
      <c r="B72" s="122" t="s">
        <v>185</v>
      </c>
      <c r="E72" s="109">
        <v>59.283999999999999</v>
      </c>
      <c r="F72" s="109">
        <v>142.92965999999998</v>
      </c>
      <c r="G72" s="109">
        <v>210.270374</v>
      </c>
      <c r="H72" s="109">
        <v>308.63952993333328</v>
      </c>
      <c r="I72" s="109">
        <v>341.20311566250001</v>
      </c>
      <c r="J72" s="109">
        <v>363.988271445625</v>
      </c>
      <c r="K72" s="109">
        <v>381.28827144562501</v>
      </c>
      <c r="L72" s="109">
        <v>395.06827144562499</v>
      </c>
      <c r="M72" s="109">
        <v>411.558271445625</v>
      </c>
      <c r="N72" s="109">
        <v>420.488271445625</v>
      </c>
      <c r="O72" s="109">
        <v>420.488271445625</v>
      </c>
      <c r="P72" s="109">
        <v>420.488271445625</v>
      </c>
      <c r="Q72" s="109">
        <v>420.488271445625</v>
      </c>
      <c r="R72" s="109">
        <v>420.488271445625</v>
      </c>
      <c r="S72" s="109">
        <v>420.488271445625</v>
      </c>
      <c r="T72" s="109">
        <v>420.488271445625</v>
      </c>
      <c r="U72" s="109">
        <v>420.488271445625</v>
      </c>
      <c r="V72" s="109">
        <v>420.488271445625</v>
      </c>
      <c r="W72" s="109">
        <v>420.488271445625</v>
      </c>
      <c r="X72" s="109">
        <v>420.488271445625</v>
      </c>
      <c r="Y72" s="109">
        <v>420.488271445625</v>
      </c>
      <c r="Z72" s="109">
        <v>420.488271445625</v>
      </c>
      <c r="AA72" s="109">
        <v>420.488271445625</v>
      </c>
      <c r="AB72" s="109">
        <v>420.488271445625</v>
      </c>
      <c r="AC72" s="109">
        <v>420.488271445625</v>
      </c>
    </row>
    <row r="73" spans="1:29" hidden="1">
      <c r="A73" s="123" t="s">
        <v>183</v>
      </c>
      <c r="B73" s="122" t="s">
        <v>185</v>
      </c>
      <c r="E73" s="64">
        <v>0</v>
      </c>
      <c r="F73" s="64">
        <v>0</v>
      </c>
      <c r="G73" s="64">
        <v>10</v>
      </c>
      <c r="H73" s="64">
        <v>21.5</v>
      </c>
      <c r="I73" s="64">
        <v>35</v>
      </c>
      <c r="J73" s="64">
        <v>41.5</v>
      </c>
      <c r="K73" s="64">
        <v>58.8</v>
      </c>
      <c r="L73" s="64">
        <v>72.58</v>
      </c>
      <c r="M73" s="64">
        <v>89.07</v>
      </c>
      <c r="N73" s="64">
        <v>98</v>
      </c>
      <c r="O73" s="64">
        <v>98</v>
      </c>
      <c r="P73" s="64">
        <v>98</v>
      </c>
      <c r="Q73" s="64">
        <v>98</v>
      </c>
      <c r="R73" s="64">
        <v>98</v>
      </c>
      <c r="S73" s="64">
        <v>98</v>
      </c>
      <c r="T73" s="64">
        <v>98</v>
      </c>
      <c r="U73" s="64">
        <v>98</v>
      </c>
      <c r="V73" s="64">
        <v>98</v>
      </c>
      <c r="W73" s="64">
        <v>98</v>
      </c>
      <c r="X73" s="64">
        <v>98</v>
      </c>
      <c r="Y73" s="64">
        <v>98</v>
      </c>
      <c r="Z73" s="64">
        <v>98</v>
      </c>
      <c r="AA73" s="64">
        <v>98</v>
      </c>
      <c r="AB73" s="64">
        <v>98</v>
      </c>
      <c r="AC73" s="64">
        <v>98</v>
      </c>
    </row>
    <row r="74" spans="1:29" ht="30" hidden="1">
      <c r="A74" s="123" t="s">
        <v>182</v>
      </c>
      <c r="B74" s="122" t="s">
        <v>185</v>
      </c>
      <c r="E74" s="109">
        <f>E72-E73</f>
        <v>59.283999999999999</v>
      </c>
      <c r="F74" s="109">
        <f t="shared" ref="F74:AC74" si="40">F72-F73</f>
        <v>142.92965999999998</v>
      </c>
      <c r="G74" s="109">
        <f t="shared" si="40"/>
        <v>200.270374</v>
      </c>
      <c r="H74" s="109">
        <f t="shared" si="40"/>
        <v>287.13952993333328</v>
      </c>
      <c r="I74" s="109">
        <f t="shared" si="40"/>
        <v>306.20311566250001</v>
      </c>
      <c r="J74" s="109">
        <f t="shared" si="40"/>
        <v>322.488271445625</v>
      </c>
      <c r="K74" s="109">
        <f t="shared" si="40"/>
        <v>322.488271445625</v>
      </c>
      <c r="L74" s="109">
        <f t="shared" si="40"/>
        <v>322.488271445625</v>
      </c>
      <c r="M74" s="109">
        <f t="shared" si="40"/>
        <v>322.488271445625</v>
      </c>
      <c r="N74" s="109">
        <f t="shared" si="40"/>
        <v>322.488271445625</v>
      </c>
      <c r="O74" s="109">
        <f t="shared" si="40"/>
        <v>322.488271445625</v>
      </c>
      <c r="P74" s="109">
        <f t="shared" si="40"/>
        <v>322.488271445625</v>
      </c>
      <c r="Q74" s="109">
        <f t="shared" si="40"/>
        <v>322.488271445625</v>
      </c>
      <c r="R74" s="109">
        <f t="shared" si="40"/>
        <v>322.488271445625</v>
      </c>
      <c r="S74" s="109">
        <f t="shared" si="40"/>
        <v>322.488271445625</v>
      </c>
      <c r="T74" s="109">
        <f t="shared" si="40"/>
        <v>322.488271445625</v>
      </c>
      <c r="U74" s="109">
        <f t="shared" si="40"/>
        <v>322.488271445625</v>
      </c>
      <c r="V74" s="109">
        <f t="shared" si="40"/>
        <v>322.488271445625</v>
      </c>
      <c r="W74" s="109">
        <f t="shared" si="40"/>
        <v>322.488271445625</v>
      </c>
      <c r="X74" s="109">
        <f t="shared" si="40"/>
        <v>322.488271445625</v>
      </c>
      <c r="Y74" s="109">
        <f t="shared" si="40"/>
        <v>322.488271445625</v>
      </c>
      <c r="Z74" s="109">
        <f t="shared" si="40"/>
        <v>322.488271445625</v>
      </c>
      <c r="AA74" s="109">
        <f t="shared" si="40"/>
        <v>322.488271445625</v>
      </c>
      <c r="AB74" s="109">
        <f t="shared" si="40"/>
        <v>322.488271445625</v>
      </c>
      <c r="AC74" s="109">
        <f t="shared" si="40"/>
        <v>322.488271445625</v>
      </c>
    </row>
    <row r="75" spans="1:29" ht="30" hidden="1">
      <c r="A75" s="123" t="s">
        <v>314</v>
      </c>
      <c r="B75" s="122" t="s">
        <v>185</v>
      </c>
      <c r="E75" s="64">
        <v>0</v>
      </c>
      <c r="F75" s="64">
        <v>0</v>
      </c>
      <c r="G75" s="64">
        <v>0</v>
      </c>
      <c r="H75" s="64">
        <v>0</v>
      </c>
      <c r="I75" s="64">
        <v>23.436167944166698</v>
      </c>
      <c r="J75" s="64">
        <v>111.76965446704162</v>
      </c>
      <c r="K75" s="64">
        <v>94.469654467041607</v>
      </c>
      <c r="L75" s="64">
        <v>80.689654467041635</v>
      </c>
      <c r="M75" s="64">
        <v>64.199654467041626</v>
      </c>
      <c r="N75" s="64">
        <v>55.269654467041619</v>
      </c>
      <c r="O75" s="64">
        <v>55.269654467041619</v>
      </c>
      <c r="P75" s="64">
        <v>55.269654467041619</v>
      </c>
      <c r="Q75" s="64">
        <v>55.269654467041619</v>
      </c>
      <c r="R75" s="64">
        <v>55.269654467041619</v>
      </c>
      <c r="S75" s="64">
        <v>55.269654467041619</v>
      </c>
      <c r="T75" s="64">
        <v>55.269654467041619</v>
      </c>
      <c r="U75" s="64">
        <v>55.269654467041619</v>
      </c>
      <c r="V75" s="64">
        <v>55.269654467041619</v>
      </c>
      <c r="W75" s="64">
        <v>55.269654467041619</v>
      </c>
      <c r="X75" s="64">
        <v>55.269654467041619</v>
      </c>
      <c r="Y75" s="64">
        <v>55.269654467041619</v>
      </c>
      <c r="Z75" s="64">
        <v>55.269654467041619</v>
      </c>
      <c r="AA75" s="64">
        <v>55.269654467041619</v>
      </c>
      <c r="AB75" s="64">
        <v>55.269654467041619</v>
      </c>
      <c r="AC75" s="64">
        <v>55.269654467041619</v>
      </c>
    </row>
    <row r="76" spans="1:29" hidden="1"/>
    <row r="77" spans="1:29" hidden="1">
      <c r="A77" s="1" t="s">
        <v>197</v>
      </c>
      <c r="B77" s="1" t="s">
        <v>150</v>
      </c>
      <c r="E77" s="66">
        <v>388.33329631999999</v>
      </c>
      <c r="F77" s="66">
        <v>38.739750000000001</v>
      </c>
      <c r="G77" s="66">
        <v>14.794499999999999</v>
      </c>
      <c r="H77" s="66">
        <v>0.2205</v>
      </c>
      <c r="I77" s="66">
        <v>0.1575</v>
      </c>
      <c r="J77" s="66">
        <v>0</v>
      </c>
    </row>
    <row r="78" spans="1:29" hidden="1">
      <c r="A78" s="1" t="s">
        <v>198</v>
      </c>
      <c r="B78" s="1" t="s">
        <v>150</v>
      </c>
      <c r="E78" s="1">
        <v>0</v>
      </c>
      <c r="F78" s="66">
        <f>E77</f>
        <v>388.33329631999999</v>
      </c>
      <c r="G78" s="66">
        <f t="shared" ref="G78:K78" si="41">F77</f>
        <v>38.739750000000001</v>
      </c>
      <c r="H78" s="66">
        <f t="shared" si="41"/>
        <v>14.794499999999999</v>
      </c>
      <c r="I78" s="66">
        <f t="shared" si="41"/>
        <v>0.2205</v>
      </c>
      <c r="J78" s="66">
        <f t="shared" si="41"/>
        <v>0.1575</v>
      </c>
      <c r="K78" s="66">
        <f t="shared" si="41"/>
        <v>0</v>
      </c>
    </row>
    <row r="79" spans="1:29" hidden="1">
      <c r="A79" s="1" t="s">
        <v>199</v>
      </c>
      <c r="B79" s="1" t="s">
        <v>150</v>
      </c>
      <c r="E79" s="66">
        <v>299.25400000000002</v>
      </c>
      <c r="F79" s="66">
        <v>144.63055555555556</v>
      </c>
      <c r="G79" s="66">
        <v>58.685555555555553</v>
      </c>
      <c r="H79" s="66">
        <v>0</v>
      </c>
      <c r="I79" s="66">
        <v>0</v>
      </c>
      <c r="J79" s="66">
        <v>0</v>
      </c>
    </row>
    <row r="80" spans="1:29" hidden="1">
      <c r="A80" s="4" t="s">
        <v>200</v>
      </c>
      <c r="B80" s="4" t="s">
        <v>150</v>
      </c>
      <c r="E80" s="66">
        <f>SUM(E77:E79)</f>
        <v>687.58729631999995</v>
      </c>
      <c r="F80" s="66">
        <f t="shared" ref="F80:L80" si="42">SUM(F77:F79)</f>
        <v>571.70360187555559</v>
      </c>
      <c r="G80" s="66">
        <f t="shared" si="42"/>
        <v>112.21980555555555</v>
      </c>
      <c r="H80" s="66">
        <f t="shared" si="42"/>
        <v>15.014999999999999</v>
      </c>
      <c r="I80" s="66">
        <f t="shared" si="42"/>
        <v>0.378</v>
      </c>
      <c r="J80" s="66">
        <f t="shared" si="42"/>
        <v>0.1575</v>
      </c>
      <c r="K80" s="66">
        <f t="shared" si="42"/>
        <v>0</v>
      </c>
      <c r="L80" s="66">
        <f t="shared" si="42"/>
        <v>0</v>
      </c>
    </row>
    <row r="81" spans="1:29" hidden="1">
      <c r="A81" s="4"/>
      <c r="B81" s="4"/>
      <c r="E81" s="66"/>
      <c r="F81" s="66"/>
      <c r="G81" s="66"/>
      <c r="H81" s="66"/>
      <c r="I81" s="66"/>
      <c r="J81" s="66"/>
      <c r="K81" s="66"/>
      <c r="L81" s="66"/>
    </row>
    <row r="82" spans="1:29" hidden="1">
      <c r="A82" s="1" t="s">
        <v>187</v>
      </c>
      <c r="B82" s="1" t="s">
        <v>150</v>
      </c>
      <c r="E82" s="64">
        <v>55.197527778000008</v>
      </c>
      <c r="F82" s="64">
        <v>58.640039368940009</v>
      </c>
      <c r="G82" s="64">
        <v>66.876776377631501</v>
      </c>
      <c r="H82" s="64">
        <v>68.742903150710362</v>
      </c>
      <c r="I82" s="64">
        <v>71.803600168208419</v>
      </c>
      <c r="J82" s="64">
        <v>76.816934519617504</v>
      </c>
      <c r="K82" s="64">
        <v>80.521799556480318</v>
      </c>
      <c r="L82" s="64">
        <v>82.283305560394083</v>
      </c>
      <c r="M82" s="64">
        <v>85.2112493090562</v>
      </c>
      <c r="N82" s="64">
        <v>88.861236750424595</v>
      </c>
      <c r="O82" s="64">
        <v>89.635258779202417</v>
      </c>
      <c r="P82" s="64">
        <v>87.39599583793516</v>
      </c>
      <c r="Q82" s="64">
        <v>85.276625481648665</v>
      </c>
      <c r="R82" s="64">
        <v>83.786486102393994</v>
      </c>
      <c r="S82" s="64">
        <v>82.748987923655918</v>
      </c>
      <c r="T82" s="64">
        <v>81.847320715970909</v>
      </c>
      <c r="U82" s="64">
        <f>T82</f>
        <v>81.847320715970909</v>
      </c>
      <c r="V82" s="64">
        <f t="shared" ref="V82:AC82" si="43">U82</f>
        <v>81.847320715970909</v>
      </c>
      <c r="W82" s="64">
        <f t="shared" si="43"/>
        <v>81.847320715970909</v>
      </c>
      <c r="X82" s="64">
        <f t="shared" si="43"/>
        <v>81.847320715970909</v>
      </c>
      <c r="Y82" s="64">
        <f t="shared" si="43"/>
        <v>81.847320715970909</v>
      </c>
      <c r="Z82" s="64">
        <f t="shared" si="43"/>
        <v>81.847320715970909</v>
      </c>
      <c r="AA82" s="64">
        <f t="shared" si="43"/>
        <v>81.847320715970909</v>
      </c>
      <c r="AB82" s="64">
        <f t="shared" si="43"/>
        <v>81.847320715970909</v>
      </c>
      <c r="AC82" s="64">
        <f t="shared" si="43"/>
        <v>81.847320715970909</v>
      </c>
    </row>
    <row r="83" spans="1:29" hidden="1">
      <c r="A83" s="1" t="s">
        <v>188</v>
      </c>
      <c r="B83" s="1" t="s">
        <v>150</v>
      </c>
      <c r="E83" s="1">
        <f>0</f>
        <v>0</v>
      </c>
      <c r="F83" s="64">
        <f>E82</f>
        <v>55.197527778000008</v>
      </c>
      <c r="G83" s="64">
        <f t="shared" ref="G83:AC83" si="44">F82</f>
        <v>58.640039368940009</v>
      </c>
      <c r="H83" s="64">
        <f t="shared" si="44"/>
        <v>66.876776377631501</v>
      </c>
      <c r="I83" s="64">
        <f t="shared" si="44"/>
        <v>68.742903150710362</v>
      </c>
      <c r="J83" s="64">
        <f t="shared" si="44"/>
        <v>71.803600168208419</v>
      </c>
      <c r="K83" s="64">
        <f t="shared" si="44"/>
        <v>76.816934519617504</v>
      </c>
      <c r="L83" s="64">
        <f t="shared" si="44"/>
        <v>80.521799556480318</v>
      </c>
      <c r="M83" s="64">
        <f t="shared" si="44"/>
        <v>82.283305560394083</v>
      </c>
      <c r="N83" s="64">
        <f t="shared" si="44"/>
        <v>85.2112493090562</v>
      </c>
      <c r="O83" s="64">
        <f t="shared" si="44"/>
        <v>88.861236750424595</v>
      </c>
      <c r="P83" s="64">
        <f t="shared" si="44"/>
        <v>89.635258779202417</v>
      </c>
      <c r="Q83" s="64">
        <f t="shared" si="44"/>
        <v>87.39599583793516</v>
      </c>
      <c r="R83" s="64">
        <f t="shared" si="44"/>
        <v>85.276625481648665</v>
      </c>
      <c r="S83" s="64">
        <f t="shared" si="44"/>
        <v>83.786486102393994</v>
      </c>
      <c r="T83" s="64">
        <f t="shared" si="44"/>
        <v>82.748987923655918</v>
      </c>
      <c r="U83" s="64">
        <f t="shared" si="44"/>
        <v>81.847320715970909</v>
      </c>
      <c r="V83" s="64">
        <f t="shared" si="44"/>
        <v>81.847320715970909</v>
      </c>
      <c r="W83" s="64">
        <f t="shared" si="44"/>
        <v>81.847320715970909</v>
      </c>
      <c r="X83" s="64">
        <f t="shared" si="44"/>
        <v>81.847320715970909</v>
      </c>
      <c r="Y83" s="64">
        <f t="shared" si="44"/>
        <v>81.847320715970909</v>
      </c>
      <c r="Z83" s="64">
        <f t="shared" si="44"/>
        <v>81.847320715970909</v>
      </c>
      <c r="AA83" s="64">
        <f t="shared" si="44"/>
        <v>81.847320715970909</v>
      </c>
      <c r="AB83" s="64">
        <f t="shared" si="44"/>
        <v>81.847320715970909</v>
      </c>
      <c r="AC83" s="64">
        <f t="shared" si="44"/>
        <v>81.847320715970909</v>
      </c>
    </row>
    <row r="84" spans="1:29" hidden="1">
      <c r="A84" s="1" t="s">
        <v>189</v>
      </c>
      <c r="B84" s="1" t="s">
        <v>150</v>
      </c>
      <c r="E84" s="1">
        <v>0</v>
      </c>
      <c r="F84" s="1">
        <v>1.2724</v>
      </c>
      <c r="G84" s="1">
        <v>9.6960000000000005E-2</v>
      </c>
      <c r="H84" s="1">
        <v>0.17043999999999998</v>
      </c>
      <c r="I84" s="1">
        <v>0.10311999999999999</v>
      </c>
      <c r="J84" s="1">
        <v>2.912E-2</v>
      </c>
    </row>
    <row r="85" spans="1:29" hidden="1">
      <c r="A85" s="1" t="s">
        <v>190</v>
      </c>
      <c r="B85" s="1" t="s">
        <v>150</v>
      </c>
      <c r="E85" s="1">
        <v>0</v>
      </c>
      <c r="F85" s="1">
        <f>E84</f>
        <v>0</v>
      </c>
      <c r="G85" s="1">
        <f t="shared" ref="G85:K85" si="45">F84</f>
        <v>1.2724</v>
      </c>
      <c r="H85" s="1">
        <f t="shared" si="45"/>
        <v>9.6960000000000005E-2</v>
      </c>
      <c r="I85" s="1">
        <f t="shared" si="45"/>
        <v>0.17043999999999998</v>
      </c>
      <c r="J85" s="1">
        <f t="shared" si="45"/>
        <v>0.10311999999999999</v>
      </c>
      <c r="K85" s="1">
        <f t="shared" si="45"/>
        <v>2.912E-2</v>
      </c>
    </row>
    <row r="86" spans="1:29" hidden="1"/>
    <row r="87" spans="1:29" hidden="1"/>
    <row r="88" spans="1:29" hidden="1"/>
    <row r="89" spans="1:29" hidden="1">
      <c r="A89" s="4" t="s">
        <v>121</v>
      </c>
    </row>
    <row r="90" spans="1:29" hidden="1">
      <c r="A90" s="1" t="s">
        <v>191</v>
      </c>
      <c r="E90" s="66">
        <v>81.751109499999998</v>
      </c>
      <c r="F90" s="66">
        <v>214.67603280000003</v>
      </c>
      <c r="G90" s="66">
        <v>298.32417211999996</v>
      </c>
      <c r="H90" s="66">
        <v>312.47969714800001</v>
      </c>
      <c r="I90" s="66">
        <v>230.27003885919999</v>
      </c>
      <c r="J90" s="66">
        <v>185.37419234367999</v>
      </c>
    </row>
    <row r="91" spans="1:29" hidden="1">
      <c r="A91" s="1" t="s">
        <v>192</v>
      </c>
      <c r="E91" s="66">
        <v>72.889999999999986</v>
      </c>
      <c r="F91" s="66">
        <v>202.98699999999999</v>
      </c>
      <c r="G91" s="66">
        <v>344.51499999999999</v>
      </c>
      <c r="H91" s="66">
        <v>378.05259999999998</v>
      </c>
      <c r="I91" s="66">
        <v>345.41592000000003</v>
      </c>
      <c r="J91" s="66">
        <v>83.511663999999982</v>
      </c>
    </row>
    <row r="92" spans="1:29" hidden="1">
      <c r="A92" s="1" t="s">
        <v>193</v>
      </c>
      <c r="E92" s="66">
        <f>SUM(E90:E91)</f>
        <v>154.64110949999997</v>
      </c>
      <c r="F92" s="66">
        <f t="shared" ref="F92:J92" si="46">SUM(F90:F91)</f>
        <v>417.6630328</v>
      </c>
      <c r="G92" s="66">
        <f t="shared" si="46"/>
        <v>642.83917211999994</v>
      </c>
      <c r="H92" s="66">
        <f t="shared" si="46"/>
        <v>690.532297148</v>
      </c>
      <c r="I92" s="66">
        <f t="shared" si="46"/>
        <v>575.68595885920001</v>
      </c>
      <c r="J92" s="66">
        <f t="shared" si="46"/>
        <v>268.88585634367996</v>
      </c>
      <c r="K92" s="66">
        <f>J92</f>
        <v>268.88585634367996</v>
      </c>
      <c r="L92" s="66">
        <f t="shared" ref="L92:AC92" si="47">K92</f>
        <v>268.88585634367996</v>
      </c>
      <c r="M92" s="66">
        <f t="shared" si="47"/>
        <v>268.88585634367996</v>
      </c>
      <c r="N92" s="66">
        <f t="shared" si="47"/>
        <v>268.88585634367996</v>
      </c>
      <c r="O92" s="66">
        <f t="shared" si="47"/>
        <v>268.88585634367996</v>
      </c>
      <c r="P92" s="66">
        <f t="shared" si="47"/>
        <v>268.88585634367996</v>
      </c>
      <c r="Q92" s="66">
        <f t="shared" si="47"/>
        <v>268.88585634367996</v>
      </c>
      <c r="R92" s="66">
        <f t="shared" si="47"/>
        <v>268.88585634367996</v>
      </c>
      <c r="S92" s="66">
        <f t="shared" si="47"/>
        <v>268.88585634367996</v>
      </c>
      <c r="T92" s="66">
        <f t="shared" si="47"/>
        <v>268.88585634367996</v>
      </c>
      <c r="U92" s="66">
        <f t="shared" si="47"/>
        <v>268.88585634367996</v>
      </c>
      <c r="V92" s="66">
        <f t="shared" si="47"/>
        <v>268.88585634367996</v>
      </c>
      <c r="W92" s="66">
        <f t="shared" si="47"/>
        <v>268.88585634367996</v>
      </c>
      <c r="X92" s="66">
        <f t="shared" si="47"/>
        <v>268.88585634367996</v>
      </c>
      <c r="Y92" s="66">
        <f t="shared" si="47"/>
        <v>268.88585634367996</v>
      </c>
      <c r="Z92" s="66">
        <f t="shared" si="47"/>
        <v>268.88585634367996</v>
      </c>
      <c r="AA92" s="66">
        <f t="shared" si="47"/>
        <v>268.88585634367996</v>
      </c>
      <c r="AB92" s="66">
        <f t="shared" si="47"/>
        <v>268.88585634367996</v>
      </c>
      <c r="AC92" s="66">
        <f t="shared" si="47"/>
        <v>268.88585634367996</v>
      </c>
    </row>
    <row r="93" spans="1:29" hidden="1"/>
    <row r="94" spans="1:29" hidden="1">
      <c r="A94" s="4" t="s">
        <v>106</v>
      </c>
    </row>
    <row r="95" spans="1:29" hidden="1">
      <c r="A95" s="1" t="s">
        <v>216</v>
      </c>
      <c r="E95" s="66">
        <f>SUM(E96:E101)</f>
        <v>8.0054999999999996</v>
      </c>
      <c r="F95" s="66">
        <f t="shared" ref="F95:K95" si="48">SUM(F96:F101)</f>
        <v>23.9055</v>
      </c>
      <c r="G95" s="66">
        <f t="shared" si="48"/>
        <v>55.705500000000001</v>
      </c>
      <c r="H95" s="66">
        <f t="shared" si="48"/>
        <v>63.710999999999999</v>
      </c>
      <c r="I95" s="66">
        <f t="shared" si="48"/>
        <v>79.611000000000004</v>
      </c>
      <c r="J95" s="66">
        <f t="shared" si="48"/>
        <v>87.616500000000002</v>
      </c>
      <c r="K95" s="66">
        <f t="shared" si="48"/>
        <v>87.616500000000002</v>
      </c>
      <c r="L95" s="66">
        <f>K95</f>
        <v>87.616500000000002</v>
      </c>
      <c r="M95" s="66">
        <f t="shared" ref="M95:AC95" si="49">L95</f>
        <v>87.616500000000002</v>
      </c>
      <c r="N95" s="66">
        <f t="shared" si="49"/>
        <v>87.616500000000002</v>
      </c>
      <c r="O95" s="66">
        <f t="shared" si="49"/>
        <v>87.616500000000002</v>
      </c>
      <c r="P95" s="66">
        <f t="shared" si="49"/>
        <v>87.616500000000002</v>
      </c>
      <c r="Q95" s="66">
        <f t="shared" si="49"/>
        <v>87.616500000000002</v>
      </c>
      <c r="R95" s="66">
        <f t="shared" si="49"/>
        <v>87.616500000000002</v>
      </c>
      <c r="S95" s="66">
        <f t="shared" si="49"/>
        <v>87.616500000000002</v>
      </c>
      <c r="T95" s="66">
        <f t="shared" si="49"/>
        <v>87.616500000000002</v>
      </c>
      <c r="U95" s="66">
        <f t="shared" si="49"/>
        <v>87.616500000000002</v>
      </c>
      <c r="V95" s="66">
        <f t="shared" si="49"/>
        <v>87.616500000000002</v>
      </c>
      <c r="W95" s="66">
        <f t="shared" si="49"/>
        <v>87.616500000000002</v>
      </c>
      <c r="X95" s="66">
        <f t="shared" si="49"/>
        <v>87.616500000000002</v>
      </c>
      <c r="Y95" s="66">
        <f t="shared" si="49"/>
        <v>87.616500000000002</v>
      </c>
      <c r="Z95" s="66">
        <f t="shared" si="49"/>
        <v>87.616500000000002</v>
      </c>
      <c r="AA95" s="66">
        <f t="shared" si="49"/>
        <v>87.616500000000002</v>
      </c>
      <c r="AB95" s="66">
        <f t="shared" si="49"/>
        <v>87.616500000000002</v>
      </c>
      <c r="AC95" s="66">
        <f t="shared" si="49"/>
        <v>87.616500000000002</v>
      </c>
    </row>
    <row r="96" spans="1:29" hidden="1">
      <c r="A96" s="1" t="s">
        <v>220</v>
      </c>
      <c r="B96" s="1">
        <v>26685</v>
      </c>
      <c r="E96" s="66">
        <f>$B$96*1*300/1000000</f>
        <v>8.0054999999999996</v>
      </c>
      <c r="F96" s="66">
        <f t="shared" ref="F96:K96" si="50">$B$96*1*300/1000000</f>
        <v>8.0054999999999996</v>
      </c>
      <c r="G96" s="66">
        <f t="shared" si="50"/>
        <v>8.0054999999999996</v>
      </c>
      <c r="H96" s="66">
        <f t="shared" si="50"/>
        <v>8.0054999999999996</v>
      </c>
      <c r="I96" s="66">
        <f t="shared" si="50"/>
        <v>8.0054999999999996</v>
      </c>
      <c r="J96" s="66">
        <f t="shared" si="50"/>
        <v>8.0054999999999996</v>
      </c>
      <c r="K96" s="66">
        <f t="shared" si="50"/>
        <v>8.0054999999999996</v>
      </c>
    </row>
    <row r="97" spans="1:29" hidden="1">
      <c r="A97" s="1" t="s">
        <v>222</v>
      </c>
      <c r="B97" s="1">
        <v>53000</v>
      </c>
      <c r="E97" s="66"/>
      <c r="F97" s="66">
        <f t="shared" ref="F97:K97" si="51">$B$97*1*300/1000000</f>
        <v>15.9</v>
      </c>
      <c r="G97" s="66">
        <f t="shared" si="51"/>
        <v>15.9</v>
      </c>
      <c r="H97" s="66">
        <f t="shared" si="51"/>
        <v>15.9</v>
      </c>
      <c r="I97" s="66">
        <f t="shared" si="51"/>
        <v>15.9</v>
      </c>
      <c r="J97" s="66">
        <f t="shared" si="51"/>
        <v>15.9</v>
      </c>
      <c r="K97" s="66">
        <f t="shared" si="51"/>
        <v>15.9</v>
      </c>
    </row>
    <row r="98" spans="1:29" hidden="1">
      <c r="A98" s="1" t="s">
        <v>221</v>
      </c>
      <c r="G98" s="66">
        <f>G97*2</f>
        <v>31.8</v>
      </c>
      <c r="H98" s="66">
        <f t="shared" ref="H98:K98" si="52">H97*2</f>
        <v>31.8</v>
      </c>
      <c r="I98" s="66">
        <f t="shared" si="52"/>
        <v>31.8</v>
      </c>
      <c r="J98" s="66">
        <f t="shared" si="52"/>
        <v>31.8</v>
      </c>
      <c r="K98" s="66">
        <f t="shared" si="52"/>
        <v>31.8</v>
      </c>
    </row>
    <row r="99" spans="1:29" hidden="1">
      <c r="A99" s="1" t="s">
        <v>224</v>
      </c>
      <c r="H99" s="66">
        <f>E96</f>
        <v>8.0054999999999996</v>
      </c>
      <c r="I99" s="66">
        <f t="shared" ref="I99:K99" si="53">F96</f>
        <v>8.0054999999999996</v>
      </c>
      <c r="J99" s="66">
        <f t="shared" si="53"/>
        <v>8.0054999999999996</v>
      </c>
      <c r="K99" s="66">
        <f t="shared" si="53"/>
        <v>8.0054999999999996</v>
      </c>
    </row>
    <row r="100" spans="1:29" hidden="1">
      <c r="A100" s="1" t="s">
        <v>223</v>
      </c>
      <c r="I100" s="66">
        <f>F97</f>
        <v>15.9</v>
      </c>
      <c r="J100" s="66">
        <f t="shared" ref="J100:K100" si="54">G97</f>
        <v>15.9</v>
      </c>
      <c r="K100" s="66">
        <f t="shared" si="54"/>
        <v>15.9</v>
      </c>
    </row>
    <row r="101" spans="1:29" hidden="1">
      <c r="A101" s="1" t="s">
        <v>225</v>
      </c>
      <c r="J101" s="66">
        <f>E96</f>
        <v>8.0054999999999996</v>
      </c>
      <c r="K101" s="66">
        <f t="shared" ref="K101" si="55">F96</f>
        <v>8.0054999999999996</v>
      </c>
    </row>
    <row r="102" spans="1:29" hidden="1">
      <c r="A102" s="1" t="s">
        <v>217</v>
      </c>
      <c r="C102" s="1">
        <v>7020</v>
      </c>
      <c r="E102" s="66">
        <f>$C$102*'Feed and Fodder (F) Zone.2'!E24/1000000</f>
        <v>0</v>
      </c>
      <c r="F102" s="66">
        <f>$C$102*'Feed and Fodder (F) Zone.2'!F24/1000000</f>
        <v>84.24</v>
      </c>
      <c r="G102" s="66">
        <f>$C$102*'Feed and Fodder (F) Zone.2'!G24/1000000</f>
        <v>84.24</v>
      </c>
      <c r="H102" s="66">
        <f>$C$102*'Feed and Fodder (F) Zone.2'!H24/1000000</f>
        <v>168.48</v>
      </c>
      <c r="I102" s="66">
        <f>$C$102*'Feed and Fodder (F) Zone.2'!I24/1000000</f>
        <v>168.48</v>
      </c>
      <c r="J102" s="66">
        <f>$C$102*'Feed and Fodder (F) Zone.2'!J24/1000000</f>
        <v>168.48</v>
      </c>
      <c r="K102" s="66">
        <f>$C$102*'Feed and Fodder (F) Zone.2'!K24/1000000</f>
        <v>168.48</v>
      </c>
      <c r="L102" s="66">
        <f>$C$102*'Feed and Fodder (F) Zone.2'!L24/1000000</f>
        <v>168.48</v>
      </c>
      <c r="M102" s="66">
        <f>$C$102*'Feed and Fodder (F) Zone.2'!M24/1000000</f>
        <v>168.48</v>
      </c>
      <c r="N102" s="66">
        <f>$C$102*'Feed and Fodder (F) Zone.2'!N24/1000000</f>
        <v>168.48</v>
      </c>
      <c r="O102" s="66">
        <f>$C$102*'Feed and Fodder (F) Zone.2'!O24/1000000</f>
        <v>168.48</v>
      </c>
      <c r="P102" s="66">
        <f>$C$102*'Feed and Fodder (F) Zone.2'!P24/1000000</f>
        <v>168.48</v>
      </c>
      <c r="Q102" s="66">
        <f>$C$102*'Feed and Fodder (F) Zone.2'!Q24/1000000</f>
        <v>168.48</v>
      </c>
      <c r="R102" s="66">
        <f>$C$102*'Feed and Fodder (F) Zone.2'!R24/1000000</f>
        <v>168.48</v>
      </c>
      <c r="S102" s="66">
        <f>$C$102*'Feed and Fodder (F) Zone.2'!S24/1000000</f>
        <v>168.48</v>
      </c>
      <c r="T102" s="66">
        <f>$C$102*'Feed and Fodder (F) Zone.2'!T24/1000000</f>
        <v>168.48</v>
      </c>
      <c r="U102" s="66">
        <f>$C$102*'Feed and Fodder (F) Zone.2'!U24/1000000</f>
        <v>168.48</v>
      </c>
      <c r="V102" s="66">
        <f>$C$102*'Feed and Fodder (F) Zone.2'!V24/1000000</f>
        <v>168.48</v>
      </c>
      <c r="W102" s="66">
        <f>$C$102*'Feed and Fodder (F) Zone.2'!W24/1000000</f>
        <v>168.48</v>
      </c>
      <c r="X102" s="66">
        <f>$C$102*'Feed and Fodder (F) Zone.2'!X24/1000000</f>
        <v>168.48</v>
      </c>
      <c r="Y102" s="66">
        <f>$C$102*'Feed and Fodder (F) Zone.2'!Y24/1000000</f>
        <v>168.48</v>
      </c>
      <c r="Z102" s="66">
        <f>$C$102*'Feed and Fodder (F) Zone.2'!Z24/1000000</f>
        <v>168.48</v>
      </c>
      <c r="AA102" s="66">
        <f>$C$102*'Feed and Fodder (F) Zone.2'!AA24/1000000</f>
        <v>168.48</v>
      </c>
      <c r="AB102" s="66">
        <f>$C$102*'Feed and Fodder (F) Zone.2'!AB24/1000000</f>
        <v>168.48</v>
      </c>
      <c r="AC102" s="66">
        <f>$C$102*'Feed and Fodder (F) Zone.2'!AC24/1000000</f>
        <v>168.48</v>
      </c>
    </row>
    <row r="103" spans="1:29" hidden="1">
      <c r="A103" s="1" t="s">
        <v>31</v>
      </c>
      <c r="E103" s="66">
        <f>SUM(E95,E102)</f>
        <v>8.0054999999999996</v>
      </c>
      <c r="F103" s="66">
        <f t="shared" ref="F103:K103" si="56">SUM(F95,F102)</f>
        <v>108.1455</v>
      </c>
      <c r="G103" s="66">
        <f t="shared" si="56"/>
        <v>139.94549999999998</v>
      </c>
      <c r="H103" s="66">
        <f t="shared" si="56"/>
        <v>232.19099999999997</v>
      </c>
      <c r="I103" s="66">
        <f t="shared" si="56"/>
        <v>248.09100000000001</v>
      </c>
      <c r="J103" s="66">
        <f t="shared" si="56"/>
        <v>256.09649999999999</v>
      </c>
      <c r="K103" s="66">
        <f t="shared" si="56"/>
        <v>256.09649999999999</v>
      </c>
      <c r="L103" s="66">
        <f t="shared" ref="L103:AC103" si="57">SUM(L95:L102)</f>
        <v>256.09649999999999</v>
      </c>
      <c r="M103" s="66">
        <f t="shared" si="57"/>
        <v>256.09649999999999</v>
      </c>
      <c r="N103" s="66">
        <f t="shared" si="57"/>
        <v>256.09649999999999</v>
      </c>
      <c r="O103" s="66">
        <f t="shared" si="57"/>
        <v>256.09649999999999</v>
      </c>
      <c r="P103" s="66">
        <f t="shared" si="57"/>
        <v>256.09649999999999</v>
      </c>
      <c r="Q103" s="66">
        <f t="shared" si="57"/>
        <v>256.09649999999999</v>
      </c>
      <c r="R103" s="66">
        <f t="shared" si="57"/>
        <v>256.09649999999999</v>
      </c>
      <c r="S103" s="66">
        <f t="shared" si="57"/>
        <v>256.09649999999999</v>
      </c>
      <c r="T103" s="66">
        <f t="shared" si="57"/>
        <v>256.09649999999999</v>
      </c>
      <c r="U103" s="66">
        <f t="shared" si="57"/>
        <v>256.09649999999999</v>
      </c>
      <c r="V103" s="66">
        <f t="shared" si="57"/>
        <v>256.09649999999999</v>
      </c>
      <c r="W103" s="66">
        <f t="shared" si="57"/>
        <v>256.09649999999999</v>
      </c>
      <c r="X103" s="66">
        <f t="shared" si="57"/>
        <v>256.09649999999999</v>
      </c>
      <c r="Y103" s="66">
        <f t="shared" si="57"/>
        <v>256.09649999999999</v>
      </c>
      <c r="Z103" s="66">
        <f t="shared" si="57"/>
        <v>256.09649999999999</v>
      </c>
      <c r="AA103" s="66">
        <f t="shared" si="57"/>
        <v>256.09649999999999</v>
      </c>
      <c r="AB103" s="66">
        <f t="shared" si="57"/>
        <v>256.09649999999999</v>
      </c>
      <c r="AC103" s="66">
        <f t="shared" si="57"/>
        <v>256.09649999999999</v>
      </c>
    </row>
    <row r="104" spans="1:29" hidden="1"/>
    <row r="105" spans="1:29" hidden="1"/>
    <row r="106" spans="1:29" hidden="1"/>
    <row r="107" spans="1:29" hidden="1">
      <c r="A107" s="4" t="s">
        <v>202</v>
      </c>
    </row>
    <row r="108" spans="1:29" hidden="1">
      <c r="A108" s="4" t="s">
        <v>204</v>
      </c>
      <c r="E108" s="66" t="e">
        <f>SUM(E109:E111)</f>
        <v>#REF!</v>
      </c>
      <c r="F108" s="66" t="e">
        <f t="shared" ref="F108:AC108" si="58">SUM(F109:F111)</f>
        <v>#REF!</v>
      </c>
      <c r="G108" s="66" t="e">
        <f t="shared" si="58"/>
        <v>#REF!</v>
      </c>
      <c r="H108" s="66" t="e">
        <f t="shared" si="58"/>
        <v>#REF!</v>
      </c>
      <c r="I108" s="66" t="e">
        <f t="shared" si="58"/>
        <v>#REF!</v>
      </c>
      <c r="J108" s="66" t="e">
        <f t="shared" si="58"/>
        <v>#REF!</v>
      </c>
      <c r="K108" s="66" t="e">
        <f t="shared" si="58"/>
        <v>#REF!</v>
      </c>
      <c r="L108" s="66" t="e">
        <f t="shared" si="58"/>
        <v>#REF!</v>
      </c>
      <c r="M108" s="66" t="e">
        <f t="shared" si="58"/>
        <v>#REF!</v>
      </c>
      <c r="N108" s="66" t="e">
        <f t="shared" si="58"/>
        <v>#REF!</v>
      </c>
      <c r="O108" s="66" t="e">
        <f t="shared" si="58"/>
        <v>#REF!</v>
      </c>
      <c r="P108" s="66" t="e">
        <f t="shared" si="58"/>
        <v>#REF!</v>
      </c>
      <c r="Q108" s="66" t="e">
        <f t="shared" si="58"/>
        <v>#REF!</v>
      </c>
      <c r="R108" s="66" t="e">
        <f t="shared" si="58"/>
        <v>#REF!</v>
      </c>
      <c r="S108" s="66" t="e">
        <f t="shared" si="58"/>
        <v>#REF!</v>
      </c>
      <c r="T108" s="66" t="e">
        <f t="shared" si="58"/>
        <v>#REF!</v>
      </c>
      <c r="U108" s="66" t="e">
        <f t="shared" si="58"/>
        <v>#REF!</v>
      </c>
      <c r="V108" s="66" t="e">
        <f t="shared" si="58"/>
        <v>#REF!</v>
      </c>
      <c r="W108" s="66" t="e">
        <f t="shared" si="58"/>
        <v>#REF!</v>
      </c>
      <c r="X108" s="66" t="e">
        <f t="shared" si="58"/>
        <v>#REF!</v>
      </c>
      <c r="Y108" s="66" t="e">
        <f t="shared" si="58"/>
        <v>#REF!</v>
      </c>
      <c r="Z108" s="66" t="e">
        <f t="shared" si="58"/>
        <v>#REF!</v>
      </c>
      <c r="AA108" s="66" t="e">
        <f t="shared" si="58"/>
        <v>#REF!</v>
      </c>
      <c r="AB108" s="66" t="e">
        <f t="shared" si="58"/>
        <v>#REF!</v>
      </c>
      <c r="AC108" s="66" t="e">
        <f t="shared" si="58"/>
        <v>#REF!</v>
      </c>
    </row>
    <row r="109" spans="1:29" hidden="1">
      <c r="A109" s="1" t="s">
        <v>203</v>
      </c>
      <c r="B109" s="1" t="s">
        <v>150</v>
      </c>
      <c r="E109" s="79">
        <v>665.10404999999969</v>
      </c>
      <c r="F109" s="79">
        <v>484.61394999999993</v>
      </c>
      <c r="G109" s="79">
        <v>414.79865000000029</v>
      </c>
      <c r="H109" s="79">
        <v>398.00394999999969</v>
      </c>
      <c r="I109" s="79">
        <v>371.52049999999997</v>
      </c>
      <c r="J109" s="79">
        <v>383.80630000000048</v>
      </c>
      <c r="K109" s="66">
        <f>J109</f>
        <v>383.80630000000048</v>
      </c>
      <c r="L109" s="66">
        <f t="shared" ref="L109:AC109" si="59">K109</f>
        <v>383.80630000000048</v>
      </c>
      <c r="M109" s="66">
        <f t="shared" si="59"/>
        <v>383.80630000000048</v>
      </c>
      <c r="N109" s="66">
        <f t="shared" si="59"/>
        <v>383.80630000000048</v>
      </c>
      <c r="O109" s="66">
        <f t="shared" si="59"/>
        <v>383.80630000000048</v>
      </c>
      <c r="P109" s="66">
        <f t="shared" si="59"/>
        <v>383.80630000000048</v>
      </c>
      <c r="Q109" s="66">
        <f t="shared" si="59"/>
        <v>383.80630000000048</v>
      </c>
      <c r="R109" s="66">
        <f t="shared" si="59"/>
        <v>383.80630000000048</v>
      </c>
      <c r="S109" s="66">
        <f t="shared" si="59"/>
        <v>383.80630000000048</v>
      </c>
      <c r="T109" s="66">
        <f t="shared" si="59"/>
        <v>383.80630000000048</v>
      </c>
      <c r="U109" s="66">
        <f t="shared" si="59"/>
        <v>383.80630000000048</v>
      </c>
      <c r="V109" s="66">
        <f t="shared" si="59"/>
        <v>383.80630000000048</v>
      </c>
      <c r="W109" s="66">
        <f t="shared" si="59"/>
        <v>383.80630000000048</v>
      </c>
      <c r="X109" s="66">
        <f t="shared" si="59"/>
        <v>383.80630000000048</v>
      </c>
      <c r="Y109" s="66">
        <f t="shared" si="59"/>
        <v>383.80630000000048</v>
      </c>
      <c r="Z109" s="66">
        <f t="shared" si="59"/>
        <v>383.80630000000048</v>
      </c>
      <c r="AA109" s="66">
        <f t="shared" si="59"/>
        <v>383.80630000000048</v>
      </c>
      <c r="AB109" s="66">
        <f t="shared" si="59"/>
        <v>383.80630000000048</v>
      </c>
      <c r="AC109" s="66">
        <f t="shared" si="59"/>
        <v>383.80630000000048</v>
      </c>
    </row>
    <row r="110" spans="1:29" hidden="1">
      <c r="A110" s="1" t="s">
        <v>143</v>
      </c>
      <c r="B110" s="1" t="s">
        <v>150</v>
      </c>
      <c r="C110" s="64" t="e">
        <f>#REF!</f>
        <v>#REF!</v>
      </c>
      <c r="E110" s="66" t="e">
        <f>$C$110*(#REF!*1.028)*365</f>
        <v>#REF!</v>
      </c>
      <c r="F110" s="66" t="e">
        <f>$C$110*(#REF!*1.028)*365</f>
        <v>#REF!</v>
      </c>
      <c r="G110" s="66" t="e">
        <f>$C$110*(#REF!*1.028)*365</f>
        <v>#REF!</v>
      </c>
      <c r="H110" s="66" t="e">
        <f>$C$110*(#REF!*1.028)*365</f>
        <v>#REF!</v>
      </c>
      <c r="I110" s="66" t="e">
        <f>$C$110*(#REF!*1.028)*365</f>
        <v>#REF!</v>
      </c>
      <c r="J110" s="66" t="e">
        <f>$C$110*(#REF!*1.028)*365</f>
        <v>#REF!</v>
      </c>
      <c r="K110" s="66" t="e">
        <f>$C$110*(#REF!*1.028)*365</f>
        <v>#REF!</v>
      </c>
      <c r="L110" s="66" t="e">
        <f>$C$110*(#REF!*1.028)*365</f>
        <v>#REF!</v>
      </c>
      <c r="M110" s="66" t="e">
        <f>$C$110*(#REF!*1.028)*365</f>
        <v>#REF!</v>
      </c>
      <c r="N110" s="66" t="e">
        <f>$C$110*(#REF!*1.028)*365</f>
        <v>#REF!</v>
      </c>
      <c r="O110" s="66" t="e">
        <f>$C$110*(#REF!*1.028)*365</f>
        <v>#REF!</v>
      </c>
      <c r="P110" s="66" t="e">
        <f>$C$110*(#REF!*1.028)*365</f>
        <v>#REF!</v>
      </c>
      <c r="Q110" s="66" t="e">
        <f>$C$110*(#REF!*1.028)*365</f>
        <v>#REF!</v>
      </c>
      <c r="R110" s="66" t="e">
        <f>$C$110*(#REF!*1.028)*365</f>
        <v>#REF!</v>
      </c>
      <c r="S110" s="66" t="e">
        <f>$C$110*(#REF!*1.028)*365</f>
        <v>#REF!</v>
      </c>
      <c r="T110" s="66" t="e">
        <f>$C$110*(#REF!*1.028)*365</f>
        <v>#REF!</v>
      </c>
      <c r="U110" s="66" t="e">
        <f>$C$110*(#REF!*1.028)*365</f>
        <v>#REF!</v>
      </c>
      <c r="V110" s="66" t="e">
        <f>$C$110*(#REF!*1.028)*365</f>
        <v>#REF!</v>
      </c>
      <c r="W110" s="66" t="e">
        <f>$C$110*(#REF!*1.028)*365</f>
        <v>#REF!</v>
      </c>
      <c r="X110" s="66" t="e">
        <f>$C$110*(#REF!*1.028)*365</f>
        <v>#REF!</v>
      </c>
      <c r="Y110" s="66" t="e">
        <f>$C$110*(#REF!*1.028)*365</f>
        <v>#REF!</v>
      </c>
      <c r="Z110" s="66" t="e">
        <f>$C$110*(#REF!*1.028)*365</f>
        <v>#REF!</v>
      </c>
      <c r="AA110" s="66" t="e">
        <f>$C$110*(#REF!*1.028)*365</f>
        <v>#REF!</v>
      </c>
      <c r="AB110" s="66" t="e">
        <f>$C$110*(#REF!*1.028)*365</f>
        <v>#REF!</v>
      </c>
      <c r="AC110" s="66" t="e">
        <f>$C$110*(#REF!*1.028)*365</f>
        <v>#REF!</v>
      </c>
    </row>
    <row r="111" spans="1:29" hidden="1">
      <c r="A111" s="1" t="s">
        <v>144</v>
      </c>
      <c r="B111" s="1" t="s">
        <v>150</v>
      </c>
      <c r="C111" s="1">
        <v>0.98</v>
      </c>
      <c r="E111" s="66" t="e">
        <f>(#REF!-#REF!)*1000*$C$111</f>
        <v>#REF!</v>
      </c>
      <c r="F111" s="66" t="e">
        <f>(#REF!-#REF!)*1000*$C$111</f>
        <v>#REF!</v>
      </c>
      <c r="G111" s="66" t="e">
        <f>(#REF!-#REF!)*1000*$C$111</f>
        <v>#REF!</v>
      </c>
      <c r="H111" s="66" t="e">
        <f>(#REF!-#REF!)*1000*$C$111</f>
        <v>#REF!</v>
      </c>
      <c r="I111" s="66" t="e">
        <f>(#REF!-#REF!)*1000*$C$111</f>
        <v>#REF!</v>
      </c>
      <c r="J111" s="66" t="e">
        <f>(#REF!-#REF!)*1000*$C$111</f>
        <v>#REF!</v>
      </c>
      <c r="K111" s="66" t="e">
        <f>(#REF!-#REF!)*1000*$C$111</f>
        <v>#REF!</v>
      </c>
      <c r="L111" s="66" t="e">
        <f>(#REF!-#REF!)*1000*$C$111</f>
        <v>#REF!</v>
      </c>
      <c r="M111" s="66" t="e">
        <f>(#REF!-#REF!)*1000*$C$111</f>
        <v>#REF!</v>
      </c>
      <c r="N111" s="66" t="e">
        <f>(#REF!-#REF!)*1000*$C$111</f>
        <v>#REF!</v>
      </c>
      <c r="O111" s="66" t="e">
        <f>(#REF!-#REF!)*1000*$C$111</f>
        <v>#REF!</v>
      </c>
      <c r="P111" s="66" t="e">
        <f>(#REF!-#REF!)*1000*$C$111</f>
        <v>#REF!</v>
      </c>
      <c r="Q111" s="66" t="e">
        <f>(#REF!-#REF!)*1000*$C$111</f>
        <v>#REF!</v>
      </c>
      <c r="R111" s="66" t="e">
        <f>(#REF!-#REF!)*1000*$C$111</f>
        <v>#REF!</v>
      </c>
      <c r="S111" s="66" t="e">
        <f>(#REF!-#REF!)*1000*$C$111</f>
        <v>#REF!</v>
      </c>
      <c r="T111" s="66" t="e">
        <f>(#REF!-#REF!)*1000*$C$111</f>
        <v>#REF!</v>
      </c>
      <c r="U111" s="66" t="e">
        <f>(#REF!-#REF!)*1000*$C$111</f>
        <v>#REF!</v>
      </c>
      <c r="V111" s="66" t="e">
        <f>(#REF!-#REF!)*1000*$C$111</f>
        <v>#REF!</v>
      </c>
      <c r="W111" s="66" t="e">
        <f>(#REF!-#REF!)*1000*$C$111</f>
        <v>#REF!</v>
      </c>
      <c r="X111" s="66" t="e">
        <f>(#REF!-#REF!)*1000*$C$111</f>
        <v>#REF!</v>
      </c>
      <c r="Y111" s="66" t="e">
        <f>(#REF!-#REF!)*1000*$C$111</f>
        <v>#REF!</v>
      </c>
      <c r="Z111" s="66" t="e">
        <f>(#REF!-#REF!)*1000*$C$111</f>
        <v>#REF!</v>
      </c>
      <c r="AA111" s="66" t="e">
        <f>(#REF!-#REF!)*1000*$C$111</f>
        <v>#REF!</v>
      </c>
      <c r="AB111" s="66" t="e">
        <f>(#REF!-#REF!)*1000*$C$111</f>
        <v>#REF!</v>
      </c>
      <c r="AC111" s="66" t="e">
        <f>(#REF!-#REF!)*1000*$C$111</f>
        <v>#REF!</v>
      </c>
    </row>
    <row r="112" spans="1:29" hidden="1"/>
    <row r="113" spans="1:36" ht="15.75" thickTop="1">
      <c r="A113" s="175" t="s">
        <v>276</v>
      </c>
    </row>
    <row r="114" spans="1:36">
      <c r="A114" s="205" t="s">
        <v>96</v>
      </c>
      <c r="B114" s="139"/>
      <c r="C114" s="139"/>
      <c r="D114" s="206" t="s">
        <v>97</v>
      </c>
      <c r="E114" s="206"/>
      <c r="F114" s="206"/>
      <c r="G114" s="206"/>
      <c r="H114" s="206"/>
      <c r="I114" s="206"/>
      <c r="J114" s="206"/>
      <c r="K114" s="140"/>
      <c r="L114" s="140"/>
      <c r="M114" s="140"/>
      <c r="N114" s="140"/>
      <c r="O114" s="140"/>
      <c r="P114" s="140"/>
      <c r="Q114" s="140"/>
      <c r="R114" s="140"/>
      <c r="S114" s="140"/>
      <c r="T114" s="140"/>
      <c r="U114" s="140"/>
      <c r="V114" s="140"/>
      <c r="W114" s="140"/>
      <c r="X114" s="140"/>
      <c r="Y114" s="140"/>
      <c r="Z114" s="140"/>
      <c r="AA114" s="140"/>
      <c r="AB114" s="140"/>
      <c r="AC114" s="140"/>
    </row>
    <row r="115" spans="1:36">
      <c r="A115" s="205"/>
      <c r="B115" s="139"/>
      <c r="C115" s="191">
        <v>0.8</v>
      </c>
      <c r="D115" s="57">
        <v>2011</v>
      </c>
      <c r="E115" s="57">
        <v>2012</v>
      </c>
      <c r="F115" s="57">
        <v>2013</v>
      </c>
      <c r="G115" s="57">
        <v>2014</v>
      </c>
      <c r="H115" s="57">
        <v>2015</v>
      </c>
      <c r="I115" s="57">
        <v>2016</v>
      </c>
      <c r="J115" s="57">
        <v>2017</v>
      </c>
      <c r="K115" s="57">
        <v>2018</v>
      </c>
      <c r="L115" s="57">
        <v>2019</v>
      </c>
      <c r="M115" s="57">
        <v>2020</v>
      </c>
      <c r="N115" s="57">
        <v>2021</v>
      </c>
      <c r="O115" s="57">
        <v>2022</v>
      </c>
      <c r="P115" s="57">
        <v>2023</v>
      </c>
      <c r="Q115" s="57">
        <v>2024</v>
      </c>
      <c r="R115" s="57">
        <v>2025</v>
      </c>
      <c r="S115" s="57">
        <v>2026</v>
      </c>
      <c r="T115" s="57">
        <v>2027</v>
      </c>
      <c r="U115" s="57">
        <v>2028</v>
      </c>
      <c r="V115" s="57">
        <v>2029</v>
      </c>
      <c r="W115" s="57">
        <v>2030</v>
      </c>
      <c r="X115" s="57">
        <v>2031</v>
      </c>
      <c r="Y115" s="57">
        <v>2032</v>
      </c>
      <c r="Z115" s="57">
        <v>2033</v>
      </c>
      <c r="AA115" s="57">
        <v>2034</v>
      </c>
      <c r="AB115" s="57">
        <v>2035</v>
      </c>
      <c r="AC115" s="57">
        <v>2036</v>
      </c>
    </row>
    <row r="116" spans="1:3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36">
      <c r="A117" s="3" t="s">
        <v>273</v>
      </c>
      <c r="B117" s="3" t="s">
        <v>272</v>
      </c>
      <c r="C117" s="3" t="s">
        <v>256</v>
      </c>
      <c r="D117" s="3">
        <v>0.47</v>
      </c>
      <c r="E117" s="3">
        <v>0.75299999999999989</v>
      </c>
      <c r="F117" s="3">
        <v>1.028</v>
      </c>
      <c r="G117" s="3">
        <v>1.276</v>
      </c>
      <c r="H117" s="3">
        <v>1.47</v>
      </c>
      <c r="I117" s="3">
        <v>1.6559999999999999</v>
      </c>
      <c r="J117" s="3">
        <v>1.6559999999999999</v>
      </c>
      <c r="K117" s="3">
        <v>1.6559999999999999</v>
      </c>
      <c r="L117" s="3">
        <v>1.6559999999999999</v>
      </c>
      <c r="M117" s="3">
        <v>1.6559999999999999</v>
      </c>
      <c r="N117" s="3">
        <v>1.6559999999999999</v>
      </c>
      <c r="O117" s="3">
        <v>1.6559999999999999</v>
      </c>
      <c r="P117" s="3">
        <v>1.6559999999999999</v>
      </c>
      <c r="Q117" s="3">
        <v>1.6559999999999999</v>
      </c>
      <c r="R117" s="3">
        <v>1.6559999999999999</v>
      </c>
      <c r="S117" s="3">
        <v>1.6559999999999999</v>
      </c>
      <c r="T117" s="3">
        <v>1.6559999999999999</v>
      </c>
      <c r="U117" s="3">
        <v>1.6559999999999999</v>
      </c>
      <c r="V117" s="3">
        <v>1.6559999999999999</v>
      </c>
      <c r="W117" s="3">
        <v>1.6559999999999999</v>
      </c>
      <c r="X117" s="3">
        <v>1.6559999999999999</v>
      </c>
      <c r="Y117" s="3">
        <v>1.6559999999999999</v>
      </c>
      <c r="Z117" s="3">
        <v>1.6559999999999999</v>
      </c>
      <c r="AA117" s="3">
        <v>1.6559999999999999</v>
      </c>
      <c r="AB117" s="3">
        <v>1.6559999999999999</v>
      </c>
      <c r="AC117" s="3">
        <v>1.6559999999999999</v>
      </c>
    </row>
    <row r="118" spans="1:36">
      <c r="A118" s="3" t="s">
        <v>274</v>
      </c>
      <c r="B118" s="3" t="s">
        <v>272</v>
      </c>
      <c r="C118" s="3" t="s">
        <v>262</v>
      </c>
      <c r="D118" s="5">
        <v>0.47</v>
      </c>
      <c r="E118" s="3">
        <v>0.28299999999999997</v>
      </c>
      <c r="F118" s="3">
        <v>0.27500000000000002</v>
      </c>
      <c r="G118" s="3">
        <v>0.248</v>
      </c>
      <c r="H118" s="3">
        <v>0.19400000000000001</v>
      </c>
      <c r="I118" s="3">
        <v>0.186</v>
      </c>
      <c r="J118" s="3"/>
      <c r="K118" s="3"/>
      <c r="L118" s="3"/>
      <c r="M118" s="3"/>
      <c r="N118" s="3"/>
      <c r="O118" s="3"/>
      <c r="P118" s="3"/>
      <c r="Q118" s="3"/>
      <c r="R118" s="3"/>
      <c r="S118" s="3"/>
      <c r="T118" s="3"/>
      <c r="U118" s="3"/>
      <c r="V118" s="3"/>
      <c r="W118" s="3"/>
      <c r="X118" s="3"/>
      <c r="Y118" s="3"/>
      <c r="Z118" s="3"/>
      <c r="AA118" s="3"/>
      <c r="AB118" s="3"/>
      <c r="AC118" s="3"/>
    </row>
    <row r="119" spans="1:36" s="4" customFormat="1" ht="12.75">
      <c r="A119" s="82" t="s">
        <v>275</v>
      </c>
      <c r="B119" s="2" t="s">
        <v>272</v>
      </c>
      <c r="C119" s="2" t="s">
        <v>256</v>
      </c>
      <c r="D119" s="176">
        <v>0.376</v>
      </c>
      <c r="E119" s="176">
        <v>0.60239999999999994</v>
      </c>
      <c r="F119" s="176">
        <v>0.82240000000000002</v>
      </c>
      <c r="G119" s="176">
        <v>1.0208000000000002</v>
      </c>
      <c r="H119" s="176">
        <v>1.1759999999999999</v>
      </c>
      <c r="I119" s="176">
        <v>1.3248</v>
      </c>
      <c r="J119" s="176">
        <v>1.3248</v>
      </c>
      <c r="K119" s="176">
        <v>1.3248</v>
      </c>
      <c r="L119" s="176">
        <v>1.3248</v>
      </c>
      <c r="M119" s="176">
        <v>1.3248</v>
      </c>
      <c r="N119" s="176">
        <v>1.3248</v>
      </c>
      <c r="O119" s="176">
        <v>1.3248</v>
      </c>
      <c r="P119" s="176">
        <v>1.3248</v>
      </c>
      <c r="Q119" s="176">
        <v>1.3248</v>
      </c>
      <c r="R119" s="176">
        <v>1.3248</v>
      </c>
      <c r="S119" s="176">
        <v>1.3248</v>
      </c>
      <c r="T119" s="176">
        <v>1.3248</v>
      </c>
      <c r="U119" s="176">
        <v>1.3248</v>
      </c>
      <c r="V119" s="176">
        <v>1.3248</v>
      </c>
      <c r="W119" s="176">
        <v>1.3248</v>
      </c>
      <c r="X119" s="176">
        <v>1.3248</v>
      </c>
      <c r="Y119" s="176">
        <v>1.3248</v>
      </c>
      <c r="Z119" s="176">
        <v>1.3248</v>
      </c>
      <c r="AA119" s="176">
        <v>1.3248</v>
      </c>
      <c r="AB119" s="176">
        <v>1.3248</v>
      </c>
      <c r="AC119" s="176">
        <v>1.3248</v>
      </c>
      <c r="AD119" s="7"/>
      <c r="AE119" s="7"/>
      <c r="AF119" s="7"/>
      <c r="AG119" s="7"/>
      <c r="AH119" s="7"/>
      <c r="AI119" s="7"/>
      <c r="AJ119" s="7"/>
    </row>
    <row r="121" spans="1:36" s="4" customFormat="1" ht="12.75">
      <c r="A121" s="177" t="s">
        <v>275</v>
      </c>
      <c r="B121" s="4" t="s">
        <v>277</v>
      </c>
      <c r="C121" s="4" t="s">
        <v>256</v>
      </c>
      <c r="D121" s="174">
        <f>+D119*1.03</f>
        <v>0.38728000000000001</v>
      </c>
      <c r="E121" s="174">
        <f t="shared" ref="E121:AC121" si="60">+E119*1.03</f>
        <v>0.62047199999999991</v>
      </c>
      <c r="F121" s="174">
        <f t="shared" si="60"/>
        <v>0.84707200000000005</v>
      </c>
      <c r="G121" s="174">
        <f t="shared" si="60"/>
        <v>1.0514240000000001</v>
      </c>
      <c r="H121" s="174">
        <f t="shared" si="60"/>
        <v>1.2112799999999999</v>
      </c>
      <c r="I121" s="174">
        <f t="shared" si="60"/>
        <v>1.364544</v>
      </c>
      <c r="J121" s="174">
        <f t="shared" si="60"/>
        <v>1.364544</v>
      </c>
      <c r="K121" s="174">
        <f t="shared" si="60"/>
        <v>1.364544</v>
      </c>
      <c r="L121" s="174">
        <f t="shared" si="60"/>
        <v>1.364544</v>
      </c>
      <c r="M121" s="174">
        <f t="shared" si="60"/>
        <v>1.364544</v>
      </c>
      <c r="N121" s="174">
        <f t="shared" si="60"/>
        <v>1.364544</v>
      </c>
      <c r="O121" s="174">
        <f t="shared" si="60"/>
        <v>1.364544</v>
      </c>
      <c r="P121" s="174">
        <f t="shared" si="60"/>
        <v>1.364544</v>
      </c>
      <c r="Q121" s="174">
        <f t="shared" si="60"/>
        <v>1.364544</v>
      </c>
      <c r="R121" s="174">
        <f t="shared" si="60"/>
        <v>1.364544</v>
      </c>
      <c r="S121" s="174">
        <f t="shared" si="60"/>
        <v>1.364544</v>
      </c>
      <c r="T121" s="174">
        <f t="shared" si="60"/>
        <v>1.364544</v>
      </c>
      <c r="U121" s="174">
        <f t="shared" si="60"/>
        <v>1.364544</v>
      </c>
      <c r="V121" s="174">
        <f t="shared" si="60"/>
        <v>1.364544</v>
      </c>
      <c r="W121" s="174">
        <f t="shared" si="60"/>
        <v>1.364544</v>
      </c>
      <c r="X121" s="174">
        <f t="shared" si="60"/>
        <v>1.364544</v>
      </c>
      <c r="Y121" s="174">
        <f t="shared" si="60"/>
        <v>1.364544</v>
      </c>
      <c r="Z121" s="174">
        <f t="shared" si="60"/>
        <v>1.364544</v>
      </c>
      <c r="AA121" s="174">
        <f t="shared" si="60"/>
        <v>1.364544</v>
      </c>
      <c r="AB121" s="174">
        <f t="shared" si="60"/>
        <v>1.364544</v>
      </c>
      <c r="AC121" s="174">
        <f t="shared" si="60"/>
        <v>1.364544</v>
      </c>
    </row>
    <row r="122" spans="1:36">
      <c r="D122" s="64">
        <f>+D121*365/1000</f>
        <v>0.14135720000000002</v>
      </c>
      <c r="E122" s="64">
        <f t="shared" ref="E122:J122" si="61">+E121*365/1000</f>
        <v>0.22647227999999994</v>
      </c>
      <c r="F122" s="64">
        <f t="shared" si="61"/>
        <v>0.30918128</v>
      </c>
      <c r="G122" s="64">
        <f t="shared" si="61"/>
        <v>0.38376976000000007</v>
      </c>
      <c r="H122" s="64">
        <f t="shared" si="61"/>
        <v>0.44211719999999999</v>
      </c>
      <c r="I122" s="64">
        <f t="shared" si="61"/>
        <v>0.49805855999999998</v>
      </c>
      <c r="J122" s="64">
        <f t="shared" si="61"/>
        <v>0.49805855999999998</v>
      </c>
    </row>
    <row r="123" spans="1:36">
      <c r="A123" s="1" t="s">
        <v>278</v>
      </c>
      <c r="B123" s="1" t="s">
        <v>279</v>
      </c>
      <c r="C123" s="64">
        <f>+'Comp B-BMC'!J23</f>
        <v>0.95084341085271307</v>
      </c>
    </row>
    <row r="124" spans="1:36">
      <c r="B124" s="1" t="s">
        <v>93</v>
      </c>
      <c r="C124" s="64">
        <f>+C123/1.03</f>
        <v>0.92314894257544955</v>
      </c>
    </row>
    <row r="125" spans="1:36">
      <c r="A125" s="1" t="s">
        <v>280</v>
      </c>
      <c r="C125" s="178">
        <v>1</v>
      </c>
    </row>
    <row r="126" spans="1:36">
      <c r="B126" s="1" t="s">
        <v>93</v>
      </c>
      <c r="C126" s="179">
        <f>+C124*C125</f>
        <v>0.92314894257544955</v>
      </c>
    </row>
    <row r="127" spans="1:36">
      <c r="A127" s="180" t="s">
        <v>278</v>
      </c>
      <c r="B127" s="1" t="s">
        <v>281</v>
      </c>
      <c r="D127" s="148">
        <f>+$C$126*D121*365</f>
        <v>130.49374970542635</v>
      </c>
      <c r="E127" s="148">
        <f t="shared" ref="E127:AC127" si="62">+$C$126*E121*365</f>
        <v>209.06764580465111</v>
      </c>
      <c r="F127" s="148">
        <f t="shared" si="62"/>
        <v>285.42037169612399</v>
      </c>
      <c r="G127" s="148">
        <f t="shared" si="62"/>
        <v>354.27664813643412</v>
      </c>
      <c r="H127" s="148">
        <f t="shared" si="62"/>
        <v>408.1400256744185</v>
      </c>
      <c r="I127" s="148">
        <f t="shared" si="62"/>
        <v>459.78223300465106</v>
      </c>
      <c r="J127" s="148">
        <f t="shared" si="62"/>
        <v>459.78223300465106</v>
      </c>
      <c r="K127" s="148">
        <f t="shared" si="62"/>
        <v>459.78223300465106</v>
      </c>
      <c r="L127" s="148">
        <f t="shared" si="62"/>
        <v>459.78223300465106</v>
      </c>
      <c r="M127" s="148">
        <f t="shared" si="62"/>
        <v>459.78223300465106</v>
      </c>
      <c r="N127" s="148">
        <f t="shared" si="62"/>
        <v>459.78223300465106</v>
      </c>
      <c r="O127" s="148">
        <f t="shared" si="62"/>
        <v>459.78223300465106</v>
      </c>
      <c r="P127" s="148">
        <f t="shared" si="62"/>
        <v>459.78223300465106</v>
      </c>
      <c r="Q127" s="148">
        <f t="shared" si="62"/>
        <v>459.78223300465106</v>
      </c>
      <c r="R127" s="148">
        <f t="shared" si="62"/>
        <v>459.78223300465106</v>
      </c>
      <c r="S127" s="148">
        <f t="shared" si="62"/>
        <v>459.78223300465106</v>
      </c>
      <c r="T127" s="148">
        <f t="shared" si="62"/>
        <v>459.78223300465106</v>
      </c>
      <c r="U127" s="148">
        <f t="shared" si="62"/>
        <v>459.78223300465106</v>
      </c>
      <c r="V127" s="148">
        <f t="shared" si="62"/>
        <v>459.78223300465106</v>
      </c>
      <c r="W127" s="148">
        <f t="shared" si="62"/>
        <v>459.78223300465106</v>
      </c>
      <c r="X127" s="148">
        <f t="shared" si="62"/>
        <v>459.78223300465106</v>
      </c>
      <c r="Y127" s="148">
        <f t="shared" si="62"/>
        <v>459.78223300465106</v>
      </c>
      <c r="Z127" s="148">
        <f t="shared" si="62"/>
        <v>459.78223300465106</v>
      </c>
      <c r="AA127" s="148">
        <f t="shared" si="62"/>
        <v>459.78223300465106</v>
      </c>
      <c r="AB127" s="148">
        <f t="shared" si="62"/>
        <v>459.78223300465106</v>
      </c>
      <c r="AC127" s="148">
        <f t="shared" si="62"/>
        <v>459.78223300465106</v>
      </c>
    </row>
    <row r="130" spans="1:29">
      <c r="A130" s="175" t="s">
        <v>282</v>
      </c>
      <c r="B130" s="4" t="s">
        <v>277</v>
      </c>
      <c r="C130" s="4" t="s">
        <v>256</v>
      </c>
      <c r="D130" s="173">
        <v>0.72794172780630406</v>
      </c>
      <c r="E130" s="173">
        <v>1.5569390807524235</v>
      </c>
      <c r="F130" s="173">
        <v>2.5775456077487977</v>
      </c>
      <c r="G130" s="173">
        <v>3.5203763940850763</v>
      </c>
      <c r="H130" s="173">
        <v>4.3948160119077979</v>
      </c>
      <c r="I130" s="173">
        <v>5.3737888633174045</v>
      </c>
      <c r="J130" s="173">
        <v>5.3737888633174045</v>
      </c>
      <c r="K130" s="173">
        <f>+J130</f>
        <v>5.3737888633174045</v>
      </c>
      <c r="L130" s="173">
        <f t="shared" ref="L130:AC130" si="63">+K130</f>
        <v>5.3737888633174045</v>
      </c>
      <c r="M130" s="173">
        <f t="shared" si="63"/>
        <v>5.3737888633174045</v>
      </c>
      <c r="N130" s="173">
        <f t="shared" si="63"/>
        <v>5.3737888633174045</v>
      </c>
      <c r="O130" s="173">
        <f t="shared" si="63"/>
        <v>5.3737888633174045</v>
      </c>
      <c r="P130" s="173">
        <f t="shared" si="63"/>
        <v>5.3737888633174045</v>
      </c>
      <c r="Q130" s="173">
        <f t="shared" si="63"/>
        <v>5.3737888633174045</v>
      </c>
      <c r="R130" s="173">
        <f t="shared" si="63"/>
        <v>5.3737888633174045</v>
      </c>
      <c r="S130" s="173">
        <f t="shared" si="63"/>
        <v>5.3737888633174045</v>
      </c>
      <c r="T130" s="173">
        <f t="shared" si="63"/>
        <v>5.3737888633174045</v>
      </c>
      <c r="U130" s="173">
        <f t="shared" si="63"/>
        <v>5.3737888633174045</v>
      </c>
      <c r="V130" s="173">
        <f t="shared" si="63"/>
        <v>5.3737888633174045</v>
      </c>
      <c r="W130" s="173">
        <f t="shared" si="63"/>
        <v>5.3737888633174045</v>
      </c>
      <c r="X130" s="173">
        <f t="shared" si="63"/>
        <v>5.3737888633174045</v>
      </c>
      <c r="Y130" s="173">
        <f t="shared" si="63"/>
        <v>5.3737888633174045</v>
      </c>
      <c r="Z130" s="173">
        <f t="shared" si="63"/>
        <v>5.3737888633174045</v>
      </c>
      <c r="AA130" s="173">
        <f t="shared" si="63"/>
        <v>5.3737888633174045</v>
      </c>
      <c r="AB130" s="173">
        <f t="shared" si="63"/>
        <v>5.3737888633174045</v>
      </c>
      <c r="AC130" s="173">
        <f t="shared" si="63"/>
        <v>5.3737888633174045</v>
      </c>
    </row>
    <row r="131" spans="1:29">
      <c r="A131" s="1" t="s">
        <v>283</v>
      </c>
      <c r="B131" s="1" t="s">
        <v>93</v>
      </c>
      <c r="C131" s="204">
        <v>1.0440120087336249</v>
      </c>
      <c r="D131" s="71">
        <f>+D130*365/1000</f>
        <v>0.26569873064930094</v>
      </c>
      <c r="E131" s="71">
        <f t="shared" ref="E131:AC131" si="64">+E130*365/1000</f>
        <v>0.56828276447463455</v>
      </c>
      <c r="F131" s="71">
        <f t="shared" si="64"/>
        <v>0.94080414682831126</v>
      </c>
      <c r="G131" s="71">
        <f t="shared" si="64"/>
        <v>1.2849373838410529</v>
      </c>
      <c r="H131" s="71">
        <f t="shared" si="64"/>
        <v>1.6041078443463461</v>
      </c>
      <c r="I131" s="71">
        <f t="shared" si="64"/>
        <v>1.9614329351108526</v>
      </c>
      <c r="J131" s="71">
        <f t="shared" si="64"/>
        <v>1.9614329351108526</v>
      </c>
      <c r="K131" s="71">
        <f t="shared" si="64"/>
        <v>1.9614329351108526</v>
      </c>
      <c r="L131" s="71">
        <f t="shared" si="64"/>
        <v>1.9614329351108526</v>
      </c>
      <c r="M131" s="71">
        <f t="shared" si="64"/>
        <v>1.9614329351108526</v>
      </c>
      <c r="N131" s="71">
        <f t="shared" si="64"/>
        <v>1.9614329351108526</v>
      </c>
      <c r="O131" s="71">
        <f t="shared" si="64"/>
        <v>1.9614329351108526</v>
      </c>
      <c r="P131" s="71">
        <f t="shared" si="64"/>
        <v>1.9614329351108526</v>
      </c>
      <c r="Q131" s="71">
        <f t="shared" si="64"/>
        <v>1.9614329351108526</v>
      </c>
      <c r="R131" s="71">
        <f t="shared" si="64"/>
        <v>1.9614329351108526</v>
      </c>
      <c r="S131" s="71">
        <f t="shared" si="64"/>
        <v>1.9614329351108526</v>
      </c>
      <c r="T131" s="71">
        <f t="shared" si="64"/>
        <v>1.9614329351108526</v>
      </c>
      <c r="U131" s="71">
        <f t="shared" si="64"/>
        <v>1.9614329351108526</v>
      </c>
      <c r="V131" s="71">
        <f t="shared" si="64"/>
        <v>1.9614329351108526</v>
      </c>
      <c r="W131" s="71">
        <f t="shared" si="64"/>
        <v>1.9614329351108526</v>
      </c>
      <c r="X131" s="71">
        <f t="shared" si="64"/>
        <v>1.9614329351108526</v>
      </c>
      <c r="Y131" s="71">
        <f t="shared" si="64"/>
        <v>1.9614329351108526</v>
      </c>
      <c r="Z131" s="71">
        <f t="shared" si="64"/>
        <v>1.9614329351108526</v>
      </c>
      <c r="AA131" s="71">
        <f t="shared" si="64"/>
        <v>1.9614329351108526</v>
      </c>
      <c r="AB131" s="71">
        <f t="shared" si="64"/>
        <v>1.9614329351108526</v>
      </c>
      <c r="AC131" s="71">
        <f t="shared" si="64"/>
        <v>1.9614329351108526</v>
      </c>
    </row>
    <row r="132" spans="1:29">
      <c r="A132" s="1" t="s">
        <v>280</v>
      </c>
      <c r="C132" s="178">
        <v>1</v>
      </c>
      <c r="E132" s="1" t="s">
        <v>95</v>
      </c>
    </row>
    <row r="133" spans="1:29">
      <c r="B133" s="1" t="s">
        <v>93</v>
      </c>
      <c r="C133" s="179">
        <f>+C131*C132</f>
        <v>1.0440120087336249</v>
      </c>
    </row>
    <row r="134" spans="1:29">
      <c r="A134" s="180" t="s">
        <v>286</v>
      </c>
      <c r="B134" s="1" t="s">
        <v>281</v>
      </c>
      <c r="D134" s="147">
        <f>+D130*365*$C$133</f>
        <v>277.39266550315102</v>
      </c>
      <c r="E134" s="147">
        <f t="shared" ref="E134:AC134" si="65">+E130*365*$C$133</f>
        <v>593.29403046786058</v>
      </c>
      <c r="F134" s="147">
        <f t="shared" si="65"/>
        <v>982.21082715514933</v>
      </c>
      <c r="G134" s="147">
        <f t="shared" si="65"/>
        <v>1341.4900592008264</v>
      </c>
      <c r="H134" s="147">
        <f t="shared" si="65"/>
        <v>1674.7078528013938</v>
      </c>
      <c r="I134" s="147">
        <f t="shared" si="65"/>
        <v>2047.7595385813711</v>
      </c>
      <c r="J134" s="147">
        <f t="shared" si="65"/>
        <v>2047.7595385813711</v>
      </c>
      <c r="K134" s="147">
        <f t="shared" si="65"/>
        <v>2047.7595385813711</v>
      </c>
      <c r="L134" s="147">
        <f t="shared" si="65"/>
        <v>2047.7595385813711</v>
      </c>
      <c r="M134" s="147">
        <f t="shared" si="65"/>
        <v>2047.7595385813711</v>
      </c>
      <c r="N134" s="147">
        <f t="shared" si="65"/>
        <v>2047.7595385813711</v>
      </c>
      <c r="O134" s="147">
        <f t="shared" si="65"/>
        <v>2047.7595385813711</v>
      </c>
      <c r="P134" s="147">
        <f t="shared" si="65"/>
        <v>2047.7595385813711</v>
      </c>
      <c r="Q134" s="147">
        <f t="shared" si="65"/>
        <v>2047.7595385813711</v>
      </c>
      <c r="R134" s="147">
        <f t="shared" si="65"/>
        <v>2047.7595385813711</v>
      </c>
      <c r="S134" s="147">
        <f t="shared" si="65"/>
        <v>2047.7595385813711</v>
      </c>
      <c r="T134" s="147">
        <f t="shared" si="65"/>
        <v>2047.7595385813711</v>
      </c>
      <c r="U134" s="147">
        <f t="shared" si="65"/>
        <v>2047.7595385813711</v>
      </c>
      <c r="V134" s="147">
        <f t="shared" si="65"/>
        <v>2047.7595385813711</v>
      </c>
      <c r="W134" s="147">
        <f t="shared" si="65"/>
        <v>2047.7595385813711</v>
      </c>
      <c r="X134" s="147">
        <f t="shared" si="65"/>
        <v>2047.7595385813711</v>
      </c>
      <c r="Y134" s="147">
        <f t="shared" si="65"/>
        <v>2047.7595385813711</v>
      </c>
      <c r="Z134" s="147">
        <f t="shared" si="65"/>
        <v>2047.7595385813711</v>
      </c>
      <c r="AA134" s="147">
        <f t="shared" si="65"/>
        <v>2047.7595385813711</v>
      </c>
      <c r="AB134" s="147">
        <f t="shared" si="65"/>
        <v>2047.7595385813711</v>
      </c>
      <c r="AC134" s="147">
        <f t="shared" si="65"/>
        <v>2047.7595385813711</v>
      </c>
    </row>
    <row r="136" spans="1:29">
      <c r="D136" s="3" t="s">
        <v>226</v>
      </c>
      <c r="E136" s="3" t="s">
        <v>227</v>
      </c>
      <c r="F136" s="3" t="s">
        <v>228</v>
      </c>
      <c r="G136" s="3" t="s">
        <v>229</v>
      </c>
      <c r="H136" s="3" t="s">
        <v>230</v>
      </c>
      <c r="I136" s="3" t="s">
        <v>231</v>
      </c>
      <c r="J136" s="3" t="s">
        <v>232</v>
      </c>
      <c r="K136" s="3" t="s">
        <v>233</v>
      </c>
      <c r="L136" s="3" t="s">
        <v>234</v>
      </c>
      <c r="M136" s="3" t="s">
        <v>235</v>
      </c>
      <c r="N136" s="3" t="s">
        <v>236</v>
      </c>
      <c r="O136" s="3" t="s">
        <v>237</v>
      </c>
      <c r="P136" s="3" t="s">
        <v>238</v>
      </c>
      <c r="Q136" s="3" t="s">
        <v>239</v>
      </c>
      <c r="R136" s="3" t="s">
        <v>240</v>
      </c>
      <c r="S136" s="3" t="s">
        <v>241</v>
      </c>
      <c r="T136" s="3" t="s">
        <v>242</v>
      </c>
      <c r="U136" s="3" t="s">
        <v>243</v>
      </c>
      <c r="V136" s="3" t="s">
        <v>244</v>
      </c>
      <c r="W136" s="3" t="s">
        <v>245</v>
      </c>
      <c r="X136" s="3" t="s">
        <v>288</v>
      </c>
      <c r="Y136" s="3" t="s">
        <v>289</v>
      </c>
      <c r="Z136" s="3" t="s">
        <v>290</v>
      </c>
      <c r="AA136" s="3" t="s">
        <v>291</v>
      </c>
      <c r="AB136" s="3" t="s">
        <v>292</v>
      </c>
      <c r="AC136" s="3" t="s">
        <v>293</v>
      </c>
    </row>
    <row r="137" spans="1:29">
      <c r="A137" s="1" t="s">
        <v>284</v>
      </c>
      <c r="B137" s="65">
        <v>1</v>
      </c>
      <c r="C137" s="1" t="s">
        <v>285</v>
      </c>
      <c r="D137" s="1">
        <v>0</v>
      </c>
      <c r="E137" s="1">
        <v>0.2</v>
      </c>
      <c r="F137" s="1">
        <v>0.4</v>
      </c>
      <c r="G137" s="1">
        <v>0.6</v>
      </c>
      <c r="H137" s="1">
        <v>0.8</v>
      </c>
      <c r="I137" s="1">
        <v>1</v>
      </c>
      <c r="J137" s="1">
        <v>1</v>
      </c>
      <c r="K137" s="1">
        <v>1</v>
      </c>
      <c r="L137" s="1">
        <v>1</v>
      </c>
      <c r="M137" s="1">
        <v>1</v>
      </c>
      <c r="N137" s="1">
        <v>1</v>
      </c>
      <c r="O137" s="1">
        <v>1</v>
      </c>
      <c r="P137" s="1">
        <v>1</v>
      </c>
      <c r="Q137" s="1">
        <v>1</v>
      </c>
      <c r="R137" s="1">
        <v>1</v>
      </c>
      <c r="S137" s="1">
        <v>1</v>
      </c>
      <c r="T137" s="1">
        <v>1</v>
      </c>
      <c r="U137" s="1">
        <v>1</v>
      </c>
      <c r="V137" s="1">
        <v>1</v>
      </c>
      <c r="W137" s="1">
        <v>1</v>
      </c>
      <c r="X137" s="1">
        <v>1</v>
      </c>
      <c r="Y137" s="1">
        <v>1</v>
      </c>
      <c r="Z137" s="1">
        <v>1</v>
      </c>
      <c r="AA137" s="1">
        <v>1</v>
      </c>
      <c r="AB137" s="1">
        <v>1</v>
      </c>
      <c r="AC137" s="1">
        <v>1</v>
      </c>
    </row>
    <row r="138" spans="1:29">
      <c r="C138" s="178">
        <v>0.15</v>
      </c>
      <c r="D138" s="1">
        <f>+$C138*D137</f>
        <v>0</v>
      </c>
      <c r="E138" s="1">
        <f t="shared" ref="E138:I138" si="66">+$C138*E137</f>
        <v>0.03</v>
      </c>
      <c r="F138" s="1">
        <f t="shared" si="66"/>
        <v>0.06</v>
      </c>
      <c r="G138" s="1">
        <f t="shared" si="66"/>
        <v>0.09</v>
      </c>
      <c r="H138" s="1">
        <f t="shared" si="66"/>
        <v>0.12</v>
      </c>
      <c r="I138" s="1">
        <f t="shared" si="66"/>
        <v>0.15</v>
      </c>
      <c r="J138" s="1">
        <f t="shared" ref="J138" si="67">+$C138*J137</f>
        <v>0.15</v>
      </c>
      <c r="K138" s="1">
        <f t="shared" ref="K138" si="68">+$C138*K137</f>
        <v>0.15</v>
      </c>
      <c r="L138" s="1">
        <f t="shared" ref="L138" si="69">+$C138*L137</f>
        <v>0.15</v>
      </c>
      <c r="M138" s="1">
        <f t="shared" ref="M138" si="70">+$C138*M137</f>
        <v>0.15</v>
      </c>
      <c r="N138" s="1">
        <f t="shared" ref="N138" si="71">+$C138*N137</f>
        <v>0.15</v>
      </c>
      <c r="O138" s="1">
        <f t="shared" ref="O138" si="72">+$C138*O137</f>
        <v>0.15</v>
      </c>
      <c r="P138" s="1">
        <f t="shared" ref="P138" si="73">+$C138*P137</f>
        <v>0.15</v>
      </c>
      <c r="Q138" s="1">
        <f t="shared" ref="Q138" si="74">+$C138*Q137</f>
        <v>0.15</v>
      </c>
      <c r="R138" s="1">
        <f t="shared" ref="R138" si="75">+$C138*R137</f>
        <v>0.15</v>
      </c>
      <c r="S138" s="1">
        <f t="shared" ref="S138" si="76">+$C138*S137</f>
        <v>0.15</v>
      </c>
      <c r="T138" s="1">
        <f t="shared" ref="T138" si="77">+$C138*T137</f>
        <v>0.15</v>
      </c>
      <c r="U138" s="1">
        <f t="shared" ref="U138" si="78">+$C138*U137</f>
        <v>0.15</v>
      </c>
      <c r="V138" s="1">
        <f t="shared" ref="V138" si="79">+$C138*V137</f>
        <v>0.15</v>
      </c>
      <c r="W138" s="1">
        <f t="shared" ref="W138" si="80">+$C138*W137</f>
        <v>0.15</v>
      </c>
      <c r="X138" s="1">
        <f t="shared" ref="X138" si="81">+$C138*X137</f>
        <v>0.15</v>
      </c>
      <c r="Y138" s="1">
        <f t="shared" ref="Y138" si="82">+$C138*Y137</f>
        <v>0.15</v>
      </c>
      <c r="Z138" s="1">
        <f t="shared" ref="Z138" si="83">+$C138*Z137</f>
        <v>0.15</v>
      </c>
      <c r="AA138" s="1">
        <f t="shared" ref="AA138" si="84">+$C138*AA137</f>
        <v>0.15</v>
      </c>
      <c r="AB138" s="1">
        <f t="shared" ref="AB138" si="85">+$C138*AB137</f>
        <v>0.15</v>
      </c>
      <c r="AC138" s="1">
        <f t="shared" ref="AC138" si="86">+$C138*AC137</f>
        <v>0.15</v>
      </c>
    </row>
    <row r="139" spans="1:29">
      <c r="A139" s="192" t="s">
        <v>296</v>
      </c>
      <c r="C139" s="178">
        <v>0.25</v>
      </c>
      <c r="E139" s="1">
        <f>+$C139*D137</f>
        <v>0</v>
      </c>
      <c r="F139" s="1">
        <f t="shared" ref="F139:I139" si="87">+$C139*E137</f>
        <v>0.05</v>
      </c>
      <c r="G139" s="1">
        <f t="shared" si="87"/>
        <v>0.1</v>
      </c>
      <c r="H139" s="1">
        <f t="shared" si="87"/>
        <v>0.15</v>
      </c>
      <c r="I139" s="1">
        <f t="shared" si="87"/>
        <v>0.2</v>
      </c>
      <c r="J139" s="1">
        <f t="shared" ref="J139:AC139" si="88">+$C139*I137</f>
        <v>0.25</v>
      </c>
      <c r="K139" s="1">
        <f t="shared" si="88"/>
        <v>0.25</v>
      </c>
      <c r="L139" s="1">
        <f t="shared" si="88"/>
        <v>0.25</v>
      </c>
      <c r="M139" s="1">
        <f t="shared" si="88"/>
        <v>0.25</v>
      </c>
      <c r="N139" s="1">
        <f t="shared" si="88"/>
        <v>0.25</v>
      </c>
      <c r="O139" s="1">
        <f t="shared" si="88"/>
        <v>0.25</v>
      </c>
      <c r="P139" s="1">
        <f t="shared" si="88"/>
        <v>0.25</v>
      </c>
      <c r="Q139" s="1">
        <f t="shared" si="88"/>
        <v>0.25</v>
      </c>
      <c r="R139" s="1">
        <f t="shared" si="88"/>
        <v>0.25</v>
      </c>
      <c r="S139" s="1">
        <f t="shared" si="88"/>
        <v>0.25</v>
      </c>
      <c r="T139" s="1">
        <f t="shared" si="88"/>
        <v>0.25</v>
      </c>
      <c r="U139" s="1">
        <f t="shared" si="88"/>
        <v>0.25</v>
      </c>
      <c r="V139" s="1">
        <f t="shared" si="88"/>
        <v>0.25</v>
      </c>
      <c r="W139" s="1">
        <f t="shared" si="88"/>
        <v>0.25</v>
      </c>
      <c r="X139" s="1">
        <f t="shared" si="88"/>
        <v>0.25</v>
      </c>
      <c r="Y139" s="1">
        <f t="shared" si="88"/>
        <v>0.25</v>
      </c>
      <c r="Z139" s="1">
        <f t="shared" si="88"/>
        <v>0.25</v>
      </c>
      <c r="AA139" s="1">
        <f t="shared" si="88"/>
        <v>0.25</v>
      </c>
      <c r="AB139" s="1">
        <f t="shared" si="88"/>
        <v>0.25</v>
      </c>
      <c r="AC139" s="1">
        <f t="shared" si="88"/>
        <v>0.25</v>
      </c>
    </row>
    <row r="140" spans="1:29">
      <c r="C140" s="178">
        <v>0.3</v>
      </c>
      <c r="F140" s="1">
        <f>+$C140*D137</f>
        <v>0</v>
      </c>
      <c r="G140" s="1">
        <f t="shared" ref="G140:I140" si="89">+$C140*E137</f>
        <v>0.06</v>
      </c>
      <c r="H140" s="1">
        <f t="shared" si="89"/>
        <v>0.12</v>
      </c>
      <c r="I140" s="1">
        <f t="shared" si="89"/>
        <v>0.18</v>
      </c>
      <c r="J140" s="1">
        <f t="shared" ref="J140" si="90">+$C140*H137</f>
        <v>0.24</v>
      </c>
      <c r="K140" s="1">
        <f t="shared" ref="K140" si="91">+$C140*I137</f>
        <v>0.3</v>
      </c>
      <c r="L140" s="1">
        <f t="shared" ref="L140" si="92">+$C140*J137</f>
        <v>0.3</v>
      </c>
      <c r="M140" s="1">
        <f t="shared" ref="M140" si="93">+$C140*K137</f>
        <v>0.3</v>
      </c>
      <c r="N140" s="1">
        <f t="shared" ref="N140" si="94">+$C140*L137</f>
        <v>0.3</v>
      </c>
      <c r="O140" s="1">
        <f t="shared" ref="O140" si="95">+$C140*M137</f>
        <v>0.3</v>
      </c>
      <c r="P140" s="1">
        <f t="shared" ref="P140" si="96">+$C140*N137</f>
        <v>0.3</v>
      </c>
      <c r="Q140" s="1">
        <f t="shared" ref="Q140" si="97">+$C140*O137</f>
        <v>0.3</v>
      </c>
      <c r="R140" s="1">
        <f t="shared" ref="R140" si="98">+$C140*P137</f>
        <v>0.3</v>
      </c>
      <c r="S140" s="1">
        <f t="shared" ref="S140" si="99">+$C140*Q137</f>
        <v>0.3</v>
      </c>
      <c r="T140" s="1">
        <f t="shared" ref="T140" si="100">+$C140*R137</f>
        <v>0.3</v>
      </c>
      <c r="U140" s="1">
        <f t="shared" ref="U140" si="101">+$C140*S137</f>
        <v>0.3</v>
      </c>
      <c r="V140" s="1">
        <f t="shared" ref="V140" si="102">+$C140*T137</f>
        <v>0.3</v>
      </c>
      <c r="W140" s="1">
        <f t="shared" ref="W140" si="103">+$C140*U137</f>
        <v>0.3</v>
      </c>
      <c r="X140" s="1">
        <f t="shared" ref="X140" si="104">+$C140*V137</f>
        <v>0.3</v>
      </c>
      <c r="Y140" s="1">
        <f t="shared" ref="Y140" si="105">+$C140*W137</f>
        <v>0.3</v>
      </c>
      <c r="Z140" s="1">
        <f t="shared" ref="Z140" si="106">+$C140*X137</f>
        <v>0.3</v>
      </c>
      <c r="AA140" s="1">
        <f t="shared" ref="AA140" si="107">+$C140*Y137</f>
        <v>0.3</v>
      </c>
      <c r="AB140" s="1">
        <f t="shared" ref="AB140" si="108">+$C140*Z137</f>
        <v>0.3</v>
      </c>
      <c r="AC140" s="1">
        <f t="shared" ref="AC140" si="109">+$C140*AA137</f>
        <v>0.3</v>
      </c>
    </row>
    <row r="141" spans="1:29">
      <c r="C141" s="178">
        <v>0.15</v>
      </c>
      <c r="G141" s="1">
        <f>+$C141*D137</f>
        <v>0</v>
      </c>
      <c r="H141" s="1">
        <f t="shared" ref="H141:I141" si="110">+$C141*E137</f>
        <v>0.03</v>
      </c>
      <c r="I141" s="1">
        <f t="shared" si="110"/>
        <v>0.06</v>
      </c>
      <c r="J141" s="1">
        <f t="shared" ref="J141" si="111">+$C141*G137</f>
        <v>0.09</v>
      </c>
      <c r="K141" s="1">
        <f t="shared" ref="K141" si="112">+$C141*H137</f>
        <v>0.12</v>
      </c>
      <c r="L141" s="1">
        <f t="shared" ref="L141" si="113">+$C141*I137</f>
        <v>0.15</v>
      </c>
      <c r="M141" s="1">
        <f t="shared" ref="M141" si="114">+$C141*J137</f>
        <v>0.15</v>
      </c>
      <c r="N141" s="1">
        <f t="shared" ref="N141" si="115">+$C141*K137</f>
        <v>0.15</v>
      </c>
      <c r="O141" s="1">
        <f t="shared" ref="O141" si="116">+$C141*L137</f>
        <v>0.15</v>
      </c>
      <c r="P141" s="1">
        <f t="shared" ref="P141" si="117">+$C141*M137</f>
        <v>0.15</v>
      </c>
      <c r="Q141" s="1">
        <f t="shared" ref="Q141" si="118">+$C141*N137</f>
        <v>0.15</v>
      </c>
      <c r="R141" s="1">
        <f t="shared" ref="R141" si="119">+$C141*O137</f>
        <v>0.15</v>
      </c>
      <c r="S141" s="1">
        <f t="shared" ref="S141" si="120">+$C141*P137</f>
        <v>0.15</v>
      </c>
      <c r="T141" s="1">
        <f t="shared" ref="T141" si="121">+$C141*Q137</f>
        <v>0.15</v>
      </c>
      <c r="U141" s="1">
        <f t="shared" ref="U141" si="122">+$C141*R137</f>
        <v>0.15</v>
      </c>
      <c r="V141" s="1">
        <f t="shared" ref="V141" si="123">+$C141*S137</f>
        <v>0.15</v>
      </c>
      <c r="W141" s="1">
        <f t="shared" ref="W141" si="124">+$C141*T137</f>
        <v>0.15</v>
      </c>
      <c r="X141" s="1">
        <f t="shared" ref="X141" si="125">+$C141*U137</f>
        <v>0.15</v>
      </c>
      <c r="Y141" s="1">
        <f t="shared" ref="Y141" si="126">+$C141*V137</f>
        <v>0.15</v>
      </c>
      <c r="Z141" s="1">
        <f t="shared" ref="Z141" si="127">+$C141*W137</f>
        <v>0.15</v>
      </c>
      <c r="AA141" s="1">
        <f t="shared" ref="AA141" si="128">+$C141*X137</f>
        <v>0.15</v>
      </c>
      <c r="AB141" s="1">
        <f t="shared" ref="AB141" si="129">+$C141*Y137</f>
        <v>0.15</v>
      </c>
      <c r="AC141" s="1">
        <f t="shared" ref="AC141" si="130">+$C141*Z137</f>
        <v>0.15</v>
      </c>
    </row>
    <row r="142" spans="1:29">
      <c r="C142" s="178">
        <v>0.1</v>
      </c>
      <c r="H142" s="1">
        <f>+$C142*D137</f>
        <v>0</v>
      </c>
      <c r="I142" s="1">
        <f>+$C142*E137</f>
        <v>2.0000000000000004E-2</v>
      </c>
      <c r="J142" s="1">
        <f t="shared" ref="J142:AC142" si="131">+$C142*F137</f>
        <v>4.0000000000000008E-2</v>
      </c>
      <c r="K142" s="1">
        <f t="shared" si="131"/>
        <v>0.06</v>
      </c>
      <c r="L142" s="1">
        <f t="shared" si="131"/>
        <v>8.0000000000000016E-2</v>
      </c>
      <c r="M142" s="1">
        <f t="shared" si="131"/>
        <v>0.1</v>
      </c>
      <c r="N142" s="1">
        <f t="shared" si="131"/>
        <v>0.1</v>
      </c>
      <c r="O142" s="1">
        <f t="shared" si="131"/>
        <v>0.1</v>
      </c>
      <c r="P142" s="1">
        <f t="shared" si="131"/>
        <v>0.1</v>
      </c>
      <c r="Q142" s="1">
        <f t="shared" si="131"/>
        <v>0.1</v>
      </c>
      <c r="R142" s="1">
        <f t="shared" si="131"/>
        <v>0.1</v>
      </c>
      <c r="S142" s="1">
        <f t="shared" si="131"/>
        <v>0.1</v>
      </c>
      <c r="T142" s="1">
        <f t="shared" si="131"/>
        <v>0.1</v>
      </c>
      <c r="U142" s="1">
        <f t="shared" si="131"/>
        <v>0.1</v>
      </c>
      <c r="V142" s="1">
        <f t="shared" si="131"/>
        <v>0.1</v>
      </c>
      <c r="W142" s="1">
        <f t="shared" si="131"/>
        <v>0.1</v>
      </c>
      <c r="X142" s="1">
        <f t="shared" si="131"/>
        <v>0.1</v>
      </c>
      <c r="Y142" s="1">
        <f t="shared" si="131"/>
        <v>0.1</v>
      </c>
      <c r="Z142" s="1">
        <f t="shared" si="131"/>
        <v>0.1</v>
      </c>
      <c r="AA142" s="1">
        <f t="shared" si="131"/>
        <v>0.1</v>
      </c>
      <c r="AB142" s="1">
        <f t="shared" si="131"/>
        <v>0.1</v>
      </c>
      <c r="AC142" s="1">
        <f t="shared" si="131"/>
        <v>0.1</v>
      </c>
    </row>
    <row r="143" spans="1:29">
      <c r="C143" s="178">
        <v>0.05</v>
      </c>
      <c r="I143" s="1">
        <f>+$C143*D137</f>
        <v>0</v>
      </c>
      <c r="J143" s="1">
        <f t="shared" ref="J143:AC143" si="132">+$C143*E137</f>
        <v>1.0000000000000002E-2</v>
      </c>
      <c r="K143" s="1">
        <f t="shared" si="132"/>
        <v>2.0000000000000004E-2</v>
      </c>
      <c r="L143" s="1">
        <f t="shared" si="132"/>
        <v>0.03</v>
      </c>
      <c r="M143" s="1">
        <f t="shared" si="132"/>
        <v>4.0000000000000008E-2</v>
      </c>
      <c r="N143" s="1">
        <f t="shared" si="132"/>
        <v>0.05</v>
      </c>
      <c r="O143" s="1">
        <f t="shared" si="132"/>
        <v>0.05</v>
      </c>
      <c r="P143" s="1">
        <f t="shared" si="132"/>
        <v>0.05</v>
      </c>
      <c r="Q143" s="1">
        <f t="shared" si="132"/>
        <v>0.05</v>
      </c>
      <c r="R143" s="1">
        <f t="shared" si="132"/>
        <v>0.05</v>
      </c>
      <c r="S143" s="1">
        <f t="shared" si="132"/>
        <v>0.05</v>
      </c>
      <c r="T143" s="1">
        <f t="shared" si="132"/>
        <v>0.05</v>
      </c>
      <c r="U143" s="1">
        <f t="shared" si="132"/>
        <v>0.05</v>
      </c>
      <c r="V143" s="1">
        <f t="shared" si="132"/>
        <v>0.05</v>
      </c>
      <c r="W143" s="1">
        <f t="shared" si="132"/>
        <v>0.05</v>
      </c>
      <c r="X143" s="1">
        <f t="shared" si="132"/>
        <v>0.05</v>
      </c>
      <c r="Y143" s="1">
        <f t="shared" si="132"/>
        <v>0.05</v>
      </c>
      <c r="Z143" s="1">
        <f t="shared" si="132"/>
        <v>0.05</v>
      </c>
      <c r="AA143" s="1">
        <f t="shared" si="132"/>
        <v>0.05</v>
      </c>
      <c r="AB143" s="1">
        <f t="shared" si="132"/>
        <v>0.05</v>
      </c>
      <c r="AC143" s="1">
        <f t="shared" si="132"/>
        <v>0.05</v>
      </c>
    </row>
    <row r="144" spans="1:29">
      <c r="C144" s="190">
        <f>SUM(C138:C143)</f>
        <v>1</v>
      </c>
      <c r="D144" s="80">
        <f>SUM(D138:D143)</f>
        <v>0</v>
      </c>
      <c r="E144" s="80">
        <f t="shared" ref="E144:AC144" si="133">SUM(E138:E143)</f>
        <v>0.03</v>
      </c>
      <c r="F144" s="80">
        <f t="shared" si="133"/>
        <v>0.11</v>
      </c>
      <c r="G144" s="80">
        <f t="shared" si="133"/>
        <v>0.25</v>
      </c>
      <c r="H144" s="80">
        <f t="shared" si="133"/>
        <v>0.42000000000000004</v>
      </c>
      <c r="I144" s="80">
        <f t="shared" si="133"/>
        <v>0.6100000000000001</v>
      </c>
      <c r="J144" s="80">
        <f t="shared" si="133"/>
        <v>0.78</v>
      </c>
      <c r="K144" s="80">
        <f t="shared" si="133"/>
        <v>0.89999999999999991</v>
      </c>
      <c r="L144" s="80">
        <f t="shared" si="133"/>
        <v>0.96</v>
      </c>
      <c r="M144" s="80">
        <f t="shared" si="133"/>
        <v>0.99</v>
      </c>
      <c r="N144" s="80">
        <f t="shared" si="133"/>
        <v>1</v>
      </c>
      <c r="O144" s="80">
        <f t="shared" si="133"/>
        <v>1</v>
      </c>
      <c r="P144" s="80">
        <f t="shared" si="133"/>
        <v>1</v>
      </c>
      <c r="Q144" s="80">
        <f t="shared" si="133"/>
        <v>1</v>
      </c>
      <c r="R144" s="80">
        <f t="shared" si="133"/>
        <v>1</v>
      </c>
      <c r="S144" s="80">
        <f t="shared" si="133"/>
        <v>1</v>
      </c>
      <c r="T144" s="80">
        <f t="shared" si="133"/>
        <v>1</v>
      </c>
      <c r="U144" s="80">
        <f t="shared" si="133"/>
        <v>1</v>
      </c>
      <c r="V144" s="80">
        <f t="shared" si="133"/>
        <v>1</v>
      </c>
      <c r="W144" s="80">
        <f t="shared" si="133"/>
        <v>1</v>
      </c>
      <c r="X144" s="80">
        <f t="shared" si="133"/>
        <v>1</v>
      </c>
      <c r="Y144" s="80">
        <f t="shared" si="133"/>
        <v>1</v>
      </c>
      <c r="Z144" s="80">
        <f t="shared" si="133"/>
        <v>1</v>
      </c>
      <c r="AA144" s="80">
        <f t="shared" si="133"/>
        <v>1</v>
      </c>
      <c r="AB144" s="80">
        <f t="shared" si="133"/>
        <v>1</v>
      </c>
      <c r="AC144" s="80">
        <f t="shared" si="133"/>
        <v>1</v>
      </c>
    </row>
    <row r="146" spans="1:29">
      <c r="A146" s="181" t="s">
        <v>278</v>
      </c>
      <c r="B146" s="1" t="s">
        <v>287</v>
      </c>
      <c r="D146" s="147">
        <f>+D127*D144</f>
        <v>0</v>
      </c>
      <c r="E146" s="147">
        <f t="shared" ref="E146:AC146" si="134">+E127*E144</f>
        <v>6.2720293741395325</v>
      </c>
      <c r="F146" s="147">
        <f t="shared" si="134"/>
        <v>31.39624088657364</v>
      </c>
      <c r="G146" s="147">
        <f t="shared" si="134"/>
        <v>88.56916203410853</v>
      </c>
      <c r="H146" s="147">
        <f t="shared" si="134"/>
        <v>171.41881078325579</v>
      </c>
      <c r="I146" s="147">
        <f t="shared" si="134"/>
        <v>280.46716213283719</v>
      </c>
      <c r="J146" s="147">
        <f t="shared" si="134"/>
        <v>358.63014174362786</v>
      </c>
      <c r="K146" s="147">
        <f t="shared" si="134"/>
        <v>413.80400970418589</v>
      </c>
      <c r="L146" s="147">
        <f t="shared" si="134"/>
        <v>441.39094368446501</v>
      </c>
      <c r="M146" s="147">
        <f t="shared" si="134"/>
        <v>455.18441067460452</v>
      </c>
      <c r="N146" s="147">
        <f t="shared" si="134"/>
        <v>459.78223300465106</v>
      </c>
      <c r="O146" s="147">
        <f t="shared" si="134"/>
        <v>459.78223300465106</v>
      </c>
      <c r="P146" s="147">
        <f t="shared" si="134"/>
        <v>459.78223300465106</v>
      </c>
      <c r="Q146" s="147">
        <f t="shared" si="134"/>
        <v>459.78223300465106</v>
      </c>
      <c r="R146" s="147">
        <f t="shared" si="134"/>
        <v>459.78223300465106</v>
      </c>
      <c r="S146" s="147">
        <f t="shared" si="134"/>
        <v>459.78223300465106</v>
      </c>
      <c r="T146" s="147">
        <f t="shared" si="134"/>
        <v>459.78223300465106</v>
      </c>
      <c r="U146" s="147">
        <f t="shared" si="134"/>
        <v>459.78223300465106</v>
      </c>
      <c r="V146" s="147">
        <f t="shared" si="134"/>
        <v>459.78223300465106</v>
      </c>
      <c r="W146" s="147">
        <f t="shared" si="134"/>
        <v>459.78223300465106</v>
      </c>
      <c r="X146" s="147">
        <f t="shared" si="134"/>
        <v>459.78223300465106</v>
      </c>
      <c r="Y146" s="147">
        <f t="shared" si="134"/>
        <v>459.78223300465106</v>
      </c>
      <c r="Z146" s="147">
        <f t="shared" si="134"/>
        <v>459.78223300465106</v>
      </c>
      <c r="AA146" s="147">
        <f t="shared" si="134"/>
        <v>459.78223300465106</v>
      </c>
      <c r="AB146" s="147">
        <f t="shared" si="134"/>
        <v>459.78223300465106</v>
      </c>
      <c r="AC146" s="147">
        <f t="shared" si="134"/>
        <v>459.78223300465106</v>
      </c>
    </row>
    <row r="147" spans="1:29">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row>
    <row r="148" spans="1:29">
      <c r="A148" s="181" t="s">
        <v>286</v>
      </c>
      <c r="B148" s="1" t="s">
        <v>287</v>
      </c>
      <c r="D148" s="147">
        <f>+D134*D144</f>
        <v>0</v>
      </c>
      <c r="E148" s="147">
        <f t="shared" ref="E148:AC148" si="135">+E134*E144</f>
        <v>17.798820914035815</v>
      </c>
      <c r="F148" s="147">
        <f t="shared" si="135"/>
        <v>108.04319098706642</v>
      </c>
      <c r="G148" s="147">
        <f t="shared" si="135"/>
        <v>335.3725148002066</v>
      </c>
      <c r="H148" s="147">
        <f t="shared" si="135"/>
        <v>703.37729817658544</v>
      </c>
      <c r="I148" s="147">
        <f t="shared" si="135"/>
        <v>1249.1333185346366</v>
      </c>
      <c r="J148" s="147">
        <f t="shared" si="135"/>
        <v>1597.2524400934694</v>
      </c>
      <c r="K148" s="147">
        <f t="shared" si="135"/>
        <v>1842.9835847232339</v>
      </c>
      <c r="L148" s="147">
        <f t="shared" si="135"/>
        <v>1965.8491570381161</v>
      </c>
      <c r="M148" s="147">
        <f t="shared" si="135"/>
        <v>2027.2819431955575</v>
      </c>
      <c r="N148" s="147">
        <f t="shared" si="135"/>
        <v>2047.7595385813711</v>
      </c>
      <c r="O148" s="147">
        <f t="shared" si="135"/>
        <v>2047.7595385813711</v>
      </c>
      <c r="P148" s="147">
        <f t="shared" si="135"/>
        <v>2047.7595385813711</v>
      </c>
      <c r="Q148" s="147">
        <f t="shared" si="135"/>
        <v>2047.7595385813711</v>
      </c>
      <c r="R148" s="147">
        <f t="shared" si="135"/>
        <v>2047.7595385813711</v>
      </c>
      <c r="S148" s="147">
        <f t="shared" si="135"/>
        <v>2047.7595385813711</v>
      </c>
      <c r="T148" s="147">
        <f t="shared" si="135"/>
        <v>2047.7595385813711</v>
      </c>
      <c r="U148" s="147">
        <f t="shared" si="135"/>
        <v>2047.7595385813711</v>
      </c>
      <c r="V148" s="147">
        <f t="shared" si="135"/>
        <v>2047.7595385813711</v>
      </c>
      <c r="W148" s="147">
        <f t="shared" si="135"/>
        <v>2047.7595385813711</v>
      </c>
      <c r="X148" s="147">
        <f t="shared" si="135"/>
        <v>2047.7595385813711</v>
      </c>
      <c r="Y148" s="147">
        <f t="shared" si="135"/>
        <v>2047.7595385813711</v>
      </c>
      <c r="Z148" s="147">
        <f t="shared" si="135"/>
        <v>2047.7595385813711</v>
      </c>
      <c r="AA148" s="147">
        <f t="shared" si="135"/>
        <v>2047.7595385813711</v>
      </c>
      <c r="AB148" s="147">
        <f t="shared" si="135"/>
        <v>2047.7595385813711</v>
      </c>
      <c r="AC148" s="147">
        <f t="shared" si="135"/>
        <v>2047.7595385813711</v>
      </c>
    </row>
    <row r="151" spans="1:29">
      <c r="A151" s="193" t="s">
        <v>297</v>
      </c>
    </row>
    <row r="152" spans="1:29" ht="15.75" thickBot="1"/>
    <row r="153" spans="1:29" ht="15.75" thickBot="1">
      <c r="A153" s="181" t="s">
        <v>278</v>
      </c>
      <c r="B153" s="1" t="s">
        <v>287</v>
      </c>
      <c r="C153" s="195">
        <f>'Comp B-BMC'!$Q$23</f>
        <v>1.3089078747410374</v>
      </c>
      <c r="D153" s="194">
        <f>+D146*$C$153</f>
        <v>0</v>
      </c>
      <c r="E153" s="147">
        <f t="shared" ref="E153:AC153" si="136">+E146*$C$153</f>
        <v>8.2095086384183347</v>
      </c>
      <c r="F153" s="147">
        <f t="shared" si="136"/>
        <v>41.094786933702771</v>
      </c>
      <c r="G153" s="147">
        <f t="shared" si="136"/>
        <v>115.92887364565958</v>
      </c>
      <c r="H153" s="147">
        <f t="shared" si="136"/>
        <v>224.37143131294738</v>
      </c>
      <c r="I153" s="147">
        <f t="shared" si="136"/>
        <v>367.10567712194188</v>
      </c>
      <c r="J153" s="147">
        <f t="shared" si="136"/>
        <v>469.41381664772894</v>
      </c>
      <c r="K153" s="147">
        <f t="shared" si="136"/>
        <v>541.63132690122552</v>
      </c>
      <c r="L153" s="147">
        <f t="shared" si="136"/>
        <v>577.74008202797404</v>
      </c>
      <c r="M153" s="147">
        <f t="shared" si="136"/>
        <v>595.79445959134819</v>
      </c>
      <c r="N153" s="147">
        <f t="shared" si="136"/>
        <v>601.81258544580635</v>
      </c>
      <c r="O153" s="147">
        <f t="shared" si="136"/>
        <v>601.81258544580635</v>
      </c>
      <c r="P153" s="147">
        <f t="shared" si="136"/>
        <v>601.81258544580635</v>
      </c>
      <c r="Q153" s="147">
        <f t="shared" si="136"/>
        <v>601.81258544580635</v>
      </c>
      <c r="R153" s="147">
        <f t="shared" si="136"/>
        <v>601.81258544580635</v>
      </c>
      <c r="S153" s="147">
        <f t="shared" si="136"/>
        <v>601.81258544580635</v>
      </c>
      <c r="T153" s="147">
        <f t="shared" si="136"/>
        <v>601.81258544580635</v>
      </c>
      <c r="U153" s="147">
        <f t="shared" si="136"/>
        <v>601.81258544580635</v>
      </c>
      <c r="V153" s="147">
        <f t="shared" si="136"/>
        <v>601.81258544580635</v>
      </c>
      <c r="W153" s="147">
        <f t="shared" si="136"/>
        <v>601.81258544580635</v>
      </c>
      <c r="X153" s="147">
        <f t="shared" si="136"/>
        <v>601.81258544580635</v>
      </c>
      <c r="Y153" s="147">
        <f t="shared" si="136"/>
        <v>601.81258544580635</v>
      </c>
      <c r="Z153" s="147">
        <f t="shared" si="136"/>
        <v>601.81258544580635</v>
      </c>
      <c r="AA153" s="147">
        <f t="shared" si="136"/>
        <v>601.81258544580635</v>
      </c>
      <c r="AB153" s="147">
        <f t="shared" si="136"/>
        <v>601.81258544580635</v>
      </c>
      <c r="AC153" s="147">
        <f t="shared" si="136"/>
        <v>601.81258544580635</v>
      </c>
    </row>
    <row r="154" spans="1:29" ht="15.75" thickBot="1"/>
    <row r="155" spans="1:29" ht="15.75" thickBot="1">
      <c r="A155" s="181" t="s">
        <v>286</v>
      </c>
      <c r="B155" s="1" t="s">
        <v>287</v>
      </c>
      <c r="C155" s="196">
        <v>1.0252227128749352</v>
      </c>
      <c r="D155" s="147">
        <f>+D148*$C$155</f>
        <v>0</v>
      </c>
      <c r="E155" s="147">
        <f t="shared" ref="E155:AC155" si="137">+E148*$C$155</f>
        <v>18.24775546346293</v>
      </c>
      <c r="F155" s="147">
        <f t="shared" si="137"/>
        <v>110.76833337142499</v>
      </c>
      <c r="G155" s="147">
        <f t="shared" si="137"/>
        <v>343.83151944715718</v>
      </c>
      <c r="H155" s="147">
        <f t="shared" si="137"/>
        <v>721.11838181124108</v>
      </c>
      <c r="I155" s="147">
        <f t="shared" si="137"/>
        <v>1280.6398495705507</v>
      </c>
      <c r="J155" s="147">
        <f t="shared" si="137"/>
        <v>1637.5394797787367</v>
      </c>
      <c r="K155" s="147">
        <f t="shared" si="137"/>
        <v>1889.4686305139267</v>
      </c>
      <c r="L155" s="147">
        <f t="shared" si="137"/>
        <v>2015.4332058815219</v>
      </c>
      <c r="M155" s="147">
        <f t="shared" si="137"/>
        <v>2078.4154935653196</v>
      </c>
      <c r="N155" s="147">
        <f t="shared" si="137"/>
        <v>2099.4095894599186</v>
      </c>
      <c r="O155" s="147">
        <f t="shared" si="137"/>
        <v>2099.4095894599186</v>
      </c>
      <c r="P155" s="147">
        <f t="shared" si="137"/>
        <v>2099.4095894599186</v>
      </c>
      <c r="Q155" s="147">
        <f t="shared" si="137"/>
        <v>2099.4095894599186</v>
      </c>
      <c r="R155" s="147">
        <f t="shared" si="137"/>
        <v>2099.4095894599186</v>
      </c>
      <c r="S155" s="147">
        <f t="shared" si="137"/>
        <v>2099.4095894599186</v>
      </c>
      <c r="T155" s="147">
        <f t="shared" si="137"/>
        <v>2099.4095894599186</v>
      </c>
      <c r="U155" s="147">
        <f t="shared" si="137"/>
        <v>2099.4095894599186</v>
      </c>
      <c r="V155" s="147">
        <f t="shared" si="137"/>
        <v>2099.4095894599186</v>
      </c>
      <c r="W155" s="147">
        <f t="shared" si="137"/>
        <v>2099.4095894599186</v>
      </c>
      <c r="X155" s="147">
        <f t="shared" si="137"/>
        <v>2099.4095894599186</v>
      </c>
      <c r="Y155" s="147">
        <f t="shared" si="137"/>
        <v>2099.4095894599186</v>
      </c>
      <c r="Z155" s="147">
        <f t="shared" si="137"/>
        <v>2099.4095894599186</v>
      </c>
      <c r="AA155" s="147">
        <f t="shared" si="137"/>
        <v>2099.4095894599186</v>
      </c>
      <c r="AB155" s="147">
        <f t="shared" si="137"/>
        <v>2099.4095894599186</v>
      </c>
      <c r="AC155" s="147">
        <f t="shared" si="137"/>
        <v>2099.4095894599186</v>
      </c>
    </row>
  </sheetData>
  <mergeCells count="2">
    <mergeCell ref="A114:A115"/>
    <mergeCell ref="D114:J114"/>
  </mergeCells>
  <pageMargins left="0.7" right="0.7" top="0.75" bottom="0.75" header="0.3" footer="0.3"/>
  <pageSetup scale="61" pageOrder="overThenDown" orientation="landscape" r:id="rId1"/>
  <colBreaks count="2" manualBreakCount="2">
    <brk id="12" max="1048575" man="1"/>
    <brk id="29" max="1048575" man="1"/>
  </colBreaks>
  <legacyDrawing r:id="rId2"/>
</worksheet>
</file>

<file path=xl/worksheets/sheet2.xml><?xml version="1.0" encoding="utf-8"?>
<worksheet xmlns="http://schemas.openxmlformats.org/spreadsheetml/2006/main" xmlns:r="http://schemas.openxmlformats.org/officeDocument/2006/relationships">
  <sheetPr>
    <tabColor rgb="FF00B050"/>
  </sheetPr>
  <dimension ref="A1:W26"/>
  <sheetViews>
    <sheetView topLeftCell="A11" workbookViewId="0">
      <selection activeCell="A30" sqref="A30"/>
    </sheetView>
  </sheetViews>
  <sheetFormatPr defaultRowHeight="15"/>
  <cols>
    <col min="1" max="1" width="9.140625" style="8"/>
    <col min="2" max="2" width="54.5703125" style="8" customWidth="1"/>
    <col min="3" max="3" width="9.140625" style="8"/>
    <col min="4" max="4" width="11.5703125" style="8" customWidth="1"/>
    <col min="5" max="5" width="11" style="8" customWidth="1"/>
    <col min="6" max="7" width="9.140625" style="8"/>
    <col min="8" max="8" width="23.28515625" style="8" customWidth="1"/>
    <col min="9" max="10" width="9.140625" style="8"/>
    <col min="11" max="11" width="10.5703125" style="8" bestFit="1" customWidth="1"/>
    <col min="12" max="17" width="9.140625" style="8"/>
    <col min="18" max="18" width="32.7109375" style="8" customWidth="1"/>
    <col min="19" max="16384" width="9.140625" style="8"/>
  </cols>
  <sheetData>
    <row r="1" spans="1:23" ht="29.25" customHeight="1">
      <c r="A1" s="288" t="s">
        <v>74</v>
      </c>
      <c r="B1" s="288"/>
      <c r="C1" s="288"/>
      <c r="D1" s="288"/>
      <c r="E1" s="5"/>
      <c r="G1" s="289" t="s">
        <v>83</v>
      </c>
      <c r="H1" s="289"/>
      <c r="I1" s="289"/>
      <c r="J1" s="253"/>
      <c r="K1" s="5"/>
    </row>
    <row r="2" spans="1:23" ht="78" customHeight="1">
      <c r="A2" s="290" t="s">
        <v>75</v>
      </c>
      <c r="B2" s="291" t="s">
        <v>76</v>
      </c>
      <c r="C2" s="292" t="s">
        <v>77</v>
      </c>
      <c r="D2" s="292"/>
      <c r="E2" s="293" t="s">
        <v>325</v>
      </c>
      <c r="G2" s="294" t="s">
        <v>75</v>
      </c>
      <c r="H2" s="291" t="s">
        <v>76</v>
      </c>
      <c r="I2" s="292" t="s">
        <v>77</v>
      </c>
      <c r="J2" s="292"/>
      <c r="K2" s="293" t="s">
        <v>325</v>
      </c>
    </row>
    <row r="3" spans="1:23">
      <c r="A3" s="254"/>
      <c r="B3" s="255"/>
      <c r="C3" s="295" t="s">
        <v>78</v>
      </c>
      <c r="D3" s="295" t="s">
        <v>79</v>
      </c>
      <c r="E3" s="5"/>
      <c r="G3" s="256"/>
      <c r="H3" s="255"/>
      <c r="I3" s="295" t="s">
        <v>78</v>
      </c>
      <c r="J3" s="295" t="s">
        <v>79</v>
      </c>
      <c r="K3" s="5"/>
    </row>
    <row r="4" spans="1:23" ht="106.5" customHeight="1">
      <c r="A4" s="257">
        <v>1</v>
      </c>
      <c r="B4" s="258" t="s">
        <v>315</v>
      </c>
      <c r="C4" s="257">
        <v>0.15</v>
      </c>
      <c r="D4" s="257">
        <v>0.20499999999999999</v>
      </c>
      <c r="E4" s="257">
        <v>0.15</v>
      </c>
      <c r="G4" s="257">
        <v>1</v>
      </c>
      <c r="H4" s="259" t="s">
        <v>316</v>
      </c>
      <c r="I4" s="257">
        <v>0.32</v>
      </c>
      <c r="J4" s="296">
        <v>0.36</v>
      </c>
      <c r="K4" s="297">
        <f>I4</f>
        <v>0.32</v>
      </c>
      <c r="U4" s="260"/>
      <c r="V4" s="261"/>
      <c r="W4" s="261"/>
    </row>
    <row r="5" spans="1:23" ht="94.5" customHeight="1">
      <c r="A5" s="257">
        <v>2</v>
      </c>
      <c r="B5" s="258" t="s">
        <v>317</v>
      </c>
      <c r="C5" s="257">
        <v>0.15</v>
      </c>
      <c r="D5" s="257">
        <v>0.18</v>
      </c>
      <c r="E5" s="257">
        <f>C5</f>
        <v>0.15</v>
      </c>
      <c r="G5" s="257">
        <v>2</v>
      </c>
      <c r="H5" s="259" t="s">
        <v>318</v>
      </c>
      <c r="I5" s="257">
        <f>1.5*14/100</f>
        <v>0.21</v>
      </c>
      <c r="J5" s="257">
        <f>18*1.5/100</f>
        <v>0.27</v>
      </c>
      <c r="K5" s="298">
        <f>I5</f>
        <v>0.21</v>
      </c>
      <c r="S5" s="261"/>
      <c r="T5" s="261"/>
    </row>
    <row r="6" spans="1:23" ht="108" customHeight="1">
      <c r="A6" s="257">
        <v>3</v>
      </c>
      <c r="B6" s="262" t="s">
        <v>319</v>
      </c>
      <c r="C6" s="257">
        <v>0.04</v>
      </c>
      <c r="D6" s="257">
        <v>0.04</v>
      </c>
      <c r="E6" s="299">
        <f>C6</f>
        <v>0.04</v>
      </c>
      <c r="G6" s="257">
        <v>3</v>
      </c>
      <c r="H6" s="263" t="s">
        <v>320</v>
      </c>
      <c r="I6" s="296">
        <f>100/2400</f>
        <v>4.1666666666666664E-2</v>
      </c>
      <c r="J6" s="257">
        <f>100/2000</f>
        <v>0.05</v>
      </c>
      <c r="K6" s="300">
        <f>I6</f>
        <v>4.1666666666666664E-2</v>
      </c>
    </row>
    <row r="7" spans="1:23" ht="67.5" customHeight="1">
      <c r="A7" s="257">
        <v>4</v>
      </c>
      <c r="B7" s="262" t="s">
        <v>321</v>
      </c>
      <c r="C7" s="257">
        <v>0.02</v>
      </c>
      <c r="D7" s="257">
        <v>0.03</v>
      </c>
      <c r="E7" s="257">
        <v>0</v>
      </c>
      <c r="G7" s="257">
        <v>4</v>
      </c>
      <c r="H7" s="259" t="s">
        <v>322</v>
      </c>
      <c r="I7" s="257">
        <f>(5/100)*3</f>
        <v>0.15000000000000002</v>
      </c>
      <c r="J7" s="257">
        <f>(6/100)*5</f>
        <v>0.3</v>
      </c>
      <c r="K7" s="257">
        <v>0</v>
      </c>
    </row>
    <row r="8" spans="1:23" ht="60" customHeight="1">
      <c r="A8" s="264">
        <v>5</v>
      </c>
      <c r="B8" s="265" t="s">
        <v>323</v>
      </c>
      <c r="C8" s="257">
        <v>0.05</v>
      </c>
      <c r="D8" s="257">
        <v>0.06</v>
      </c>
      <c r="E8" s="257">
        <f>C8</f>
        <v>0.05</v>
      </c>
      <c r="G8" s="5"/>
      <c r="H8" s="301" t="s">
        <v>31</v>
      </c>
      <c r="I8" s="296">
        <f>SUM(I4:I7)</f>
        <v>0.72166666666666668</v>
      </c>
      <c r="J8" s="296">
        <f>SUM(J4:J7)</f>
        <v>0.98</v>
      </c>
      <c r="K8" s="296">
        <f xml:space="preserve"> SUM(K4:K7)</f>
        <v>0.57166666666666666</v>
      </c>
    </row>
    <row r="9" spans="1:23" ht="60.75" customHeight="1">
      <c r="A9" s="5"/>
      <c r="B9" s="302" t="s">
        <v>80</v>
      </c>
      <c r="C9" s="302">
        <f>SUM(C4:C8)</f>
        <v>0.41</v>
      </c>
      <c r="D9" s="302">
        <f>SUM(D4:D8)</f>
        <v>0.5149999999999999</v>
      </c>
      <c r="E9" s="302">
        <f>SUM(E4:E8)</f>
        <v>0.38999999999999996</v>
      </c>
      <c r="G9" s="266"/>
      <c r="H9" s="267" t="s">
        <v>324</v>
      </c>
      <c r="I9" s="267"/>
      <c r="J9" s="268"/>
      <c r="K9" s="8">
        <v>0.2</v>
      </c>
    </row>
    <row r="10" spans="1:23" ht="39" customHeight="1">
      <c r="A10" s="269"/>
      <c r="B10" s="270" t="s">
        <v>81</v>
      </c>
      <c r="C10" s="10"/>
      <c r="D10" s="271"/>
      <c r="G10" s="272" t="s">
        <v>151</v>
      </c>
      <c r="H10" s="272"/>
      <c r="I10" s="272"/>
      <c r="J10" s="272"/>
      <c r="K10" s="272"/>
      <c r="L10" s="273"/>
    </row>
    <row r="11" spans="1:23" ht="54.75" customHeight="1">
      <c r="A11" s="269"/>
      <c r="B11" s="274" t="s">
        <v>152</v>
      </c>
      <c r="C11" s="274"/>
      <c r="D11" s="274"/>
      <c r="E11" s="274"/>
    </row>
    <row r="12" spans="1:23" ht="19.5" customHeight="1">
      <c r="A12" s="269"/>
      <c r="B12" s="303" t="s">
        <v>82</v>
      </c>
      <c r="C12" s="10"/>
      <c r="D12" s="271"/>
      <c r="H12" s="251"/>
      <c r="I12" s="251"/>
      <c r="J12" s="251"/>
      <c r="K12" s="252"/>
      <c r="Q12" s="5"/>
      <c r="R12" s="5" t="s">
        <v>305</v>
      </c>
      <c r="S12" s="5"/>
      <c r="T12" s="5" t="s">
        <v>255</v>
      </c>
      <c r="U12" s="5"/>
    </row>
    <row r="13" spans="1:23" ht="32.25" customHeight="1">
      <c r="A13" s="269"/>
      <c r="B13" s="275" t="s">
        <v>85</v>
      </c>
      <c r="C13" s="275"/>
      <c r="D13" s="276"/>
      <c r="H13" s="251" t="s">
        <v>153</v>
      </c>
      <c r="I13" s="251"/>
      <c r="J13" s="251"/>
      <c r="K13" s="252"/>
      <c r="Q13" s="5"/>
      <c r="R13" s="5"/>
      <c r="S13" s="5"/>
      <c r="T13" s="5" t="s">
        <v>312</v>
      </c>
      <c r="U13" s="5" t="s">
        <v>313</v>
      </c>
    </row>
    <row r="14" spans="1:23">
      <c r="A14" s="269"/>
      <c r="B14" s="275" t="s">
        <v>86</v>
      </c>
      <c r="C14" s="275"/>
      <c r="D14" s="276"/>
      <c r="Q14" s="5">
        <v>0.6</v>
      </c>
      <c r="R14" s="5" t="s">
        <v>306</v>
      </c>
      <c r="S14" s="5"/>
      <c r="T14" s="249">
        <v>6.3E-2</v>
      </c>
      <c r="U14" s="5">
        <v>0.7</v>
      </c>
    </row>
    <row r="15" spans="1:23">
      <c r="A15" s="269"/>
      <c r="B15" s="275" t="s">
        <v>87</v>
      </c>
      <c r="C15" s="275"/>
      <c r="D15" s="276"/>
      <c r="F15" s="277" t="s">
        <v>257</v>
      </c>
      <c r="G15" s="278"/>
      <c r="J15" s="249">
        <v>0.15</v>
      </c>
      <c r="K15" s="279">
        <v>0.19693654266958424</v>
      </c>
      <c r="M15" s="261"/>
      <c r="Q15" s="5">
        <v>0.6</v>
      </c>
      <c r="R15" s="5" t="s">
        <v>307</v>
      </c>
      <c r="S15" s="249"/>
      <c r="T15" s="249">
        <v>0.36</v>
      </c>
      <c r="U15" s="5">
        <v>4</v>
      </c>
    </row>
    <row r="16" spans="1:23">
      <c r="A16" s="266"/>
      <c r="B16" s="275" t="s">
        <v>84</v>
      </c>
      <c r="C16" s="275"/>
      <c r="D16" s="276"/>
      <c r="F16" s="277" t="s">
        <v>258</v>
      </c>
      <c r="G16" s="278"/>
      <c r="J16" s="249">
        <v>0.32</v>
      </c>
      <c r="K16" s="279">
        <v>0.42013129102844643</v>
      </c>
      <c r="M16" s="261"/>
      <c r="Q16" s="5">
        <v>1</v>
      </c>
      <c r="R16" s="5" t="s">
        <v>308</v>
      </c>
      <c r="S16" s="249"/>
      <c r="T16" s="249">
        <v>0</v>
      </c>
      <c r="U16" s="5"/>
    </row>
    <row r="17" spans="1:21">
      <c r="A17" s="269"/>
      <c r="B17" s="10" t="s">
        <v>88</v>
      </c>
      <c r="C17" s="10"/>
      <c r="D17" s="271"/>
      <c r="F17" s="277" t="s">
        <v>259</v>
      </c>
      <c r="G17" s="278"/>
      <c r="J17" s="249">
        <v>8.1666666666666665E-2</v>
      </c>
      <c r="K17" s="279">
        <v>0.10722100656455143</v>
      </c>
      <c r="M17" s="261"/>
      <c r="Q17" s="5">
        <v>1</v>
      </c>
      <c r="R17" s="5" t="s">
        <v>309</v>
      </c>
      <c r="S17" s="249"/>
      <c r="T17" s="249">
        <v>0.2</v>
      </c>
      <c r="U17" s="5">
        <v>4</v>
      </c>
    </row>
    <row r="18" spans="1:21">
      <c r="A18" s="269"/>
      <c r="B18" s="280" t="s">
        <v>89</v>
      </c>
      <c r="C18" s="280"/>
      <c r="D18" s="281"/>
      <c r="F18" s="277" t="s">
        <v>260</v>
      </c>
      <c r="G18" s="278"/>
      <c r="J18" s="249">
        <v>0.21</v>
      </c>
      <c r="K18" s="279">
        <v>0.27571115973741794</v>
      </c>
      <c r="M18" s="261"/>
      <c r="Q18" s="5">
        <v>0.5</v>
      </c>
      <c r="R18" s="5" t="s">
        <v>310</v>
      </c>
      <c r="S18" s="249"/>
      <c r="T18" s="249">
        <v>0.16170875586065156</v>
      </c>
      <c r="U18" s="282">
        <v>1.0106797241290721</v>
      </c>
    </row>
    <row r="19" spans="1:21">
      <c r="A19" s="266"/>
      <c r="B19" s="283" t="s">
        <v>90</v>
      </c>
      <c r="C19" s="284"/>
      <c r="D19" s="285"/>
      <c r="Q19" s="286">
        <v>1</v>
      </c>
      <c r="R19" s="286" t="s">
        <v>311</v>
      </c>
      <c r="S19" s="286"/>
      <c r="T19" s="287">
        <v>0.21224274206710514</v>
      </c>
      <c r="U19" s="249">
        <v>1.0106797241290721</v>
      </c>
    </row>
    <row r="20" spans="1:21">
      <c r="H20" s="8" t="s">
        <v>294</v>
      </c>
      <c r="J20" s="250">
        <f>SUM(J15:J19)</f>
        <v>0.7616666666666666</v>
      </c>
      <c r="K20" s="10"/>
      <c r="L20" s="10"/>
      <c r="M20" s="10"/>
      <c r="N20" s="10"/>
      <c r="O20" s="10"/>
      <c r="P20" s="10"/>
      <c r="Q20" s="10"/>
      <c r="R20" s="10"/>
      <c r="S20" s="250"/>
      <c r="T20" s="250">
        <f>+SUM(T14:T19)</f>
        <v>0.99695149792775672</v>
      </c>
    </row>
    <row r="21" spans="1:21">
      <c r="J21" s="10"/>
      <c r="K21" s="10"/>
      <c r="L21" s="10"/>
      <c r="M21" s="10"/>
      <c r="N21" s="10"/>
      <c r="O21" s="10"/>
      <c r="P21" s="10"/>
      <c r="Q21" s="10" t="s">
        <v>298</v>
      </c>
      <c r="R21" s="10"/>
      <c r="S21" s="10"/>
      <c r="T21" s="10"/>
    </row>
    <row r="22" spans="1:21">
      <c r="I22" s="261">
        <v>1.2483720930232558</v>
      </c>
      <c r="J22" s="10"/>
      <c r="K22" s="10"/>
      <c r="L22" s="10"/>
      <c r="M22" s="10"/>
      <c r="N22" s="10"/>
      <c r="O22" s="10"/>
      <c r="P22" s="10"/>
      <c r="Q22" s="10"/>
      <c r="R22" s="10"/>
      <c r="S22" s="10"/>
      <c r="T22" s="10"/>
    </row>
    <row r="23" spans="1:21">
      <c r="H23" s="8" t="s">
        <v>295</v>
      </c>
      <c r="J23" s="250">
        <f>+J20*$I$22</f>
        <v>0.95084341085271307</v>
      </c>
      <c r="K23" s="10"/>
      <c r="L23" s="10"/>
      <c r="M23" s="10"/>
      <c r="N23" s="10"/>
      <c r="O23" s="10"/>
      <c r="P23" s="10"/>
      <c r="Q23" s="10">
        <f>+Q25</f>
        <v>1.3089078747410374</v>
      </c>
      <c r="R23" s="10"/>
      <c r="S23" s="10"/>
      <c r="T23" s="250">
        <f>+T20*I22</f>
        <v>1.2445664281107438</v>
      </c>
    </row>
    <row r="24" spans="1:21">
      <c r="J24" s="10"/>
      <c r="K24" s="10"/>
      <c r="L24" s="10"/>
      <c r="M24" s="10"/>
      <c r="N24" s="10"/>
      <c r="O24" s="10"/>
      <c r="P24" s="10"/>
      <c r="Q24" s="10"/>
      <c r="R24" s="10"/>
      <c r="S24" s="10"/>
      <c r="T24" s="10"/>
    </row>
    <row r="25" spans="1:21">
      <c r="J25" s="10"/>
      <c r="K25" s="10"/>
      <c r="L25" s="10"/>
      <c r="M25" s="10"/>
      <c r="N25" s="10"/>
      <c r="O25" s="10"/>
      <c r="P25" s="10"/>
      <c r="Q25" s="10">
        <f>+T23/J23</f>
        <v>1.3089078747410374</v>
      </c>
      <c r="R25" s="10"/>
      <c r="S25" s="10"/>
      <c r="T25" s="10"/>
    </row>
    <row r="26" spans="1:21">
      <c r="J26" s="10"/>
      <c r="K26" s="10"/>
      <c r="L26" s="10"/>
      <c r="M26" s="10"/>
      <c r="N26" s="10"/>
      <c r="O26" s="10"/>
      <c r="P26" s="10"/>
      <c r="Q26" s="10"/>
      <c r="R26" s="10"/>
      <c r="S26" s="10"/>
      <c r="T26" s="10"/>
    </row>
  </sheetData>
  <mergeCells count="17">
    <mergeCell ref="B16:D16"/>
    <mergeCell ref="B18:D18"/>
    <mergeCell ref="B19:D19"/>
    <mergeCell ref="H9:J9"/>
    <mergeCell ref="G10:K10"/>
    <mergeCell ref="B11:E11"/>
    <mergeCell ref="B13:D13"/>
    <mergeCell ref="B14:D14"/>
    <mergeCell ref="B15:D15"/>
    <mergeCell ref="A1:D1"/>
    <mergeCell ref="G1:J1"/>
    <mergeCell ref="A2:A3"/>
    <mergeCell ref="B2:B3"/>
    <mergeCell ref="C2:D2"/>
    <mergeCell ref="G2:G3"/>
    <mergeCell ref="H2:H3"/>
    <mergeCell ref="I2:J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tabColor rgb="FF00FFFF"/>
  </sheetPr>
  <dimension ref="A1:U41"/>
  <sheetViews>
    <sheetView zoomScale="86" zoomScaleNormal="86" workbookViewId="0">
      <pane ySplit="1" topLeftCell="A5" activePane="bottomLeft" state="frozen"/>
      <selection activeCell="H1" sqref="H1"/>
      <selection pane="bottomLeft" activeCell="A11" sqref="A11:A18"/>
    </sheetView>
  </sheetViews>
  <sheetFormatPr defaultRowHeight="15" customHeight="1"/>
  <cols>
    <col min="1" max="1" width="5" style="40" customWidth="1"/>
    <col min="2" max="2" width="70.28515625" style="42" customWidth="1"/>
    <col min="3" max="3" width="27.85546875" style="40" customWidth="1"/>
    <col min="4" max="4" width="24.42578125" style="40" customWidth="1"/>
    <col min="5" max="5" width="14.5703125" style="40" customWidth="1"/>
    <col min="6" max="6" width="24.7109375" style="42" customWidth="1"/>
    <col min="7" max="7" width="41.5703125" style="40" customWidth="1"/>
    <col min="8" max="8" width="26.28515625" style="40" customWidth="1"/>
    <col min="9" max="9" width="33.28515625" style="40" customWidth="1"/>
    <col min="10" max="10" width="13.7109375" style="40" customWidth="1"/>
    <col min="11" max="11" width="14" style="40" customWidth="1"/>
    <col min="12" max="12" width="35" style="40" customWidth="1"/>
    <col min="13" max="13" width="13.28515625" style="40" customWidth="1"/>
    <col min="14" max="14" width="8.42578125" style="40" bestFit="1" customWidth="1"/>
    <col min="15" max="15" width="6.140625" style="40" customWidth="1"/>
    <col min="16" max="16" width="1.42578125" style="40" hidden="1" customWidth="1"/>
    <col min="17" max="17" width="8.42578125" style="40" bestFit="1" customWidth="1"/>
    <col min="18" max="18" width="9.5703125" style="40" customWidth="1"/>
    <col min="19" max="19" width="10" style="40" customWidth="1"/>
    <col min="20" max="20" width="79" style="42" customWidth="1"/>
    <col min="21" max="21" width="131.28515625" style="42" customWidth="1"/>
    <col min="22" max="16384" width="9.140625" style="40"/>
  </cols>
  <sheetData>
    <row r="1" spans="1:21" ht="66" customHeight="1">
      <c r="A1" s="32" t="s">
        <v>44</v>
      </c>
      <c r="B1" s="33" t="s">
        <v>0</v>
      </c>
      <c r="C1" s="34" t="s">
        <v>1</v>
      </c>
      <c r="D1" s="34" t="s">
        <v>2</v>
      </c>
      <c r="E1" s="32" t="s">
        <v>45</v>
      </c>
      <c r="F1" s="35" t="s">
        <v>3</v>
      </c>
      <c r="G1" s="36" t="s">
        <v>4</v>
      </c>
      <c r="H1" s="36" t="s">
        <v>5</v>
      </c>
      <c r="I1" s="36" t="s">
        <v>6</v>
      </c>
      <c r="J1" s="36" t="s">
        <v>7</v>
      </c>
      <c r="K1" s="36" t="s">
        <v>8</v>
      </c>
      <c r="L1" s="37" t="s">
        <v>9</v>
      </c>
      <c r="M1" s="37" t="s">
        <v>10</v>
      </c>
      <c r="N1" s="207" t="s">
        <v>11</v>
      </c>
      <c r="O1" s="208"/>
      <c r="P1" s="209"/>
      <c r="Q1" s="210" t="s">
        <v>12</v>
      </c>
      <c r="R1" s="211"/>
      <c r="S1" s="212"/>
      <c r="T1" s="38" t="s">
        <v>13</v>
      </c>
      <c r="U1" s="39" t="s">
        <v>14</v>
      </c>
    </row>
    <row r="2" spans="1:21" ht="15" customHeight="1">
      <c r="N2" s="213"/>
      <c r="O2" s="213"/>
      <c r="P2" s="213"/>
    </row>
    <row r="3" spans="1:21" ht="15" customHeight="1">
      <c r="A3" s="214">
        <v>1</v>
      </c>
      <c r="B3" s="215" t="s">
        <v>15</v>
      </c>
      <c r="C3" s="216" t="s">
        <v>154</v>
      </c>
      <c r="D3" s="217" t="s">
        <v>47</v>
      </c>
      <c r="E3" s="214">
        <v>2009</v>
      </c>
      <c r="F3" s="215" t="s">
        <v>16</v>
      </c>
      <c r="G3" s="217" t="s">
        <v>46</v>
      </c>
      <c r="H3" s="217" t="s">
        <v>17</v>
      </c>
      <c r="I3" s="217" t="s">
        <v>18</v>
      </c>
      <c r="J3" s="217">
        <v>1250</v>
      </c>
      <c r="K3" s="217" t="s">
        <v>19</v>
      </c>
      <c r="L3" s="43" t="s">
        <v>20</v>
      </c>
      <c r="M3" s="43">
        <v>8.25</v>
      </c>
      <c r="N3" s="43">
        <v>8.83</v>
      </c>
      <c r="O3" s="43"/>
      <c r="P3" s="43"/>
      <c r="Q3" s="43">
        <f>N3-M3</f>
        <v>0.58000000000000007</v>
      </c>
      <c r="R3" s="44"/>
      <c r="S3" s="44">
        <v>0.5</v>
      </c>
      <c r="T3" s="215" t="s">
        <v>32</v>
      </c>
      <c r="U3" s="215" t="s">
        <v>29</v>
      </c>
    </row>
    <row r="4" spans="1:21" ht="15" customHeight="1">
      <c r="A4" s="214"/>
      <c r="B4" s="215"/>
      <c r="C4" s="216"/>
      <c r="D4" s="217"/>
      <c r="E4" s="214"/>
      <c r="F4" s="215"/>
      <c r="G4" s="217"/>
      <c r="H4" s="217"/>
      <c r="I4" s="217"/>
      <c r="J4" s="217"/>
      <c r="K4" s="217"/>
      <c r="L4" s="43" t="s">
        <v>21</v>
      </c>
      <c r="M4" s="43">
        <v>5.79</v>
      </c>
      <c r="N4" s="43">
        <v>6.29</v>
      </c>
      <c r="O4" s="43"/>
      <c r="P4" s="43"/>
      <c r="Q4" s="43">
        <f>N4-M4</f>
        <v>0.5</v>
      </c>
      <c r="R4" s="44"/>
      <c r="S4" s="117">
        <v>2.5000000000000001E-3</v>
      </c>
      <c r="T4" s="215"/>
      <c r="U4" s="215"/>
    </row>
    <row r="5" spans="1:21" ht="30">
      <c r="A5" s="214"/>
      <c r="B5" s="215"/>
      <c r="C5" s="216"/>
      <c r="D5" s="217"/>
      <c r="E5" s="214"/>
      <c r="F5" s="215"/>
      <c r="G5" s="217"/>
      <c r="H5" s="217"/>
      <c r="I5" s="217"/>
      <c r="J5" s="217"/>
      <c r="K5" s="217"/>
      <c r="L5" s="81" t="s">
        <v>137</v>
      </c>
      <c r="M5" s="43">
        <f>9.45</f>
        <v>9.4499999999999993</v>
      </c>
      <c r="N5" s="214">
        <v>7.47</v>
      </c>
      <c r="O5" s="214"/>
      <c r="P5" s="214"/>
      <c r="Q5" s="44">
        <f>M5-N5</f>
        <v>1.9799999999999995</v>
      </c>
      <c r="R5" s="104">
        <f>Q5/M5</f>
        <v>0.2095238095238095</v>
      </c>
      <c r="S5" s="44"/>
      <c r="T5" s="215"/>
      <c r="U5" s="215"/>
    </row>
    <row r="6" spans="1:21">
      <c r="A6" s="43"/>
      <c r="B6" s="44"/>
      <c r="C6" s="43"/>
      <c r="D6" s="43"/>
      <c r="E6" s="43"/>
      <c r="F6" s="44"/>
      <c r="G6" s="43"/>
      <c r="H6" s="43"/>
      <c r="I6" s="43"/>
      <c r="J6" s="43"/>
      <c r="K6" s="43"/>
      <c r="L6" s="43"/>
      <c r="M6" s="43"/>
      <c r="N6" s="214"/>
      <c r="O6" s="214"/>
      <c r="P6" s="214"/>
      <c r="Q6" s="44"/>
      <c r="R6" s="44"/>
      <c r="S6" s="103">
        <f>R5*0.9</f>
        <v>0.18857142857142856</v>
      </c>
      <c r="T6" s="44"/>
      <c r="U6" s="105" t="s">
        <v>209</v>
      </c>
    </row>
    <row r="7" spans="1:21" ht="30">
      <c r="A7" s="217">
        <v>2</v>
      </c>
      <c r="B7" s="218" t="s">
        <v>22</v>
      </c>
      <c r="C7" s="216" t="s">
        <v>155</v>
      </c>
      <c r="D7" s="217" t="s">
        <v>156</v>
      </c>
      <c r="E7" s="214">
        <v>2009</v>
      </c>
      <c r="F7" s="215" t="s">
        <v>149</v>
      </c>
      <c r="G7" s="217" t="s">
        <v>23</v>
      </c>
      <c r="H7" s="217" t="s">
        <v>17</v>
      </c>
      <c r="I7" s="217" t="s">
        <v>24</v>
      </c>
      <c r="J7" s="217">
        <v>10</v>
      </c>
      <c r="K7" s="219" t="s">
        <v>25</v>
      </c>
      <c r="L7" s="81" t="s">
        <v>26</v>
      </c>
      <c r="M7" s="43">
        <v>5.64</v>
      </c>
      <c r="N7" s="214">
        <v>4.9000000000000004</v>
      </c>
      <c r="O7" s="214"/>
      <c r="P7" s="214"/>
      <c r="Q7" s="45">
        <f>5.64-4.9</f>
        <v>0.73999999999999932</v>
      </c>
      <c r="R7" s="45"/>
      <c r="S7" s="45"/>
      <c r="T7" s="226" t="s">
        <v>27</v>
      </c>
      <c r="U7" s="215" t="s">
        <v>30</v>
      </c>
    </row>
    <row r="8" spans="1:21" ht="30">
      <c r="A8" s="217"/>
      <c r="B8" s="218"/>
      <c r="C8" s="216"/>
      <c r="D8" s="217"/>
      <c r="E8" s="214"/>
      <c r="F8" s="215"/>
      <c r="G8" s="217"/>
      <c r="H8" s="217"/>
      <c r="I8" s="217"/>
      <c r="J8" s="217"/>
      <c r="K8" s="219"/>
      <c r="L8" s="81" t="s">
        <v>28</v>
      </c>
      <c r="M8" s="43">
        <v>5.85</v>
      </c>
      <c r="N8" s="214">
        <v>5.14</v>
      </c>
      <c r="O8" s="214"/>
      <c r="P8" s="214"/>
      <c r="Q8" s="45">
        <f>5.85-5.14</f>
        <v>0.71</v>
      </c>
      <c r="R8" s="45"/>
      <c r="S8" s="45"/>
      <c r="T8" s="227"/>
      <c r="U8" s="215"/>
    </row>
    <row r="9" spans="1:21" ht="30">
      <c r="A9" s="43"/>
      <c r="B9" s="44"/>
      <c r="C9" s="43"/>
      <c r="D9" s="43"/>
      <c r="E9" s="43"/>
      <c r="F9" s="44"/>
      <c r="G9" s="43"/>
      <c r="H9" s="43"/>
      <c r="I9" s="43"/>
      <c r="J9" s="43"/>
      <c r="K9" s="43"/>
      <c r="L9" s="127" t="s">
        <v>157</v>
      </c>
      <c r="M9" s="128">
        <v>232.48</v>
      </c>
      <c r="N9" s="235">
        <v>199.6</v>
      </c>
      <c r="O9" s="236"/>
      <c r="P9" s="237"/>
      <c r="Q9" s="129">
        <f>M9-N9</f>
        <v>32.879999999999995</v>
      </c>
      <c r="R9" s="129">
        <f>Q9/M9*100</f>
        <v>14.143152099105297</v>
      </c>
      <c r="S9" s="72"/>
      <c r="T9" s="228"/>
      <c r="U9" s="83" t="s">
        <v>158</v>
      </c>
    </row>
    <row r="10" spans="1:21">
      <c r="A10" s="43"/>
      <c r="B10" s="44"/>
      <c r="C10" s="43"/>
      <c r="D10" s="43"/>
      <c r="E10" s="43"/>
      <c r="F10" s="44"/>
      <c r="G10" s="43"/>
      <c r="H10" s="43"/>
      <c r="I10" s="43"/>
      <c r="J10" s="43"/>
      <c r="K10" s="43"/>
      <c r="L10" s="81"/>
      <c r="M10" s="43">
        <v>237.74</v>
      </c>
      <c r="N10" s="238">
        <v>206.13</v>
      </c>
      <c r="O10" s="239"/>
      <c r="P10" s="240"/>
      <c r="Q10" s="44">
        <f>M10-N10</f>
        <v>31.610000000000014</v>
      </c>
      <c r="R10" s="44">
        <f>Q10/M10*100</f>
        <v>13.296037688230847</v>
      </c>
      <c r="S10" s="72"/>
      <c r="T10" s="44"/>
      <c r="U10" s="44"/>
    </row>
    <row r="11" spans="1:21" ht="30">
      <c r="A11" s="220">
        <v>3</v>
      </c>
      <c r="B11" s="223" t="s">
        <v>160</v>
      </c>
      <c r="C11" s="226" t="s">
        <v>161</v>
      </c>
      <c r="D11" s="226" t="s">
        <v>47</v>
      </c>
      <c r="E11" s="229">
        <v>2010</v>
      </c>
      <c r="F11" s="226" t="s">
        <v>162</v>
      </c>
      <c r="G11" s="229" t="s">
        <v>163</v>
      </c>
      <c r="H11" s="226"/>
      <c r="I11" s="226" t="s">
        <v>164</v>
      </c>
      <c r="J11" s="226">
        <v>20</v>
      </c>
      <c r="K11" s="232" t="s">
        <v>25</v>
      </c>
      <c r="L11" s="81" t="s">
        <v>26</v>
      </c>
      <c r="M11" s="43">
        <v>6.48</v>
      </c>
      <c r="N11" s="214">
        <v>5.78</v>
      </c>
      <c r="O11" s="214"/>
      <c r="P11" s="214"/>
      <c r="Q11" s="45">
        <f>5.64-4.9</f>
        <v>0.73999999999999932</v>
      </c>
      <c r="R11" s="45"/>
      <c r="S11" s="45"/>
      <c r="T11" s="226" t="s">
        <v>27</v>
      </c>
      <c r="U11" s="241" t="s">
        <v>165</v>
      </c>
    </row>
    <row r="12" spans="1:21" ht="30">
      <c r="A12" s="221"/>
      <c r="B12" s="224"/>
      <c r="C12" s="227"/>
      <c r="D12" s="227"/>
      <c r="E12" s="230"/>
      <c r="F12" s="227"/>
      <c r="G12" s="230"/>
      <c r="H12" s="227"/>
      <c r="I12" s="227"/>
      <c r="J12" s="227"/>
      <c r="K12" s="233"/>
      <c r="L12" s="81" t="s">
        <v>28</v>
      </c>
      <c r="M12" s="43">
        <v>6.46</v>
      </c>
      <c r="N12" s="214">
        <v>5.55</v>
      </c>
      <c r="O12" s="214"/>
      <c r="P12" s="214"/>
      <c r="Q12" s="45"/>
      <c r="R12" s="45"/>
      <c r="S12" s="45"/>
      <c r="T12" s="227"/>
      <c r="U12" s="242"/>
    </row>
    <row r="13" spans="1:21">
      <c r="A13" s="221"/>
      <c r="B13" s="224"/>
      <c r="C13" s="227"/>
      <c r="D13" s="227"/>
      <c r="E13" s="230"/>
      <c r="F13" s="227"/>
      <c r="G13" s="230"/>
      <c r="H13" s="227"/>
      <c r="I13" s="227"/>
      <c r="J13" s="227"/>
      <c r="K13" s="233"/>
      <c r="L13" s="111" t="s">
        <v>205</v>
      </c>
      <c r="M13" s="84">
        <v>5.25</v>
      </c>
      <c r="N13" s="112">
        <v>5.93</v>
      </c>
      <c r="O13" s="113"/>
      <c r="P13" s="110"/>
      <c r="Q13" s="116">
        <f>N13-M13</f>
        <v>0.67999999999999972</v>
      </c>
      <c r="R13" s="116"/>
      <c r="S13" s="116"/>
      <c r="T13" s="227"/>
      <c r="U13" s="242"/>
    </row>
    <row r="14" spans="1:21">
      <c r="A14" s="221"/>
      <c r="B14" s="224"/>
      <c r="C14" s="227"/>
      <c r="D14" s="227"/>
      <c r="E14" s="230"/>
      <c r="F14" s="227"/>
      <c r="G14" s="230"/>
      <c r="H14" s="227"/>
      <c r="I14" s="227"/>
      <c r="J14" s="227"/>
      <c r="K14" s="233"/>
      <c r="L14" s="111" t="s">
        <v>206</v>
      </c>
      <c r="M14" s="84">
        <v>4.95</v>
      </c>
      <c r="N14" s="112">
        <v>5.5</v>
      </c>
      <c r="O14" s="113"/>
      <c r="P14" s="110"/>
      <c r="Q14" s="116">
        <f>N14-M14</f>
        <v>0.54999999999999982</v>
      </c>
      <c r="R14" s="116"/>
      <c r="S14" s="118">
        <f>0.5</f>
        <v>0.5</v>
      </c>
      <c r="T14" s="227"/>
      <c r="U14" s="242"/>
    </row>
    <row r="15" spans="1:21">
      <c r="A15" s="221"/>
      <c r="B15" s="224"/>
      <c r="C15" s="227"/>
      <c r="D15" s="227"/>
      <c r="E15" s="230"/>
      <c r="F15" s="227"/>
      <c r="G15" s="230"/>
      <c r="H15" s="227"/>
      <c r="I15" s="227"/>
      <c r="J15" s="227"/>
      <c r="K15" s="233"/>
      <c r="L15" s="111" t="s">
        <v>208</v>
      </c>
      <c r="M15" s="84">
        <v>5.98</v>
      </c>
      <c r="N15" s="112">
        <v>6.32</v>
      </c>
      <c r="O15" s="113"/>
      <c r="P15" s="110"/>
      <c r="Q15" s="116">
        <f>N15-M15</f>
        <v>0.33999999999999986</v>
      </c>
      <c r="R15" s="116"/>
      <c r="S15" s="116">
        <f>AVERAGE(Q15,Q16)</f>
        <v>0.26499999999999968</v>
      </c>
      <c r="T15" s="227"/>
      <c r="U15" s="242"/>
    </row>
    <row r="16" spans="1:21">
      <c r="A16" s="221"/>
      <c r="B16" s="224"/>
      <c r="C16" s="227"/>
      <c r="D16" s="227"/>
      <c r="E16" s="230"/>
      <c r="F16" s="227"/>
      <c r="G16" s="230"/>
      <c r="H16" s="227"/>
      <c r="I16" s="227"/>
      <c r="J16" s="227"/>
      <c r="K16" s="233"/>
      <c r="L16" s="111" t="s">
        <v>207</v>
      </c>
      <c r="M16" s="84">
        <v>4.2</v>
      </c>
      <c r="N16" s="112">
        <v>4.3899999999999997</v>
      </c>
      <c r="O16" s="113"/>
      <c r="P16" s="110"/>
      <c r="Q16" s="116">
        <f t="shared" ref="Q16" si="0">N16-M16</f>
        <v>0.1899999999999995</v>
      </c>
      <c r="R16" s="116"/>
      <c r="S16" s="116"/>
      <c r="T16" s="227"/>
      <c r="U16" s="242"/>
    </row>
    <row r="17" spans="1:21" ht="30">
      <c r="A17" s="221"/>
      <c r="B17" s="224"/>
      <c r="C17" s="227"/>
      <c r="D17" s="227"/>
      <c r="E17" s="230"/>
      <c r="F17" s="227"/>
      <c r="G17" s="230"/>
      <c r="H17" s="227"/>
      <c r="I17" s="227"/>
      <c r="J17" s="227"/>
      <c r="K17" s="233"/>
      <c r="L17" s="127" t="s">
        <v>157</v>
      </c>
      <c r="M17" s="130">
        <v>214.68</v>
      </c>
      <c r="N17" s="244">
        <v>192.19</v>
      </c>
      <c r="O17" s="245"/>
      <c r="P17" s="246"/>
      <c r="Q17" s="131"/>
      <c r="R17" s="132">
        <v>0.1048</v>
      </c>
      <c r="S17" s="85"/>
      <c r="T17" s="227"/>
      <c r="U17" s="242"/>
    </row>
    <row r="18" spans="1:21" ht="30">
      <c r="A18" s="222"/>
      <c r="B18" s="225"/>
      <c r="C18" s="228"/>
      <c r="D18" s="228"/>
      <c r="E18" s="231"/>
      <c r="F18" s="228"/>
      <c r="G18" s="231"/>
      <c r="H18" s="228"/>
      <c r="I18" s="228"/>
      <c r="J18" s="228"/>
      <c r="K18" s="234"/>
      <c r="L18" s="133" t="s">
        <v>159</v>
      </c>
      <c r="M18" s="128">
        <v>195.79</v>
      </c>
      <c r="N18" s="235">
        <v>173.54</v>
      </c>
      <c r="O18" s="236"/>
      <c r="P18" s="237"/>
      <c r="Q18" s="128"/>
      <c r="R18" s="134">
        <v>0.1137</v>
      </c>
      <c r="S18" s="43"/>
      <c r="T18" s="228"/>
      <c r="U18" s="242"/>
    </row>
    <row r="19" spans="1:21">
      <c r="A19" s="86"/>
      <c r="B19" s="87"/>
      <c r="C19" s="87"/>
      <c r="D19" s="88"/>
      <c r="E19" s="86"/>
      <c r="F19" s="87"/>
      <c r="G19" s="86"/>
      <c r="H19" s="86"/>
      <c r="I19" s="86"/>
      <c r="J19" s="86"/>
      <c r="K19" s="86"/>
      <c r="L19" s="86"/>
      <c r="M19" s="86">
        <f>+AVERAGE(M9,M17)</f>
        <v>223.57999999999998</v>
      </c>
      <c r="N19" s="86"/>
      <c r="O19" s="86"/>
      <c r="P19" s="86"/>
      <c r="Q19" s="86"/>
      <c r="R19" s="86"/>
      <c r="S19" s="86"/>
      <c r="T19" s="87"/>
      <c r="U19" s="243"/>
    </row>
    <row r="20" spans="1:21" s="89" customFormat="1">
      <c r="B20" s="90"/>
      <c r="C20" s="90"/>
      <c r="D20" s="91"/>
      <c r="F20" s="90"/>
      <c r="T20" s="90"/>
      <c r="U20" s="41"/>
    </row>
    <row r="21" spans="1:21" s="89" customFormat="1">
      <c r="B21" s="90"/>
      <c r="C21" s="90"/>
      <c r="D21" s="91"/>
      <c r="F21" s="90"/>
      <c r="T21" s="90"/>
      <c r="U21" s="41"/>
    </row>
    <row r="22" spans="1:21" ht="29.25" customHeight="1">
      <c r="A22" s="92"/>
      <c r="B22" s="93" t="s">
        <v>124</v>
      </c>
      <c r="C22" s="92" t="s">
        <v>123</v>
      </c>
      <c r="D22" s="94" t="s">
        <v>128</v>
      </c>
      <c r="G22" s="97" t="s">
        <v>166</v>
      </c>
      <c r="H22" s="97"/>
    </row>
    <row r="23" spans="1:21" ht="25.5" customHeight="1">
      <c r="B23" s="126" t="s">
        <v>125</v>
      </c>
      <c r="C23" s="99">
        <v>0.2</v>
      </c>
      <c r="D23" s="100">
        <v>28</v>
      </c>
      <c r="G23" s="248" t="s">
        <v>167</v>
      </c>
      <c r="H23" s="248"/>
      <c r="I23" s="248"/>
      <c r="J23" s="248"/>
      <c r="K23" s="248"/>
      <c r="L23" s="248"/>
      <c r="M23" s="248"/>
      <c r="N23" s="248"/>
      <c r="O23" s="248"/>
      <c r="P23" s="248"/>
      <c r="Q23" s="248"/>
      <c r="R23" s="248"/>
      <c r="S23" s="248"/>
      <c r="T23" s="248"/>
      <c r="U23" s="40"/>
    </row>
    <row r="24" spans="1:21" ht="37.5" customHeight="1">
      <c r="B24" s="126" t="s">
        <v>126</v>
      </c>
      <c r="C24" s="99">
        <v>0.5</v>
      </c>
      <c r="D24" s="101">
        <f>195.79*365/1000</f>
        <v>71.463349999999991</v>
      </c>
      <c r="E24" s="40" t="s">
        <v>173</v>
      </c>
      <c r="G24" s="248" t="s">
        <v>168</v>
      </c>
      <c r="H24" s="248"/>
      <c r="I24" s="248"/>
      <c r="J24" s="248"/>
      <c r="K24" s="248"/>
      <c r="L24" s="248"/>
      <c r="M24" s="248"/>
      <c r="N24" s="248"/>
      <c r="O24" s="248"/>
      <c r="P24" s="248"/>
      <c r="Q24" s="248"/>
      <c r="R24" s="248"/>
      <c r="S24" s="248"/>
      <c r="T24" s="40"/>
      <c r="U24" s="40"/>
    </row>
    <row r="25" spans="1:21" ht="54" customHeight="1">
      <c r="B25" s="126" t="s">
        <v>127</v>
      </c>
      <c r="C25" s="99">
        <v>0.3</v>
      </c>
      <c r="D25" s="101">
        <f>223.58*365/1000</f>
        <v>81.606700000000018</v>
      </c>
      <c r="E25" s="40" t="s">
        <v>174</v>
      </c>
      <c r="G25" s="248" t="s">
        <v>169</v>
      </c>
      <c r="H25" s="248"/>
      <c r="I25" s="248"/>
      <c r="J25" s="248"/>
      <c r="K25" s="248"/>
      <c r="L25" s="248"/>
      <c r="M25" s="248"/>
      <c r="N25" s="248"/>
      <c r="O25" s="248"/>
      <c r="P25" s="248"/>
      <c r="Q25" s="248"/>
      <c r="R25" s="248"/>
      <c r="S25" s="248"/>
      <c r="T25" s="40"/>
      <c r="U25" s="40"/>
    </row>
    <row r="26" spans="1:21" ht="15" customHeight="1">
      <c r="E26" s="95"/>
      <c r="F26" s="95"/>
    </row>
    <row r="27" spans="1:21" ht="15" customHeight="1">
      <c r="B27" s="42" t="s">
        <v>247</v>
      </c>
      <c r="C27" s="40" t="s">
        <v>246</v>
      </c>
      <c r="D27" s="98">
        <f>(D23*C23)+(D24*C24)+(D25*C25)</f>
        <v>65.813685000000007</v>
      </c>
      <c r="E27" s="95">
        <f>+D27*C32</f>
        <v>1645.3421250000001</v>
      </c>
      <c r="F27" s="95"/>
      <c r="T27" s="40"/>
      <c r="U27" s="40"/>
    </row>
    <row r="29" spans="1:21" ht="15" customHeight="1">
      <c r="B29" s="74"/>
      <c r="F29" s="40"/>
      <c r="T29" s="40"/>
      <c r="U29" s="40"/>
    </row>
    <row r="30" spans="1:21" ht="35.25" customHeight="1">
      <c r="B30" s="75" t="s">
        <v>129</v>
      </c>
      <c r="C30" s="99">
        <v>0.1</v>
      </c>
      <c r="D30" s="98">
        <f>D27*C30</f>
        <v>6.5813685000000008</v>
      </c>
      <c r="E30" s="247" t="s">
        <v>170</v>
      </c>
      <c r="F30" s="247"/>
      <c r="T30" s="40"/>
      <c r="U30" s="40"/>
    </row>
    <row r="32" spans="1:21" ht="42.75" customHeight="1" thickBot="1">
      <c r="B32" s="42" t="s">
        <v>248</v>
      </c>
      <c r="C32" s="102">
        <v>25</v>
      </c>
      <c r="D32" s="96">
        <f>D30*C32</f>
        <v>164.53421250000002</v>
      </c>
      <c r="E32" s="42" t="s">
        <v>171</v>
      </c>
      <c r="T32" s="40"/>
      <c r="U32" s="40"/>
    </row>
    <row r="33" spans="2:21" ht="33.75" customHeight="1" thickBot="1">
      <c r="B33" s="73" t="s">
        <v>130</v>
      </c>
      <c r="C33" s="40" t="s">
        <v>131</v>
      </c>
      <c r="D33" s="165">
        <f>D32/1000</f>
        <v>0.16453421250000003</v>
      </c>
      <c r="F33" s="40"/>
      <c r="T33" s="40"/>
      <c r="U33" s="40"/>
    </row>
    <row r="34" spans="2:21" ht="61.5" customHeight="1">
      <c r="B34" s="75" t="s">
        <v>175</v>
      </c>
      <c r="C34" s="102">
        <v>740</v>
      </c>
      <c r="D34" s="164">
        <f>D33*C34</f>
        <v>121.75531725000002</v>
      </c>
      <c r="E34" s="247" t="s">
        <v>172</v>
      </c>
      <c r="F34" s="247"/>
      <c r="T34" s="40"/>
      <c r="U34" s="40"/>
    </row>
    <row r="38" spans="2:21" ht="15" customHeight="1">
      <c r="D38" s="40">
        <f>+D33*'Feed and Fodder (F) Zone.1'!S6/1000000</f>
        <v>0.4474014306300001</v>
      </c>
    </row>
    <row r="40" spans="2:21" ht="15" customHeight="1">
      <c r="H40" s="40">
        <f>F40*G40</f>
        <v>0</v>
      </c>
    </row>
    <row r="41" spans="2:21" ht="15" customHeight="1">
      <c r="H41" s="40">
        <f>F41*G41</f>
        <v>0</v>
      </c>
    </row>
  </sheetData>
  <mergeCells count="57">
    <mergeCell ref="E30:F30"/>
    <mergeCell ref="E34:F34"/>
    <mergeCell ref="G23:T23"/>
    <mergeCell ref="G24:S24"/>
    <mergeCell ref="G25:S25"/>
    <mergeCell ref="N11:P11"/>
    <mergeCell ref="T11:T18"/>
    <mergeCell ref="U11:U19"/>
    <mergeCell ref="N12:P12"/>
    <mergeCell ref="N17:P17"/>
    <mergeCell ref="N18:P18"/>
    <mergeCell ref="T7:T9"/>
    <mergeCell ref="U7:U8"/>
    <mergeCell ref="N8:P8"/>
    <mergeCell ref="N9:P9"/>
    <mergeCell ref="N10:P10"/>
    <mergeCell ref="N7:P7"/>
    <mergeCell ref="I7:I8"/>
    <mergeCell ref="J7:J8"/>
    <mergeCell ref="K7:K8"/>
    <mergeCell ref="A11:A18"/>
    <mergeCell ref="B11:B18"/>
    <mergeCell ref="C11:C18"/>
    <mergeCell ref="D11:D18"/>
    <mergeCell ref="E11:E18"/>
    <mergeCell ref="K11:K18"/>
    <mergeCell ref="F11:F18"/>
    <mergeCell ref="G11:G18"/>
    <mergeCell ref="H11:H18"/>
    <mergeCell ref="I11:I18"/>
    <mergeCell ref="J11:J18"/>
    <mergeCell ref="U3:U5"/>
    <mergeCell ref="N5:P5"/>
    <mergeCell ref="N6:P6"/>
    <mergeCell ref="A7:A8"/>
    <mergeCell ref="B7:B8"/>
    <mergeCell ref="C7:C8"/>
    <mergeCell ref="D7:D8"/>
    <mergeCell ref="E7:E8"/>
    <mergeCell ref="F7:F8"/>
    <mergeCell ref="H3:H5"/>
    <mergeCell ref="I3:I5"/>
    <mergeCell ref="J3:J5"/>
    <mergeCell ref="K3:K5"/>
    <mergeCell ref="T3:T5"/>
    <mergeCell ref="G7:G8"/>
    <mergeCell ref="H7:H8"/>
    <mergeCell ref="N1:P1"/>
    <mergeCell ref="Q1:S1"/>
    <mergeCell ref="N2:P2"/>
    <mergeCell ref="A3:A5"/>
    <mergeCell ref="B3:B5"/>
    <mergeCell ref="C3:C5"/>
    <mergeCell ref="D3:D5"/>
    <mergeCell ref="E3:E5"/>
    <mergeCell ref="F3:F5"/>
    <mergeCell ref="G3:G5"/>
  </mergeCells>
  <pageMargins left="0.17" right="0.19" top="0.7" bottom="0.48" header="0.39" footer="0.3"/>
  <pageSetup scale="60" pageOrder="overThenDown" orientation="landscape" r:id="rId1"/>
  <colBreaks count="1" manualBreakCount="1">
    <brk id="11" max="46" man="1"/>
  </colBreaks>
</worksheet>
</file>

<file path=xl/worksheets/sheet4.xml><?xml version="1.0" encoding="utf-8"?>
<worksheet xmlns="http://schemas.openxmlformats.org/spreadsheetml/2006/main" xmlns:r="http://schemas.openxmlformats.org/officeDocument/2006/relationships">
  <sheetPr>
    <tabColor rgb="FF00FFFF"/>
  </sheetPr>
  <dimension ref="A1:AF94"/>
  <sheetViews>
    <sheetView tabSelected="1" workbookViewId="0">
      <pane xSplit="2" ySplit="4" topLeftCell="C71" activePane="bottomRight" state="frozen"/>
      <selection pane="topRight" activeCell="C1" sqref="C1"/>
      <selection pane="bottomLeft" activeCell="A5" sqref="A5"/>
      <selection pane="bottomRight" activeCell="B93" sqref="B93"/>
    </sheetView>
  </sheetViews>
  <sheetFormatPr defaultRowHeight="12.75"/>
  <cols>
    <col min="1" max="1" width="2.7109375" style="12" customWidth="1"/>
    <col min="2" max="2" width="68.85546875" style="12" customWidth="1"/>
    <col min="3" max="4" width="13.7109375" style="12" customWidth="1"/>
    <col min="5" max="5" width="13" style="12" customWidth="1"/>
    <col min="6" max="6" width="10.140625" style="12" bestFit="1" customWidth="1"/>
    <col min="7" max="7" width="10" style="12" bestFit="1" customWidth="1"/>
    <col min="8" max="8" width="10.7109375" style="12" customWidth="1"/>
    <col min="9" max="19" width="10" style="12" bestFit="1" customWidth="1"/>
    <col min="20" max="29" width="10.5703125" style="12" bestFit="1" customWidth="1"/>
    <col min="30" max="257" width="9.140625" style="12"/>
    <col min="258" max="258" width="2.7109375" style="12" customWidth="1"/>
    <col min="259" max="259" width="63.85546875" style="12" customWidth="1"/>
    <col min="260" max="260" width="8.42578125" style="12" customWidth="1"/>
    <col min="261" max="261" width="7.85546875" style="12" customWidth="1"/>
    <col min="262" max="262" width="10" style="12" bestFit="1" customWidth="1"/>
    <col min="263" max="513" width="9.140625" style="12"/>
    <col min="514" max="514" width="2.7109375" style="12" customWidth="1"/>
    <col min="515" max="515" width="63.85546875" style="12" customWidth="1"/>
    <col min="516" max="516" width="8.42578125" style="12" customWidth="1"/>
    <col min="517" max="517" width="7.85546875" style="12" customWidth="1"/>
    <col min="518" max="518" width="10" style="12" bestFit="1" customWidth="1"/>
    <col min="519" max="769" width="9.140625" style="12"/>
    <col min="770" max="770" width="2.7109375" style="12" customWidth="1"/>
    <col min="771" max="771" width="63.85546875" style="12" customWidth="1"/>
    <col min="772" max="772" width="8.42578125" style="12" customWidth="1"/>
    <col min="773" max="773" width="7.85546875" style="12" customWidth="1"/>
    <col min="774" max="774" width="10" style="12" bestFit="1" customWidth="1"/>
    <col min="775" max="1025" width="9.140625" style="12"/>
    <col min="1026" max="1026" width="2.7109375" style="12" customWidth="1"/>
    <col min="1027" max="1027" width="63.85546875" style="12" customWidth="1"/>
    <col min="1028" max="1028" width="8.42578125" style="12" customWidth="1"/>
    <col min="1029" max="1029" width="7.85546875" style="12" customWidth="1"/>
    <col min="1030" max="1030" width="10" style="12" bestFit="1" customWidth="1"/>
    <col min="1031" max="1281" width="9.140625" style="12"/>
    <col min="1282" max="1282" width="2.7109375" style="12" customWidth="1"/>
    <col min="1283" max="1283" width="63.85546875" style="12" customWidth="1"/>
    <col min="1284" max="1284" width="8.42578125" style="12" customWidth="1"/>
    <col min="1285" max="1285" width="7.85546875" style="12" customWidth="1"/>
    <col min="1286" max="1286" width="10" style="12" bestFit="1" customWidth="1"/>
    <col min="1287" max="1537" width="9.140625" style="12"/>
    <col min="1538" max="1538" width="2.7109375" style="12" customWidth="1"/>
    <col min="1539" max="1539" width="63.85546875" style="12" customWidth="1"/>
    <col min="1540" max="1540" width="8.42578125" style="12" customWidth="1"/>
    <col min="1541" max="1541" width="7.85546875" style="12" customWidth="1"/>
    <col min="1542" max="1542" width="10" style="12" bestFit="1" customWidth="1"/>
    <col min="1543" max="1793" width="9.140625" style="12"/>
    <col min="1794" max="1794" width="2.7109375" style="12" customWidth="1"/>
    <col min="1795" max="1795" width="63.85546875" style="12" customWidth="1"/>
    <col min="1796" max="1796" width="8.42578125" style="12" customWidth="1"/>
    <col min="1797" max="1797" width="7.85546875" style="12" customWidth="1"/>
    <col min="1798" max="1798" width="10" style="12" bestFit="1" customWidth="1"/>
    <col min="1799" max="2049" width="9.140625" style="12"/>
    <col min="2050" max="2050" width="2.7109375" style="12" customWidth="1"/>
    <col min="2051" max="2051" width="63.85546875" style="12" customWidth="1"/>
    <col min="2052" max="2052" width="8.42578125" style="12" customWidth="1"/>
    <col min="2053" max="2053" width="7.85546875" style="12" customWidth="1"/>
    <col min="2054" max="2054" width="10" style="12" bestFit="1" customWidth="1"/>
    <col min="2055" max="2305" width="9.140625" style="12"/>
    <col min="2306" max="2306" width="2.7109375" style="12" customWidth="1"/>
    <col min="2307" max="2307" width="63.85546875" style="12" customWidth="1"/>
    <col min="2308" max="2308" width="8.42578125" style="12" customWidth="1"/>
    <col min="2309" max="2309" width="7.85546875" style="12" customWidth="1"/>
    <col min="2310" max="2310" width="10" style="12" bestFit="1" customWidth="1"/>
    <col min="2311" max="2561" width="9.140625" style="12"/>
    <col min="2562" max="2562" width="2.7109375" style="12" customWidth="1"/>
    <col min="2563" max="2563" width="63.85546875" style="12" customWidth="1"/>
    <col min="2564" max="2564" width="8.42578125" style="12" customWidth="1"/>
    <col min="2565" max="2565" width="7.85546875" style="12" customWidth="1"/>
    <col min="2566" max="2566" width="10" style="12" bestFit="1" customWidth="1"/>
    <col min="2567" max="2817" width="9.140625" style="12"/>
    <col min="2818" max="2818" width="2.7109375" style="12" customWidth="1"/>
    <col min="2819" max="2819" width="63.85546875" style="12" customWidth="1"/>
    <col min="2820" max="2820" width="8.42578125" style="12" customWidth="1"/>
    <col min="2821" max="2821" width="7.85546875" style="12" customWidth="1"/>
    <col min="2822" max="2822" width="10" style="12" bestFit="1" customWidth="1"/>
    <col min="2823" max="3073" width="9.140625" style="12"/>
    <col min="3074" max="3074" width="2.7109375" style="12" customWidth="1"/>
    <col min="3075" max="3075" width="63.85546875" style="12" customWidth="1"/>
    <col min="3076" max="3076" width="8.42578125" style="12" customWidth="1"/>
    <col min="3077" max="3077" width="7.85546875" style="12" customWidth="1"/>
    <col min="3078" max="3078" width="10" style="12" bestFit="1" customWidth="1"/>
    <col min="3079" max="3329" width="9.140625" style="12"/>
    <col min="3330" max="3330" width="2.7109375" style="12" customWidth="1"/>
    <col min="3331" max="3331" width="63.85546875" style="12" customWidth="1"/>
    <col min="3332" max="3332" width="8.42578125" style="12" customWidth="1"/>
    <col min="3333" max="3333" width="7.85546875" style="12" customWidth="1"/>
    <col min="3334" max="3334" width="10" style="12" bestFit="1" customWidth="1"/>
    <col min="3335" max="3585" width="9.140625" style="12"/>
    <col min="3586" max="3586" width="2.7109375" style="12" customWidth="1"/>
    <col min="3587" max="3587" width="63.85546875" style="12" customWidth="1"/>
    <col min="3588" max="3588" width="8.42578125" style="12" customWidth="1"/>
    <col min="3589" max="3589" width="7.85546875" style="12" customWidth="1"/>
    <col min="3590" max="3590" width="10" style="12" bestFit="1" customWidth="1"/>
    <col min="3591" max="3841" width="9.140625" style="12"/>
    <col min="3842" max="3842" width="2.7109375" style="12" customWidth="1"/>
    <col min="3843" max="3843" width="63.85546875" style="12" customWidth="1"/>
    <col min="3844" max="3844" width="8.42578125" style="12" customWidth="1"/>
    <col min="3845" max="3845" width="7.85546875" style="12" customWidth="1"/>
    <col min="3846" max="3846" width="10" style="12" bestFit="1" customWidth="1"/>
    <col min="3847" max="4097" width="9.140625" style="12"/>
    <col min="4098" max="4098" width="2.7109375" style="12" customWidth="1"/>
    <col min="4099" max="4099" width="63.85546875" style="12" customWidth="1"/>
    <col min="4100" max="4100" width="8.42578125" style="12" customWidth="1"/>
    <col min="4101" max="4101" width="7.85546875" style="12" customWidth="1"/>
    <col min="4102" max="4102" width="10" style="12" bestFit="1" customWidth="1"/>
    <col min="4103" max="4353" width="9.140625" style="12"/>
    <col min="4354" max="4354" width="2.7109375" style="12" customWidth="1"/>
    <col min="4355" max="4355" width="63.85546875" style="12" customWidth="1"/>
    <col min="4356" max="4356" width="8.42578125" style="12" customWidth="1"/>
    <col min="4357" max="4357" width="7.85546875" style="12" customWidth="1"/>
    <col min="4358" max="4358" width="10" style="12" bestFit="1" customWidth="1"/>
    <col min="4359" max="4609" width="9.140625" style="12"/>
    <col min="4610" max="4610" width="2.7109375" style="12" customWidth="1"/>
    <col min="4611" max="4611" width="63.85546875" style="12" customWidth="1"/>
    <col min="4612" max="4612" width="8.42578125" style="12" customWidth="1"/>
    <col min="4613" max="4613" width="7.85546875" style="12" customWidth="1"/>
    <col min="4614" max="4614" width="10" style="12" bestFit="1" customWidth="1"/>
    <col min="4615" max="4865" width="9.140625" style="12"/>
    <col min="4866" max="4866" width="2.7109375" style="12" customWidth="1"/>
    <col min="4867" max="4867" width="63.85546875" style="12" customWidth="1"/>
    <col min="4868" max="4868" width="8.42578125" style="12" customWidth="1"/>
    <col min="4869" max="4869" width="7.85546875" style="12" customWidth="1"/>
    <col min="4870" max="4870" width="10" style="12" bestFit="1" customWidth="1"/>
    <col min="4871" max="5121" width="9.140625" style="12"/>
    <col min="5122" max="5122" width="2.7109375" style="12" customWidth="1"/>
    <col min="5123" max="5123" width="63.85546875" style="12" customWidth="1"/>
    <col min="5124" max="5124" width="8.42578125" style="12" customWidth="1"/>
    <col min="5125" max="5125" width="7.85546875" style="12" customWidth="1"/>
    <col min="5126" max="5126" width="10" style="12" bestFit="1" customWidth="1"/>
    <col min="5127" max="5377" width="9.140625" style="12"/>
    <col min="5378" max="5378" width="2.7109375" style="12" customWidth="1"/>
    <col min="5379" max="5379" width="63.85546875" style="12" customWidth="1"/>
    <col min="5380" max="5380" width="8.42578125" style="12" customWidth="1"/>
    <col min="5381" max="5381" width="7.85546875" style="12" customWidth="1"/>
    <col min="5382" max="5382" width="10" style="12" bestFit="1" customWidth="1"/>
    <col min="5383" max="5633" width="9.140625" style="12"/>
    <col min="5634" max="5634" width="2.7109375" style="12" customWidth="1"/>
    <col min="5635" max="5635" width="63.85546875" style="12" customWidth="1"/>
    <col min="5636" max="5636" width="8.42578125" style="12" customWidth="1"/>
    <col min="5637" max="5637" width="7.85546875" style="12" customWidth="1"/>
    <col min="5638" max="5638" width="10" style="12" bestFit="1" customWidth="1"/>
    <col min="5639" max="5889" width="9.140625" style="12"/>
    <col min="5890" max="5890" width="2.7109375" style="12" customWidth="1"/>
    <col min="5891" max="5891" width="63.85546875" style="12" customWidth="1"/>
    <col min="5892" max="5892" width="8.42578125" style="12" customWidth="1"/>
    <col min="5893" max="5893" width="7.85546875" style="12" customWidth="1"/>
    <col min="5894" max="5894" width="10" style="12" bestFit="1" customWidth="1"/>
    <col min="5895" max="6145" width="9.140625" style="12"/>
    <col min="6146" max="6146" width="2.7109375" style="12" customWidth="1"/>
    <col min="6147" max="6147" width="63.85546875" style="12" customWidth="1"/>
    <col min="6148" max="6148" width="8.42578125" style="12" customWidth="1"/>
    <col min="6149" max="6149" width="7.85546875" style="12" customWidth="1"/>
    <col min="6150" max="6150" width="10" style="12" bestFit="1" customWidth="1"/>
    <col min="6151" max="6401" width="9.140625" style="12"/>
    <col min="6402" max="6402" width="2.7109375" style="12" customWidth="1"/>
    <col min="6403" max="6403" width="63.85546875" style="12" customWidth="1"/>
    <col min="6404" max="6404" width="8.42578125" style="12" customWidth="1"/>
    <col min="6405" max="6405" width="7.85546875" style="12" customWidth="1"/>
    <col min="6406" max="6406" width="10" style="12" bestFit="1" customWidth="1"/>
    <col min="6407" max="6657" width="9.140625" style="12"/>
    <col min="6658" max="6658" width="2.7109375" style="12" customWidth="1"/>
    <col min="6659" max="6659" width="63.85546875" style="12" customWidth="1"/>
    <col min="6660" max="6660" width="8.42578125" style="12" customWidth="1"/>
    <col min="6661" max="6661" width="7.85546875" style="12" customWidth="1"/>
    <col min="6662" max="6662" width="10" style="12" bestFit="1" customWidth="1"/>
    <col min="6663" max="6913" width="9.140625" style="12"/>
    <col min="6914" max="6914" width="2.7109375" style="12" customWidth="1"/>
    <col min="6915" max="6915" width="63.85546875" style="12" customWidth="1"/>
    <col min="6916" max="6916" width="8.42578125" style="12" customWidth="1"/>
    <col min="6917" max="6917" width="7.85546875" style="12" customWidth="1"/>
    <col min="6918" max="6918" width="10" style="12" bestFit="1" customWidth="1"/>
    <col min="6919" max="7169" width="9.140625" style="12"/>
    <col min="7170" max="7170" width="2.7109375" style="12" customWidth="1"/>
    <col min="7171" max="7171" width="63.85546875" style="12" customWidth="1"/>
    <col min="7172" max="7172" width="8.42578125" style="12" customWidth="1"/>
    <col min="7173" max="7173" width="7.85546875" style="12" customWidth="1"/>
    <col min="7174" max="7174" width="10" style="12" bestFit="1" customWidth="1"/>
    <col min="7175" max="7425" width="9.140625" style="12"/>
    <col min="7426" max="7426" width="2.7109375" style="12" customWidth="1"/>
    <col min="7427" max="7427" width="63.85546875" style="12" customWidth="1"/>
    <col min="7428" max="7428" width="8.42578125" style="12" customWidth="1"/>
    <col min="7429" max="7429" width="7.85546875" style="12" customWidth="1"/>
    <col min="7430" max="7430" width="10" style="12" bestFit="1" customWidth="1"/>
    <col min="7431" max="7681" width="9.140625" style="12"/>
    <col min="7682" max="7682" width="2.7109375" style="12" customWidth="1"/>
    <col min="7683" max="7683" width="63.85546875" style="12" customWidth="1"/>
    <col min="7684" max="7684" width="8.42578125" style="12" customWidth="1"/>
    <col min="7685" max="7685" width="7.85546875" style="12" customWidth="1"/>
    <col min="7686" max="7686" width="10" style="12" bestFit="1" customWidth="1"/>
    <col min="7687" max="7937" width="9.140625" style="12"/>
    <col min="7938" max="7938" width="2.7109375" style="12" customWidth="1"/>
    <col min="7939" max="7939" width="63.85546875" style="12" customWidth="1"/>
    <col min="7940" max="7940" width="8.42578125" style="12" customWidth="1"/>
    <col min="7941" max="7941" width="7.85546875" style="12" customWidth="1"/>
    <col min="7942" max="7942" width="10" style="12" bestFit="1" customWidth="1"/>
    <col min="7943" max="8193" width="9.140625" style="12"/>
    <col min="8194" max="8194" width="2.7109375" style="12" customWidth="1"/>
    <col min="8195" max="8195" width="63.85546875" style="12" customWidth="1"/>
    <col min="8196" max="8196" width="8.42578125" style="12" customWidth="1"/>
    <col min="8197" max="8197" width="7.85546875" style="12" customWidth="1"/>
    <col min="8198" max="8198" width="10" style="12" bestFit="1" customWidth="1"/>
    <col min="8199" max="8449" width="9.140625" style="12"/>
    <col min="8450" max="8450" width="2.7109375" style="12" customWidth="1"/>
    <col min="8451" max="8451" width="63.85546875" style="12" customWidth="1"/>
    <col min="8452" max="8452" width="8.42578125" style="12" customWidth="1"/>
    <col min="8453" max="8453" width="7.85546875" style="12" customWidth="1"/>
    <col min="8454" max="8454" width="10" style="12" bestFit="1" customWidth="1"/>
    <col min="8455" max="8705" width="9.140625" style="12"/>
    <col min="8706" max="8706" width="2.7109375" style="12" customWidth="1"/>
    <col min="8707" max="8707" width="63.85546875" style="12" customWidth="1"/>
    <col min="8708" max="8708" width="8.42578125" style="12" customWidth="1"/>
    <col min="8709" max="8709" width="7.85546875" style="12" customWidth="1"/>
    <col min="8710" max="8710" width="10" style="12" bestFit="1" customWidth="1"/>
    <col min="8711" max="8961" width="9.140625" style="12"/>
    <col min="8962" max="8962" width="2.7109375" style="12" customWidth="1"/>
    <col min="8963" max="8963" width="63.85546875" style="12" customWidth="1"/>
    <col min="8964" max="8964" width="8.42578125" style="12" customWidth="1"/>
    <col min="8965" max="8965" width="7.85546875" style="12" customWidth="1"/>
    <col min="8966" max="8966" width="10" style="12" bestFit="1" customWidth="1"/>
    <col min="8967" max="9217" width="9.140625" style="12"/>
    <col min="9218" max="9218" width="2.7109375" style="12" customWidth="1"/>
    <col min="9219" max="9219" width="63.85546875" style="12" customWidth="1"/>
    <col min="9220" max="9220" width="8.42578125" style="12" customWidth="1"/>
    <col min="9221" max="9221" width="7.85546875" style="12" customWidth="1"/>
    <col min="9222" max="9222" width="10" style="12" bestFit="1" customWidth="1"/>
    <col min="9223" max="9473" width="9.140625" style="12"/>
    <col min="9474" max="9474" width="2.7109375" style="12" customWidth="1"/>
    <col min="9475" max="9475" width="63.85546875" style="12" customWidth="1"/>
    <col min="9476" max="9476" width="8.42578125" style="12" customWidth="1"/>
    <col min="9477" max="9477" width="7.85546875" style="12" customWidth="1"/>
    <col min="9478" max="9478" width="10" style="12" bestFit="1" customWidth="1"/>
    <col min="9479" max="9729" width="9.140625" style="12"/>
    <col min="9730" max="9730" width="2.7109375" style="12" customWidth="1"/>
    <col min="9731" max="9731" width="63.85546875" style="12" customWidth="1"/>
    <col min="9732" max="9732" width="8.42578125" style="12" customWidth="1"/>
    <col min="9733" max="9733" width="7.85546875" style="12" customWidth="1"/>
    <col min="9734" max="9734" width="10" style="12" bestFit="1" customWidth="1"/>
    <col min="9735" max="9985" width="9.140625" style="12"/>
    <col min="9986" max="9986" width="2.7109375" style="12" customWidth="1"/>
    <col min="9987" max="9987" width="63.85546875" style="12" customWidth="1"/>
    <col min="9988" max="9988" width="8.42578125" style="12" customWidth="1"/>
    <col min="9989" max="9989" width="7.85546875" style="12" customWidth="1"/>
    <col min="9990" max="9990" width="10" style="12" bestFit="1" customWidth="1"/>
    <col min="9991" max="10241" width="9.140625" style="12"/>
    <col min="10242" max="10242" width="2.7109375" style="12" customWidth="1"/>
    <col min="10243" max="10243" width="63.85546875" style="12" customWidth="1"/>
    <col min="10244" max="10244" width="8.42578125" style="12" customWidth="1"/>
    <col min="10245" max="10245" width="7.85546875" style="12" customWidth="1"/>
    <col min="10246" max="10246" width="10" style="12" bestFit="1" customWidth="1"/>
    <col min="10247" max="10497" width="9.140625" style="12"/>
    <col min="10498" max="10498" width="2.7109375" style="12" customWidth="1"/>
    <col min="10499" max="10499" width="63.85546875" style="12" customWidth="1"/>
    <col min="10500" max="10500" width="8.42578125" style="12" customWidth="1"/>
    <col min="10501" max="10501" width="7.85546875" style="12" customWidth="1"/>
    <col min="10502" max="10502" width="10" style="12" bestFit="1" customWidth="1"/>
    <col min="10503" max="10753" width="9.140625" style="12"/>
    <col min="10754" max="10754" width="2.7109375" style="12" customWidth="1"/>
    <col min="10755" max="10755" width="63.85546875" style="12" customWidth="1"/>
    <col min="10756" max="10756" width="8.42578125" style="12" customWidth="1"/>
    <col min="10757" max="10757" width="7.85546875" style="12" customWidth="1"/>
    <col min="10758" max="10758" width="10" style="12" bestFit="1" customWidth="1"/>
    <col min="10759" max="11009" width="9.140625" style="12"/>
    <col min="11010" max="11010" width="2.7109375" style="12" customWidth="1"/>
    <col min="11011" max="11011" width="63.85546875" style="12" customWidth="1"/>
    <col min="11012" max="11012" width="8.42578125" style="12" customWidth="1"/>
    <col min="11013" max="11013" width="7.85546875" style="12" customWidth="1"/>
    <col min="11014" max="11014" width="10" style="12" bestFit="1" customWidth="1"/>
    <col min="11015" max="11265" width="9.140625" style="12"/>
    <col min="11266" max="11266" width="2.7109375" style="12" customWidth="1"/>
    <col min="11267" max="11267" width="63.85546875" style="12" customWidth="1"/>
    <col min="11268" max="11268" width="8.42578125" style="12" customWidth="1"/>
    <col min="11269" max="11269" width="7.85546875" style="12" customWidth="1"/>
    <col min="11270" max="11270" width="10" style="12" bestFit="1" customWidth="1"/>
    <col min="11271" max="11521" width="9.140625" style="12"/>
    <col min="11522" max="11522" width="2.7109375" style="12" customWidth="1"/>
    <col min="11523" max="11523" width="63.85546875" style="12" customWidth="1"/>
    <col min="11524" max="11524" width="8.42578125" style="12" customWidth="1"/>
    <col min="11525" max="11525" width="7.85546875" style="12" customWidth="1"/>
    <col min="11526" max="11526" width="10" style="12" bestFit="1" customWidth="1"/>
    <col min="11527" max="11777" width="9.140625" style="12"/>
    <col min="11778" max="11778" width="2.7109375" style="12" customWidth="1"/>
    <col min="11779" max="11779" width="63.85546875" style="12" customWidth="1"/>
    <col min="11780" max="11780" width="8.42578125" style="12" customWidth="1"/>
    <col min="11781" max="11781" width="7.85546875" style="12" customWidth="1"/>
    <col min="11782" max="11782" width="10" style="12" bestFit="1" customWidth="1"/>
    <col min="11783" max="12033" width="9.140625" style="12"/>
    <col min="12034" max="12034" width="2.7109375" style="12" customWidth="1"/>
    <col min="12035" max="12035" width="63.85546875" style="12" customWidth="1"/>
    <col min="12036" max="12036" width="8.42578125" style="12" customWidth="1"/>
    <col min="12037" max="12037" width="7.85546875" style="12" customWidth="1"/>
    <col min="12038" max="12038" width="10" style="12" bestFit="1" customWidth="1"/>
    <col min="12039" max="12289" width="9.140625" style="12"/>
    <col min="12290" max="12290" width="2.7109375" style="12" customWidth="1"/>
    <col min="12291" max="12291" width="63.85546875" style="12" customWidth="1"/>
    <col min="12292" max="12292" width="8.42578125" style="12" customWidth="1"/>
    <col min="12293" max="12293" width="7.85546875" style="12" customWidth="1"/>
    <col min="12294" max="12294" width="10" style="12" bestFit="1" customWidth="1"/>
    <col min="12295" max="12545" width="9.140625" style="12"/>
    <col min="12546" max="12546" width="2.7109375" style="12" customWidth="1"/>
    <col min="12547" max="12547" width="63.85546875" style="12" customWidth="1"/>
    <col min="12548" max="12548" width="8.42578125" style="12" customWidth="1"/>
    <col min="12549" max="12549" width="7.85546875" style="12" customWidth="1"/>
    <col min="12550" max="12550" width="10" style="12" bestFit="1" customWidth="1"/>
    <col min="12551" max="12801" width="9.140625" style="12"/>
    <col min="12802" max="12802" width="2.7109375" style="12" customWidth="1"/>
    <col min="12803" max="12803" width="63.85546875" style="12" customWidth="1"/>
    <col min="12804" max="12804" width="8.42578125" style="12" customWidth="1"/>
    <col min="12805" max="12805" width="7.85546875" style="12" customWidth="1"/>
    <col min="12806" max="12806" width="10" style="12" bestFit="1" customWidth="1"/>
    <col min="12807" max="13057" width="9.140625" style="12"/>
    <col min="13058" max="13058" width="2.7109375" style="12" customWidth="1"/>
    <col min="13059" max="13059" width="63.85546875" style="12" customWidth="1"/>
    <col min="13060" max="13060" width="8.42578125" style="12" customWidth="1"/>
    <col min="13061" max="13061" width="7.85546875" style="12" customWidth="1"/>
    <col min="13062" max="13062" width="10" style="12" bestFit="1" customWidth="1"/>
    <col min="13063" max="13313" width="9.140625" style="12"/>
    <col min="13314" max="13314" width="2.7109375" style="12" customWidth="1"/>
    <col min="13315" max="13315" width="63.85546875" style="12" customWidth="1"/>
    <col min="13316" max="13316" width="8.42578125" style="12" customWidth="1"/>
    <col min="13317" max="13317" width="7.85546875" style="12" customWidth="1"/>
    <col min="13318" max="13318" width="10" style="12" bestFit="1" customWidth="1"/>
    <col min="13319" max="13569" width="9.140625" style="12"/>
    <col min="13570" max="13570" width="2.7109375" style="12" customWidth="1"/>
    <col min="13571" max="13571" width="63.85546875" style="12" customWidth="1"/>
    <col min="13572" max="13572" width="8.42578125" style="12" customWidth="1"/>
    <col min="13573" max="13573" width="7.85546875" style="12" customWidth="1"/>
    <col min="13574" max="13574" width="10" style="12" bestFit="1" customWidth="1"/>
    <col min="13575" max="13825" width="9.140625" style="12"/>
    <col min="13826" max="13826" width="2.7109375" style="12" customWidth="1"/>
    <col min="13827" max="13827" width="63.85546875" style="12" customWidth="1"/>
    <col min="13828" max="13828" width="8.42578125" style="12" customWidth="1"/>
    <col min="13829" max="13829" width="7.85546875" style="12" customWidth="1"/>
    <col min="13830" max="13830" width="10" style="12" bestFit="1" customWidth="1"/>
    <col min="13831" max="14081" width="9.140625" style="12"/>
    <col min="14082" max="14082" width="2.7109375" style="12" customWidth="1"/>
    <col min="14083" max="14083" width="63.85546875" style="12" customWidth="1"/>
    <col min="14084" max="14084" width="8.42578125" style="12" customWidth="1"/>
    <col min="14085" max="14085" width="7.85546875" style="12" customWidth="1"/>
    <col min="14086" max="14086" width="10" style="12" bestFit="1" customWidth="1"/>
    <col min="14087" max="14337" width="9.140625" style="12"/>
    <col min="14338" max="14338" width="2.7109375" style="12" customWidth="1"/>
    <col min="14339" max="14339" width="63.85546875" style="12" customWidth="1"/>
    <col min="14340" max="14340" width="8.42578125" style="12" customWidth="1"/>
    <col min="14341" max="14341" width="7.85546875" style="12" customWidth="1"/>
    <col min="14342" max="14342" width="10" style="12" bestFit="1" customWidth="1"/>
    <col min="14343" max="14593" width="9.140625" style="12"/>
    <col min="14594" max="14594" width="2.7109375" style="12" customWidth="1"/>
    <col min="14595" max="14595" width="63.85546875" style="12" customWidth="1"/>
    <col min="14596" max="14596" width="8.42578125" style="12" customWidth="1"/>
    <col min="14597" max="14597" width="7.85546875" style="12" customWidth="1"/>
    <col min="14598" max="14598" width="10" style="12" bestFit="1" customWidth="1"/>
    <col min="14599" max="14849" width="9.140625" style="12"/>
    <col min="14850" max="14850" width="2.7109375" style="12" customWidth="1"/>
    <col min="14851" max="14851" width="63.85546875" style="12" customWidth="1"/>
    <col min="14852" max="14852" width="8.42578125" style="12" customWidth="1"/>
    <col min="14853" max="14853" width="7.85546875" style="12" customWidth="1"/>
    <col min="14854" max="14854" width="10" style="12" bestFit="1" customWidth="1"/>
    <col min="14855" max="15105" width="9.140625" style="12"/>
    <col min="15106" max="15106" width="2.7109375" style="12" customWidth="1"/>
    <col min="15107" max="15107" width="63.85546875" style="12" customWidth="1"/>
    <col min="15108" max="15108" width="8.42578125" style="12" customWidth="1"/>
    <col min="15109" max="15109" width="7.85546875" style="12" customWidth="1"/>
    <col min="15110" max="15110" width="10" style="12" bestFit="1" customWidth="1"/>
    <col min="15111" max="15361" width="9.140625" style="12"/>
    <col min="15362" max="15362" width="2.7109375" style="12" customWidth="1"/>
    <col min="15363" max="15363" width="63.85546875" style="12" customWidth="1"/>
    <col min="15364" max="15364" width="8.42578125" style="12" customWidth="1"/>
    <col min="15365" max="15365" width="7.85546875" style="12" customWidth="1"/>
    <col min="15366" max="15366" width="10" style="12" bestFit="1" customWidth="1"/>
    <col min="15367" max="15617" width="9.140625" style="12"/>
    <col min="15618" max="15618" width="2.7109375" style="12" customWidth="1"/>
    <col min="15619" max="15619" width="63.85546875" style="12" customWidth="1"/>
    <col min="15620" max="15620" width="8.42578125" style="12" customWidth="1"/>
    <col min="15621" max="15621" width="7.85546875" style="12" customWidth="1"/>
    <col min="15622" max="15622" width="10" style="12" bestFit="1" customWidth="1"/>
    <col min="15623" max="15873" width="9.140625" style="12"/>
    <col min="15874" max="15874" width="2.7109375" style="12" customWidth="1"/>
    <col min="15875" max="15875" width="63.85546875" style="12" customWidth="1"/>
    <col min="15876" max="15876" width="8.42578125" style="12" customWidth="1"/>
    <col min="15877" max="15877" width="7.85546875" style="12" customWidth="1"/>
    <col min="15878" max="15878" width="10" style="12" bestFit="1" customWidth="1"/>
    <col min="15879" max="16129" width="9.140625" style="12"/>
    <col min="16130" max="16130" width="2.7109375" style="12" customWidth="1"/>
    <col min="16131" max="16131" width="63.85546875" style="12" customWidth="1"/>
    <col min="16132" max="16132" width="8.42578125" style="12" customWidth="1"/>
    <col min="16133" max="16133" width="7.85546875" style="12" customWidth="1"/>
    <col min="16134" max="16134" width="10" style="12" bestFit="1" customWidth="1"/>
    <col min="16135" max="16384" width="9.140625" style="12"/>
  </cols>
  <sheetData>
    <row r="1" spans="1:31">
      <c r="A1" s="11" t="s">
        <v>48</v>
      </c>
      <c r="B1" s="11"/>
      <c r="C1" s="11"/>
      <c r="D1" s="11"/>
    </row>
    <row r="2" spans="1:31">
      <c r="A2" s="11"/>
      <c r="B2" s="47"/>
      <c r="C2" s="11" t="s">
        <v>51</v>
      </c>
      <c r="D2" s="11"/>
      <c r="E2" s="11" t="s">
        <v>33</v>
      </c>
      <c r="F2" s="11" t="s">
        <v>34</v>
      </c>
      <c r="G2" s="11" t="s">
        <v>35</v>
      </c>
      <c r="H2" s="11" t="s">
        <v>36</v>
      </c>
      <c r="I2" s="11" t="s">
        <v>37</v>
      </c>
      <c r="J2" s="138" t="s">
        <v>38</v>
      </c>
      <c r="K2" s="11" t="s">
        <v>39</v>
      </c>
      <c r="L2" s="11" t="s">
        <v>40</v>
      </c>
      <c r="M2" s="11" t="s">
        <v>41</v>
      </c>
      <c r="N2" s="11" t="s">
        <v>42</v>
      </c>
      <c r="O2" s="11" t="s">
        <v>43</v>
      </c>
      <c r="P2" s="11" t="s">
        <v>52</v>
      </c>
      <c r="Q2" s="11" t="s">
        <v>53</v>
      </c>
      <c r="R2" s="11" t="s">
        <v>54</v>
      </c>
      <c r="S2" s="11" t="s">
        <v>55</v>
      </c>
      <c r="T2" s="11" t="s">
        <v>110</v>
      </c>
      <c r="U2" s="11" t="s">
        <v>111</v>
      </c>
      <c r="V2" s="11" t="s">
        <v>112</v>
      </c>
      <c r="W2" s="11" t="s">
        <v>113</v>
      </c>
      <c r="X2" s="11" t="s">
        <v>114</v>
      </c>
      <c r="Y2" s="11" t="s">
        <v>115</v>
      </c>
      <c r="Z2" s="11" t="s">
        <v>116</v>
      </c>
      <c r="AA2" s="11" t="s">
        <v>117</v>
      </c>
      <c r="AB2" s="11" t="s">
        <v>118</v>
      </c>
      <c r="AC2" s="11" t="s">
        <v>119</v>
      </c>
      <c r="AD2" s="11"/>
      <c r="AE2" s="11"/>
    </row>
    <row r="3" spans="1:31">
      <c r="A3" s="46" t="s">
        <v>49</v>
      </c>
      <c r="B3" s="47" t="s">
        <v>50</v>
      </c>
    </row>
    <row r="4" spans="1:31" ht="12.75" hidden="1" customHeight="1">
      <c r="A4" s="48"/>
      <c r="B4" s="49" t="s">
        <v>56</v>
      </c>
      <c r="C4" s="13">
        <v>25</v>
      </c>
      <c r="D4" s="13"/>
      <c r="E4" s="13">
        <v>830</v>
      </c>
      <c r="F4" s="13">
        <v>1270</v>
      </c>
      <c r="G4" s="13">
        <v>730</v>
      </c>
      <c r="H4" s="13">
        <v>730</v>
      </c>
      <c r="I4" s="13">
        <v>1630</v>
      </c>
      <c r="J4" s="13">
        <v>2010</v>
      </c>
      <c r="K4" s="13">
        <f>J4</f>
        <v>2010</v>
      </c>
      <c r="L4" s="13">
        <f t="shared" ref="L4:AA7" si="0">K4</f>
        <v>2010</v>
      </c>
      <c r="M4" s="13">
        <f t="shared" si="0"/>
        <v>2010</v>
      </c>
      <c r="N4" s="13">
        <f t="shared" si="0"/>
        <v>2010</v>
      </c>
      <c r="O4" s="13">
        <f t="shared" si="0"/>
        <v>2010</v>
      </c>
      <c r="P4" s="13">
        <f t="shared" si="0"/>
        <v>2010</v>
      </c>
      <c r="Q4" s="13">
        <f t="shared" si="0"/>
        <v>2010</v>
      </c>
      <c r="R4" s="13">
        <f t="shared" si="0"/>
        <v>2010</v>
      </c>
      <c r="S4" s="13">
        <f t="shared" si="0"/>
        <v>2010</v>
      </c>
    </row>
    <row r="5" spans="1:31">
      <c r="A5" s="48"/>
      <c r="B5" s="49" t="s">
        <v>57</v>
      </c>
      <c r="C5" s="13"/>
      <c r="D5" s="13"/>
      <c r="E5" s="13">
        <v>5500</v>
      </c>
      <c r="F5" s="13">
        <v>11100</v>
      </c>
      <c r="G5" s="13">
        <v>17700</v>
      </c>
      <c r="H5" s="13">
        <v>27300</v>
      </c>
      <c r="I5" s="13">
        <v>35880</v>
      </c>
      <c r="J5" s="13">
        <v>40320</v>
      </c>
      <c r="K5" s="13">
        <v>40320</v>
      </c>
      <c r="L5" s="13">
        <v>40320</v>
      </c>
      <c r="M5" s="13">
        <v>40320</v>
      </c>
      <c r="N5" s="13">
        <v>40320</v>
      </c>
      <c r="O5" s="13">
        <v>40320</v>
      </c>
      <c r="P5" s="13">
        <v>40320</v>
      </c>
      <c r="Q5" s="13">
        <v>40320</v>
      </c>
      <c r="R5" s="13">
        <v>40320</v>
      </c>
      <c r="S5" s="13">
        <v>40320</v>
      </c>
      <c r="T5" s="13">
        <v>40320</v>
      </c>
      <c r="U5" s="13">
        <v>40320</v>
      </c>
      <c r="V5" s="13">
        <v>40320</v>
      </c>
      <c r="W5" s="13">
        <v>40320</v>
      </c>
      <c r="X5" s="13">
        <v>40320</v>
      </c>
      <c r="Y5" s="13">
        <v>40320</v>
      </c>
      <c r="Z5" s="13">
        <v>40320</v>
      </c>
      <c r="AA5" s="13">
        <v>40320</v>
      </c>
      <c r="AB5" s="13">
        <v>40320</v>
      </c>
      <c r="AC5" s="13">
        <v>40320</v>
      </c>
    </row>
    <row r="6" spans="1:31" ht="13.5" thickBot="1">
      <c r="A6" s="48"/>
      <c r="B6" s="49" t="s">
        <v>58</v>
      </c>
      <c r="C6" s="13"/>
      <c r="D6" s="13"/>
      <c r="E6" s="141">
        <v>366000</v>
      </c>
      <c r="F6" s="141">
        <v>741000</v>
      </c>
      <c r="G6" s="141">
        <v>1188000</v>
      </c>
      <c r="H6" s="141">
        <v>1818000</v>
      </c>
      <c r="I6" s="141">
        <v>2392800</v>
      </c>
      <c r="J6" s="141">
        <v>2719200</v>
      </c>
      <c r="K6" s="141">
        <v>2719200</v>
      </c>
      <c r="L6" s="141">
        <v>2719200</v>
      </c>
      <c r="M6" s="141">
        <v>2719200</v>
      </c>
      <c r="N6" s="141">
        <v>2719200</v>
      </c>
      <c r="O6" s="141">
        <v>2719200</v>
      </c>
      <c r="P6" s="141">
        <v>2719200</v>
      </c>
      <c r="Q6" s="141">
        <v>2719200</v>
      </c>
      <c r="R6" s="141">
        <v>2719200</v>
      </c>
      <c r="S6" s="141">
        <v>2719200</v>
      </c>
      <c r="T6" s="141">
        <v>2719200</v>
      </c>
      <c r="U6" s="141">
        <v>2719200</v>
      </c>
      <c r="V6" s="141">
        <v>2719200</v>
      </c>
      <c r="W6" s="141">
        <v>2719200</v>
      </c>
      <c r="X6" s="141">
        <v>2719200</v>
      </c>
      <c r="Y6" s="141">
        <v>2719200</v>
      </c>
      <c r="Z6" s="141">
        <v>2719200</v>
      </c>
      <c r="AA6" s="141">
        <v>2719200</v>
      </c>
      <c r="AB6" s="141">
        <v>2719200</v>
      </c>
      <c r="AC6" s="141">
        <v>2719200</v>
      </c>
    </row>
    <row r="7" spans="1:31" ht="18" hidden="1" customHeight="1">
      <c r="A7" s="48"/>
      <c r="B7" s="50" t="s">
        <v>98</v>
      </c>
      <c r="C7" s="15"/>
      <c r="D7" s="15"/>
      <c r="E7" s="15">
        <f>'Feed and Fodder'!S14</f>
        <v>0.5</v>
      </c>
      <c r="F7" s="15">
        <f>E7</f>
        <v>0.5</v>
      </c>
      <c r="G7" s="15">
        <f t="shared" ref="G7:K7" si="1">F7</f>
        <v>0.5</v>
      </c>
      <c r="H7" s="15">
        <f t="shared" si="1"/>
        <v>0.5</v>
      </c>
      <c r="I7" s="15">
        <f t="shared" si="1"/>
        <v>0.5</v>
      </c>
      <c r="J7" s="15">
        <f t="shared" si="1"/>
        <v>0.5</v>
      </c>
      <c r="K7" s="15">
        <f t="shared" si="1"/>
        <v>0.5</v>
      </c>
      <c r="L7" s="15">
        <f t="shared" si="0"/>
        <v>0.5</v>
      </c>
      <c r="M7" s="15">
        <f t="shared" si="0"/>
        <v>0.5</v>
      </c>
      <c r="N7" s="15">
        <f t="shared" si="0"/>
        <v>0.5</v>
      </c>
      <c r="O7" s="15">
        <f t="shared" si="0"/>
        <v>0.5</v>
      </c>
      <c r="P7" s="15">
        <f t="shared" si="0"/>
        <v>0.5</v>
      </c>
      <c r="Q7" s="15">
        <f t="shared" si="0"/>
        <v>0.5</v>
      </c>
      <c r="R7" s="15">
        <f t="shared" si="0"/>
        <v>0.5</v>
      </c>
      <c r="S7" s="15">
        <f t="shared" si="0"/>
        <v>0.5</v>
      </c>
      <c r="T7" s="15">
        <f t="shared" si="0"/>
        <v>0.5</v>
      </c>
      <c r="U7" s="15">
        <f t="shared" si="0"/>
        <v>0.5</v>
      </c>
      <c r="V7" s="15">
        <f t="shared" si="0"/>
        <v>0.5</v>
      </c>
      <c r="W7" s="15">
        <f t="shared" si="0"/>
        <v>0.5</v>
      </c>
      <c r="X7" s="15">
        <f t="shared" si="0"/>
        <v>0.5</v>
      </c>
      <c r="Y7" s="15">
        <f t="shared" si="0"/>
        <v>0.5</v>
      </c>
      <c r="Z7" s="15">
        <f t="shared" si="0"/>
        <v>0.5</v>
      </c>
      <c r="AA7" s="15">
        <f t="shared" si="0"/>
        <v>0.5</v>
      </c>
      <c r="AB7" s="15">
        <f t="shared" ref="AB7:AC7" si="2">AA7</f>
        <v>0.5</v>
      </c>
      <c r="AC7" s="15">
        <f t="shared" si="2"/>
        <v>0.5</v>
      </c>
    </row>
    <row r="8" spans="1:31" ht="14.25" hidden="1" thickBot="1">
      <c r="A8" s="48"/>
      <c r="B8" s="51" t="s">
        <v>135</v>
      </c>
      <c r="C8" s="76"/>
      <c r="D8" s="76"/>
      <c r="E8" s="76">
        <f>E6*E7*365/1000000000</f>
        <v>6.6794999999999993E-2</v>
      </c>
      <c r="F8" s="76">
        <f t="shared" ref="F8:AC8" si="3">F6*F7*365/1000000000</f>
        <v>0.13523250000000001</v>
      </c>
      <c r="G8" s="76">
        <f t="shared" si="3"/>
        <v>0.21681</v>
      </c>
      <c r="H8" s="76">
        <f t="shared" si="3"/>
        <v>0.331785</v>
      </c>
      <c r="I8" s="76">
        <f t="shared" si="3"/>
        <v>0.43668600000000002</v>
      </c>
      <c r="J8" s="76">
        <f t="shared" si="3"/>
        <v>0.49625399999999997</v>
      </c>
      <c r="K8" s="76">
        <f t="shared" si="3"/>
        <v>0.49625399999999997</v>
      </c>
      <c r="L8" s="76">
        <f t="shared" si="3"/>
        <v>0.49625399999999997</v>
      </c>
      <c r="M8" s="76">
        <f t="shared" si="3"/>
        <v>0.49625399999999997</v>
      </c>
      <c r="N8" s="76">
        <f t="shared" si="3"/>
        <v>0.49625399999999997</v>
      </c>
      <c r="O8" s="76">
        <f t="shared" si="3"/>
        <v>0.49625399999999997</v>
      </c>
      <c r="P8" s="76">
        <f t="shared" si="3"/>
        <v>0.49625399999999997</v>
      </c>
      <c r="Q8" s="76">
        <f t="shared" si="3"/>
        <v>0.49625399999999997</v>
      </c>
      <c r="R8" s="76">
        <f t="shared" si="3"/>
        <v>0.49625399999999997</v>
      </c>
      <c r="S8" s="76">
        <f t="shared" si="3"/>
        <v>0.49625399999999997</v>
      </c>
      <c r="T8" s="76">
        <f t="shared" si="3"/>
        <v>0.49625399999999997</v>
      </c>
      <c r="U8" s="76">
        <f t="shared" si="3"/>
        <v>0.49625399999999997</v>
      </c>
      <c r="V8" s="76">
        <f t="shared" si="3"/>
        <v>0.49625399999999997</v>
      </c>
      <c r="W8" s="76">
        <f t="shared" si="3"/>
        <v>0.49625399999999997</v>
      </c>
      <c r="X8" s="76">
        <f t="shared" si="3"/>
        <v>0.49625399999999997</v>
      </c>
      <c r="Y8" s="76">
        <f t="shared" si="3"/>
        <v>0.49625399999999997</v>
      </c>
      <c r="Z8" s="76">
        <f t="shared" si="3"/>
        <v>0.49625399999999997</v>
      </c>
      <c r="AA8" s="76">
        <f t="shared" si="3"/>
        <v>0.49625399999999997</v>
      </c>
      <c r="AB8" s="76">
        <f t="shared" si="3"/>
        <v>0.49625399999999997</v>
      </c>
      <c r="AC8" s="76">
        <f t="shared" si="3"/>
        <v>0.49625399999999997</v>
      </c>
    </row>
    <row r="9" spans="1:31" ht="14.25" hidden="1" thickBot="1">
      <c r="A9" s="48"/>
      <c r="B9" s="77"/>
      <c r="C9" s="16"/>
      <c r="D9" s="16"/>
      <c r="E9" s="16"/>
      <c r="F9" s="16"/>
      <c r="G9" s="16"/>
      <c r="H9" s="16"/>
      <c r="I9" s="16"/>
      <c r="J9" s="16"/>
      <c r="K9" s="16"/>
      <c r="L9" s="16"/>
      <c r="M9" s="16"/>
      <c r="N9" s="16"/>
      <c r="O9" s="16"/>
      <c r="P9" s="16"/>
      <c r="Q9" s="16"/>
      <c r="R9" s="16"/>
      <c r="S9" s="16"/>
      <c r="T9" s="23"/>
      <c r="U9" s="23"/>
      <c r="V9" s="23"/>
      <c r="W9" s="23"/>
      <c r="X9" s="23"/>
      <c r="Y9" s="23"/>
      <c r="Z9" s="23"/>
      <c r="AA9" s="23"/>
      <c r="AB9" s="23"/>
      <c r="AC9" s="23"/>
    </row>
    <row r="10" spans="1:31" ht="13.5" hidden="1" thickBot="1">
      <c r="A10" s="46" t="s">
        <v>146</v>
      </c>
      <c r="B10" s="47" t="s">
        <v>60</v>
      </c>
      <c r="C10" s="13"/>
      <c r="D10" s="13"/>
      <c r="E10" s="13"/>
      <c r="F10" s="13"/>
      <c r="G10" s="13"/>
      <c r="H10" s="13"/>
      <c r="I10" s="13"/>
      <c r="J10" s="13"/>
    </row>
    <row r="11" spans="1:31" ht="13.5" hidden="1" thickBot="1">
      <c r="A11" s="48"/>
      <c r="B11" s="52" t="s">
        <v>61</v>
      </c>
      <c r="C11" s="13"/>
      <c r="D11" s="13"/>
      <c r="E11" s="13">
        <v>1</v>
      </c>
      <c r="F11" s="13">
        <v>2</v>
      </c>
      <c r="G11" s="13">
        <v>4</v>
      </c>
      <c r="H11" s="13">
        <v>5</v>
      </c>
      <c r="I11" s="13">
        <v>6</v>
      </c>
      <c r="J11" s="13">
        <v>7</v>
      </c>
      <c r="K11" s="13">
        <f>J11</f>
        <v>7</v>
      </c>
      <c r="L11" s="13">
        <f t="shared" ref="L11:S11" si="4">K11</f>
        <v>7</v>
      </c>
      <c r="M11" s="13">
        <f t="shared" si="4"/>
        <v>7</v>
      </c>
      <c r="N11" s="13">
        <f t="shared" si="4"/>
        <v>7</v>
      </c>
      <c r="O11" s="13">
        <f t="shared" si="4"/>
        <v>7</v>
      </c>
      <c r="P11" s="13">
        <f t="shared" si="4"/>
        <v>7</v>
      </c>
      <c r="Q11" s="13">
        <f t="shared" si="4"/>
        <v>7</v>
      </c>
      <c r="R11" s="13">
        <f t="shared" si="4"/>
        <v>7</v>
      </c>
      <c r="S11" s="13">
        <f t="shared" si="4"/>
        <v>7</v>
      </c>
      <c r="T11" s="12">
        <f>S11</f>
        <v>7</v>
      </c>
      <c r="U11" s="12">
        <f t="shared" ref="U11:AC11" si="5">T11</f>
        <v>7</v>
      </c>
      <c r="V11" s="12">
        <f t="shared" si="5"/>
        <v>7</v>
      </c>
      <c r="W11" s="12">
        <f t="shared" si="5"/>
        <v>7</v>
      </c>
      <c r="X11" s="12">
        <f t="shared" si="5"/>
        <v>7</v>
      </c>
      <c r="Y11" s="12">
        <f t="shared" si="5"/>
        <v>7</v>
      </c>
      <c r="Z11" s="12">
        <f t="shared" si="5"/>
        <v>7</v>
      </c>
      <c r="AA11" s="12">
        <f t="shared" si="5"/>
        <v>7</v>
      </c>
      <c r="AB11" s="12">
        <f t="shared" si="5"/>
        <v>7</v>
      </c>
      <c r="AC11" s="12">
        <f t="shared" si="5"/>
        <v>7</v>
      </c>
    </row>
    <row r="12" spans="1:31" ht="13.5" hidden="1" thickBot="1">
      <c r="A12" s="48"/>
      <c r="B12" s="49" t="s">
        <v>62</v>
      </c>
      <c r="C12" s="13"/>
      <c r="D12" s="13"/>
      <c r="E12" s="13">
        <v>10</v>
      </c>
      <c r="F12" s="13">
        <v>10</v>
      </c>
      <c r="G12" s="13">
        <v>10</v>
      </c>
      <c r="H12" s="13">
        <v>10</v>
      </c>
      <c r="I12" s="13">
        <v>10</v>
      </c>
      <c r="J12" s="13">
        <v>10</v>
      </c>
      <c r="K12" s="13">
        <v>10</v>
      </c>
      <c r="L12" s="13">
        <v>10</v>
      </c>
      <c r="M12" s="13">
        <v>10</v>
      </c>
      <c r="N12" s="13">
        <v>10</v>
      </c>
      <c r="O12" s="13">
        <v>10</v>
      </c>
      <c r="P12" s="13">
        <v>10</v>
      </c>
      <c r="Q12" s="13">
        <v>10</v>
      </c>
      <c r="R12" s="13">
        <v>10</v>
      </c>
      <c r="S12" s="13">
        <v>10</v>
      </c>
      <c r="T12" s="12">
        <f t="shared" ref="T12:AC20" si="6">S12</f>
        <v>10</v>
      </c>
      <c r="U12" s="12">
        <f t="shared" si="6"/>
        <v>10</v>
      </c>
      <c r="V12" s="12">
        <f t="shared" si="6"/>
        <v>10</v>
      </c>
      <c r="W12" s="12">
        <f t="shared" si="6"/>
        <v>10</v>
      </c>
      <c r="X12" s="12">
        <f t="shared" si="6"/>
        <v>10</v>
      </c>
      <c r="Y12" s="12">
        <f t="shared" si="6"/>
        <v>10</v>
      </c>
      <c r="Z12" s="12">
        <f t="shared" si="6"/>
        <v>10</v>
      </c>
      <c r="AA12" s="12">
        <f t="shared" si="6"/>
        <v>10</v>
      </c>
      <c r="AB12" s="12">
        <f t="shared" si="6"/>
        <v>10</v>
      </c>
      <c r="AC12" s="12">
        <f t="shared" si="6"/>
        <v>10</v>
      </c>
    </row>
    <row r="13" spans="1:31" ht="13.5" hidden="1" thickBot="1">
      <c r="A13" s="48"/>
      <c r="B13" s="49" t="s">
        <v>63</v>
      </c>
      <c r="C13" s="13"/>
      <c r="D13" s="13"/>
      <c r="E13" s="13">
        <v>300</v>
      </c>
      <c r="F13" s="13">
        <v>600</v>
      </c>
      <c r="G13" s="13">
        <v>1200</v>
      </c>
      <c r="H13" s="13">
        <v>1500</v>
      </c>
      <c r="I13" s="13">
        <v>1800</v>
      </c>
      <c r="J13" s="13">
        <v>2100</v>
      </c>
      <c r="K13" s="13">
        <f>J13</f>
        <v>2100</v>
      </c>
      <c r="L13" s="13">
        <f t="shared" ref="L13:AA13" si="7">K13</f>
        <v>2100</v>
      </c>
      <c r="M13" s="13">
        <f t="shared" si="7"/>
        <v>2100</v>
      </c>
      <c r="N13" s="13">
        <f t="shared" si="7"/>
        <v>2100</v>
      </c>
      <c r="O13" s="13">
        <f t="shared" si="7"/>
        <v>2100</v>
      </c>
      <c r="P13" s="13">
        <f t="shared" si="7"/>
        <v>2100</v>
      </c>
      <c r="Q13" s="13">
        <f t="shared" si="7"/>
        <v>2100</v>
      </c>
      <c r="R13" s="13">
        <f t="shared" si="7"/>
        <v>2100</v>
      </c>
      <c r="S13" s="13">
        <f t="shared" si="7"/>
        <v>2100</v>
      </c>
      <c r="T13" s="12">
        <f t="shared" si="7"/>
        <v>2100</v>
      </c>
      <c r="U13" s="12">
        <f t="shared" si="7"/>
        <v>2100</v>
      </c>
      <c r="V13" s="12">
        <f t="shared" si="7"/>
        <v>2100</v>
      </c>
      <c r="W13" s="12">
        <f t="shared" si="7"/>
        <v>2100</v>
      </c>
      <c r="X13" s="12">
        <f t="shared" si="7"/>
        <v>2100</v>
      </c>
      <c r="Y13" s="12">
        <f t="shared" si="7"/>
        <v>2100</v>
      </c>
      <c r="Z13" s="12">
        <f t="shared" si="7"/>
        <v>2100</v>
      </c>
      <c r="AA13" s="12">
        <f t="shared" si="7"/>
        <v>2100</v>
      </c>
      <c r="AB13" s="12">
        <f t="shared" si="6"/>
        <v>2100</v>
      </c>
      <c r="AC13" s="12">
        <f t="shared" si="6"/>
        <v>2100</v>
      </c>
    </row>
    <row r="14" spans="1:31" ht="13.5" hidden="1" thickBot="1">
      <c r="A14" s="48"/>
      <c r="B14" s="49" t="s">
        <v>64</v>
      </c>
      <c r="C14" s="13"/>
      <c r="D14" s="13"/>
      <c r="E14" s="13">
        <v>50</v>
      </c>
      <c r="F14" s="13">
        <v>50</v>
      </c>
      <c r="G14" s="13">
        <v>50</v>
      </c>
      <c r="H14" s="13">
        <v>50</v>
      </c>
      <c r="I14" s="13">
        <v>50</v>
      </c>
      <c r="J14" s="13">
        <v>50</v>
      </c>
      <c r="K14" s="13">
        <v>50</v>
      </c>
      <c r="L14" s="13">
        <v>50</v>
      </c>
      <c r="M14" s="13">
        <v>50</v>
      </c>
      <c r="N14" s="13">
        <v>50</v>
      </c>
      <c r="O14" s="13">
        <v>50</v>
      </c>
      <c r="P14" s="13">
        <v>50</v>
      </c>
      <c r="Q14" s="13">
        <v>50</v>
      </c>
      <c r="R14" s="13">
        <v>50</v>
      </c>
      <c r="S14" s="13">
        <v>50</v>
      </c>
      <c r="T14" s="12">
        <f t="shared" si="6"/>
        <v>50</v>
      </c>
      <c r="U14" s="12">
        <f t="shared" si="6"/>
        <v>50</v>
      </c>
      <c r="V14" s="12">
        <f t="shared" si="6"/>
        <v>50</v>
      </c>
      <c r="W14" s="12">
        <f t="shared" si="6"/>
        <v>50</v>
      </c>
      <c r="X14" s="12">
        <f t="shared" si="6"/>
        <v>50</v>
      </c>
      <c r="Y14" s="12">
        <f t="shared" si="6"/>
        <v>50</v>
      </c>
      <c r="Z14" s="12">
        <f t="shared" si="6"/>
        <v>50</v>
      </c>
      <c r="AA14" s="12">
        <f t="shared" si="6"/>
        <v>50</v>
      </c>
      <c r="AB14" s="12">
        <f t="shared" si="6"/>
        <v>50</v>
      </c>
      <c r="AC14" s="12">
        <f t="shared" si="6"/>
        <v>50</v>
      </c>
    </row>
    <row r="15" spans="1:31" ht="13.5" hidden="1" thickBot="1">
      <c r="A15" s="48"/>
      <c r="B15" s="49" t="s">
        <v>65</v>
      </c>
      <c r="C15" s="13"/>
      <c r="D15" s="13"/>
      <c r="E15" s="13">
        <f>E13*1000/E14</f>
        <v>6000</v>
      </c>
      <c r="F15" s="13">
        <f t="shared" ref="F15:S15" si="8">F13*1000/F14</f>
        <v>12000</v>
      </c>
      <c r="G15" s="13">
        <f t="shared" si="8"/>
        <v>24000</v>
      </c>
      <c r="H15" s="13">
        <f t="shared" si="8"/>
        <v>30000</v>
      </c>
      <c r="I15" s="13">
        <f t="shared" si="8"/>
        <v>36000</v>
      </c>
      <c r="J15" s="13">
        <f t="shared" si="8"/>
        <v>42000</v>
      </c>
      <c r="K15" s="13">
        <f t="shared" si="8"/>
        <v>42000</v>
      </c>
      <c r="L15" s="13">
        <f t="shared" si="8"/>
        <v>42000</v>
      </c>
      <c r="M15" s="13">
        <f t="shared" si="8"/>
        <v>42000</v>
      </c>
      <c r="N15" s="13">
        <f t="shared" si="8"/>
        <v>42000</v>
      </c>
      <c r="O15" s="13">
        <f t="shared" si="8"/>
        <v>42000</v>
      </c>
      <c r="P15" s="13">
        <f t="shared" si="8"/>
        <v>42000</v>
      </c>
      <c r="Q15" s="13">
        <f t="shared" si="8"/>
        <v>42000</v>
      </c>
      <c r="R15" s="13">
        <f t="shared" si="8"/>
        <v>42000</v>
      </c>
      <c r="S15" s="13">
        <f t="shared" si="8"/>
        <v>42000</v>
      </c>
      <c r="T15" s="12">
        <f t="shared" si="6"/>
        <v>42000</v>
      </c>
      <c r="U15" s="12">
        <f t="shared" si="6"/>
        <v>42000</v>
      </c>
      <c r="V15" s="12">
        <f t="shared" si="6"/>
        <v>42000</v>
      </c>
      <c r="W15" s="12">
        <f t="shared" si="6"/>
        <v>42000</v>
      </c>
      <c r="X15" s="12">
        <f t="shared" si="6"/>
        <v>42000</v>
      </c>
      <c r="Y15" s="12">
        <f t="shared" si="6"/>
        <v>42000</v>
      </c>
      <c r="Z15" s="12">
        <f t="shared" si="6"/>
        <v>42000</v>
      </c>
      <c r="AA15" s="12">
        <f t="shared" si="6"/>
        <v>42000</v>
      </c>
      <c r="AB15" s="12">
        <f t="shared" si="6"/>
        <v>42000</v>
      </c>
      <c r="AC15" s="12">
        <f t="shared" si="6"/>
        <v>42000</v>
      </c>
    </row>
    <row r="16" spans="1:31" ht="13.5" hidden="1" thickBot="1">
      <c r="A16" s="48"/>
      <c r="B16" s="49" t="s">
        <v>66</v>
      </c>
      <c r="C16" s="13"/>
      <c r="D16" s="13"/>
      <c r="E16" s="13">
        <v>40</v>
      </c>
      <c r="F16" s="13">
        <v>40</v>
      </c>
      <c r="G16" s="13">
        <v>40</v>
      </c>
      <c r="H16" s="13">
        <v>40</v>
      </c>
      <c r="I16" s="13">
        <v>40</v>
      </c>
      <c r="J16" s="13">
        <v>40</v>
      </c>
      <c r="K16" s="13">
        <v>40</v>
      </c>
      <c r="L16" s="13">
        <v>40</v>
      </c>
      <c r="M16" s="13">
        <v>40</v>
      </c>
      <c r="N16" s="13">
        <v>40</v>
      </c>
      <c r="O16" s="13">
        <v>40</v>
      </c>
      <c r="P16" s="13">
        <v>40</v>
      </c>
      <c r="Q16" s="13">
        <v>40</v>
      </c>
      <c r="R16" s="13">
        <v>40</v>
      </c>
      <c r="S16" s="13">
        <v>40</v>
      </c>
      <c r="T16" s="12">
        <f t="shared" si="6"/>
        <v>40</v>
      </c>
      <c r="U16" s="12">
        <f t="shared" si="6"/>
        <v>40</v>
      </c>
      <c r="V16" s="12">
        <f t="shared" si="6"/>
        <v>40</v>
      </c>
      <c r="W16" s="12">
        <f t="shared" si="6"/>
        <v>40</v>
      </c>
      <c r="X16" s="12">
        <f t="shared" si="6"/>
        <v>40</v>
      </c>
      <c r="Y16" s="12">
        <f t="shared" si="6"/>
        <v>40</v>
      </c>
      <c r="Z16" s="12">
        <f t="shared" si="6"/>
        <v>40</v>
      </c>
      <c r="AA16" s="12">
        <f t="shared" si="6"/>
        <v>40</v>
      </c>
      <c r="AB16" s="12">
        <f t="shared" si="6"/>
        <v>40</v>
      </c>
      <c r="AC16" s="12">
        <f t="shared" si="6"/>
        <v>40</v>
      </c>
    </row>
    <row r="17" spans="1:29" ht="13.5" hidden="1" thickBot="1">
      <c r="A17" s="48"/>
      <c r="B17" s="49" t="s">
        <v>67</v>
      </c>
      <c r="C17" s="13"/>
      <c r="D17" s="13"/>
      <c r="E17" s="13">
        <f>E15*E16/1000000</f>
        <v>0.24</v>
      </c>
      <c r="F17" s="13">
        <f t="shared" ref="F17:S17" si="9">F15*F16/1000000</f>
        <v>0.48</v>
      </c>
      <c r="G17" s="13">
        <f t="shared" si="9"/>
        <v>0.96</v>
      </c>
      <c r="H17" s="13">
        <f t="shared" si="9"/>
        <v>1.2</v>
      </c>
      <c r="I17" s="13">
        <f t="shared" si="9"/>
        <v>1.44</v>
      </c>
      <c r="J17" s="13">
        <f t="shared" si="9"/>
        <v>1.68</v>
      </c>
      <c r="K17" s="13">
        <f t="shared" si="9"/>
        <v>1.68</v>
      </c>
      <c r="L17" s="13">
        <f t="shared" si="9"/>
        <v>1.68</v>
      </c>
      <c r="M17" s="13">
        <f t="shared" si="9"/>
        <v>1.68</v>
      </c>
      <c r="N17" s="13">
        <f t="shared" si="9"/>
        <v>1.68</v>
      </c>
      <c r="O17" s="13">
        <f t="shared" si="9"/>
        <v>1.68</v>
      </c>
      <c r="P17" s="13">
        <f t="shared" si="9"/>
        <v>1.68</v>
      </c>
      <c r="Q17" s="13">
        <f t="shared" si="9"/>
        <v>1.68</v>
      </c>
      <c r="R17" s="13">
        <f t="shared" si="9"/>
        <v>1.68</v>
      </c>
      <c r="S17" s="13">
        <f t="shared" si="9"/>
        <v>1.68</v>
      </c>
      <c r="T17" s="12">
        <f t="shared" si="6"/>
        <v>1.68</v>
      </c>
      <c r="U17" s="12">
        <f t="shared" si="6"/>
        <v>1.68</v>
      </c>
      <c r="V17" s="12">
        <f t="shared" si="6"/>
        <v>1.68</v>
      </c>
      <c r="W17" s="12">
        <f t="shared" si="6"/>
        <v>1.68</v>
      </c>
      <c r="X17" s="12">
        <f t="shared" si="6"/>
        <v>1.68</v>
      </c>
      <c r="Y17" s="12">
        <f t="shared" si="6"/>
        <v>1.68</v>
      </c>
      <c r="Z17" s="12">
        <f t="shared" si="6"/>
        <v>1.68</v>
      </c>
      <c r="AA17" s="12">
        <f t="shared" si="6"/>
        <v>1.68</v>
      </c>
      <c r="AB17" s="12">
        <f t="shared" si="6"/>
        <v>1.68</v>
      </c>
      <c r="AC17" s="12">
        <f t="shared" si="6"/>
        <v>1.68</v>
      </c>
    </row>
    <row r="18" spans="1:29" ht="13.5" hidden="1" thickBot="1">
      <c r="A18" s="48"/>
      <c r="B18" s="49" t="s">
        <v>68</v>
      </c>
      <c r="C18" s="13"/>
      <c r="D18" s="13"/>
      <c r="E18" s="13">
        <v>1</v>
      </c>
      <c r="F18" s="13">
        <v>1</v>
      </c>
      <c r="G18" s="13">
        <v>1</v>
      </c>
      <c r="H18" s="13">
        <v>1</v>
      </c>
      <c r="I18" s="13">
        <v>1</v>
      </c>
      <c r="J18" s="13">
        <v>1</v>
      </c>
      <c r="K18" s="13">
        <v>1</v>
      </c>
      <c r="L18" s="13">
        <v>1</v>
      </c>
      <c r="M18" s="13">
        <v>1</v>
      </c>
      <c r="N18" s="13">
        <v>1</v>
      </c>
      <c r="O18" s="13">
        <v>1</v>
      </c>
      <c r="P18" s="13">
        <v>1</v>
      </c>
      <c r="Q18" s="13">
        <v>1</v>
      </c>
      <c r="R18" s="13">
        <v>1</v>
      </c>
      <c r="S18" s="13">
        <v>1</v>
      </c>
      <c r="T18" s="12">
        <f t="shared" si="6"/>
        <v>1</v>
      </c>
      <c r="U18" s="12">
        <f t="shared" si="6"/>
        <v>1</v>
      </c>
      <c r="V18" s="12">
        <f t="shared" si="6"/>
        <v>1</v>
      </c>
      <c r="W18" s="12">
        <f t="shared" si="6"/>
        <v>1</v>
      </c>
      <c r="X18" s="12">
        <f t="shared" si="6"/>
        <v>1</v>
      </c>
      <c r="Y18" s="12">
        <f t="shared" si="6"/>
        <v>1</v>
      </c>
      <c r="Z18" s="12">
        <f t="shared" si="6"/>
        <v>1</v>
      </c>
      <c r="AA18" s="12">
        <f t="shared" si="6"/>
        <v>1</v>
      </c>
      <c r="AB18" s="12">
        <f t="shared" si="6"/>
        <v>1</v>
      </c>
      <c r="AC18" s="12">
        <f t="shared" si="6"/>
        <v>1</v>
      </c>
    </row>
    <row r="19" spans="1:29" ht="14.25" hidden="1" thickBot="1">
      <c r="A19" s="48"/>
      <c r="B19" s="51" t="s">
        <v>59</v>
      </c>
      <c r="C19" s="18"/>
      <c r="D19" s="18"/>
      <c r="E19" s="18">
        <f>E17*E18/10</f>
        <v>2.4E-2</v>
      </c>
      <c r="F19" s="18">
        <f t="shared" ref="F19:S19" si="10">F17*F18/10</f>
        <v>4.8000000000000001E-2</v>
      </c>
      <c r="G19" s="18">
        <f t="shared" si="10"/>
        <v>9.6000000000000002E-2</v>
      </c>
      <c r="H19" s="18">
        <f t="shared" si="10"/>
        <v>0.12</v>
      </c>
      <c r="I19" s="18">
        <f t="shared" si="10"/>
        <v>0.14399999999999999</v>
      </c>
      <c r="J19" s="18">
        <f t="shared" si="10"/>
        <v>0.16799999999999998</v>
      </c>
      <c r="K19" s="17">
        <f t="shared" si="10"/>
        <v>0.16799999999999998</v>
      </c>
      <c r="L19" s="17">
        <f t="shared" si="10"/>
        <v>0.16799999999999998</v>
      </c>
      <c r="M19" s="17">
        <f t="shared" si="10"/>
        <v>0.16799999999999998</v>
      </c>
      <c r="N19" s="17">
        <f t="shared" si="10"/>
        <v>0.16799999999999998</v>
      </c>
      <c r="O19" s="17">
        <f t="shared" si="10"/>
        <v>0.16799999999999998</v>
      </c>
      <c r="P19" s="17">
        <f t="shared" si="10"/>
        <v>0.16799999999999998</v>
      </c>
      <c r="Q19" s="17">
        <f t="shared" si="10"/>
        <v>0.16799999999999998</v>
      </c>
      <c r="R19" s="17">
        <f t="shared" si="10"/>
        <v>0.16799999999999998</v>
      </c>
      <c r="S19" s="17">
        <f t="shared" si="10"/>
        <v>0.16799999999999998</v>
      </c>
      <c r="T19" s="12">
        <f t="shared" si="6"/>
        <v>0.16799999999999998</v>
      </c>
      <c r="U19" s="12">
        <f t="shared" si="6"/>
        <v>0.16799999999999998</v>
      </c>
      <c r="V19" s="12">
        <f t="shared" si="6"/>
        <v>0.16799999999999998</v>
      </c>
      <c r="W19" s="12">
        <f t="shared" si="6"/>
        <v>0.16799999999999998</v>
      </c>
      <c r="X19" s="12">
        <f t="shared" si="6"/>
        <v>0.16799999999999998</v>
      </c>
      <c r="Y19" s="12">
        <f t="shared" si="6"/>
        <v>0.16799999999999998</v>
      </c>
      <c r="Z19" s="12">
        <f t="shared" si="6"/>
        <v>0.16799999999999998</v>
      </c>
      <c r="AA19" s="12">
        <f t="shared" si="6"/>
        <v>0.16799999999999998</v>
      </c>
      <c r="AB19" s="12">
        <f t="shared" si="6"/>
        <v>0.16799999999999998</v>
      </c>
      <c r="AC19" s="12">
        <f t="shared" si="6"/>
        <v>0.16799999999999998</v>
      </c>
    </row>
    <row r="20" spans="1:29" ht="14.25" hidden="1" thickBot="1">
      <c r="A20" s="48"/>
      <c r="B20" s="51" t="s">
        <v>91</v>
      </c>
      <c r="C20" s="18"/>
      <c r="D20" s="18"/>
      <c r="E20" s="18">
        <f t="shared" ref="E20:S20" si="11">E19*1000</f>
        <v>24</v>
      </c>
      <c r="F20" s="18">
        <f t="shared" si="11"/>
        <v>48</v>
      </c>
      <c r="G20" s="18">
        <f t="shared" si="11"/>
        <v>96</v>
      </c>
      <c r="H20" s="18">
        <f t="shared" si="11"/>
        <v>120</v>
      </c>
      <c r="I20" s="18">
        <f t="shared" si="11"/>
        <v>144</v>
      </c>
      <c r="J20" s="18">
        <f t="shared" si="11"/>
        <v>167.99999999999997</v>
      </c>
      <c r="K20" s="18">
        <f t="shared" si="11"/>
        <v>167.99999999999997</v>
      </c>
      <c r="L20" s="18">
        <f t="shared" si="11"/>
        <v>167.99999999999997</v>
      </c>
      <c r="M20" s="18">
        <f t="shared" si="11"/>
        <v>167.99999999999997</v>
      </c>
      <c r="N20" s="18">
        <f t="shared" si="11"/>
        <v>167.99999999999997</v>
      </c>
      <c r="O20" s="18">
        <f t="shared" si="11"/>
        <v>167.99999999999997</v>
      </c>
      <c r="P20" s="18">
        <f t="shared" si="11"/>
        <v>167.99999999999997</v>
      </c>
      <c r="Q20" s="18">
        <f t="shared" si="11"/>
        <v>167.99999999999997</v>
      </c>
      <c r="R20" s="18">
        <f t="shared" si="11"/>
        <v>167.99999999999997</v>
      </c>
      <c r="S20" s="18">
        <f t="shared" si="11"/>
        <v>167.99999999999997</v>
      </c>
      <c r="T20" s="12">
        <f t="shared" si="6"/>
        <v>167.99999999999997</v>
      </c>
      <c r="U20" s="12">
        <f t="shared" si="6"/>
        <v>167.99999999999997</v>
      </c>
      <c r="V20" s="12">
        <f t="shared" si="6"/>
        <v>167.99999999999997</v>
      </c>
      <c r="W20" s="12">
        <f t="shared" si="6"/>
        <v>167.99999999999997</v>
      </c>
      <c r="X20" s="12">
        <f t="shared" si="6"/>
        <v>167.99999999999997</v>
      </c>
      <c r="Y20" s="12">
        <f t="shared" si="6"/>
        <v>167.99999999999997</v>
      </c>
      <c r="Z20" s="12">
        <f t="shared" si="6"/>
        <v>167.99999999999997</v>
      </c>
      <c r="AA20" s="12">
        <f t="shared" si="6"/>
        <v>167.99999999999997</v>
      </c>
      <c r="AB20" s="12">
        <f t="shared" si="6"/>
        <v>167.99999999999997</v>
      </c>
      <c r="AC20" s="12">
        <f t="shared" si="6"/>
        <v>167.99999999999997</v>
      </c>
    </row>
    <row r="21" spans="1:29" ht="14.25" hidden="1" thickBot="1">
      <c r="A21" s="48"/>
      <c r="B21" s="51"/>
      <c r="C21" s="18"/>
      <c r="D21" s="18"/>
      <c r="E21" s="18"/>
      <c r="F21" s="18"/>
      <c r="G21" s="18"/>
      <c r="H21" s="18"/>
      <c r="I21" s="18"/>
      <c r="J21" s="18"/>
      <c r="K21" s="18"/>
      <c r="L21" s="18"/>
      <c r="M21" s="18"/>
      <c r="N21" s="18"/>
      <c r="O21" s="18"/>
      <c r="P21" s="18"/>
      <c r="Q21" s="18"/>
      <c r="R21" s="18"/>
      <c r="S21" s="18"/>
    </row>
    <row r="22" spans="1:29" ht="13.5" hidden="1" thickBot="1">
      <c r="A22" s="48" t="s">
        <v>147</v>
      </c>
      <c r="B22" s="47" t="s">
        <v>213</v>
      </c>
      <c r="C22" s="124"/>
      <c r="D22" s="124"/>
      <c r="E22" s="125">
        <v>0</v>
      </c>
      <c r="F22" s="125">
        <v>1</v>
      </c>
      <c r="G22" s="125">
        <v>1</v>
      </c>
      <c r="H22" s="125">
        <v>2</v>
      </c>
      <c r="I22" s="125">
        <v>2</v>
      </c>
      <c r="J22" s="125">
        <v>2</v>
      </c>
      <c r="K22" s="125">
        <f>J22</f>
        <v>2</v>
      </c>
      <c r="L22" s="125">
        <f t="shared" ref="L22:AC22" si="12">K22</f>
        <v>2</v>
      </c>
      <c r="M22" s="125">
        <f t="shared" si="12"/>
        <v>2</v>
      </c>
      <c r="N22" s="125">
        <f t="shared" si="12"/>
        <v>2</v>
      </c>
      <c r="O22" s="125">
        <f t="shared" si="12"/>
        <v>2</v>
      </c>
      <c r="P22" s="125">
        <f t="shared" si="12"/>
        <v>2</v>
      </c>
      <c r="Q22" s="125">
        <f t="shared" si="12"/>
        <v>2</v>
      </c>
      <c r="R22" s="125">
        <f t="shared" si="12"/>
        <v>2</v>
      </c>
      <c r="S22" s="125">
        <f t="shared" si="12"/>
        <v>2</v>
      </c>
      <c r="T22" s="125">
        <f t="shared" si="12"/>
        <v>2</v>
      </c>
      <c r="U22" s="125">
        <f t="shared" si="12"/>
        <v>2</v>
      </c>
      <c r="V22" s="125">
        <f t="shared" si="12"/>
        <v>2</v>
      </c>
      <c r="W22" s="125">
        <f t="shared" si="12"/>
        <v>2</v>
      </c>
      <c r="X22" s="125">
        <f t="shared" si="12"/>
        <v>2</v>
      </c>
      <c r="Y22" s="125">
        <f t="shared" si="12"/>
        <v>2</v>
      </c>
      <c r="Z22" s="125">
        <f t="shared" si="12"/>
        <v>2</v>
      </c>
      <c r="AA22" s="125">
        <f t="shared" si="12"/>
        <v>2</v>
      </c>
      <c r="AB22" s="125">
        <f t="shared" si="12"/>
        <v>2</v>
      </c>
      <c r="AC22" s="125">
        <f t="shared" si="12"/>
        <v>2</v>
      </c>
    </row>
    <row r="23" spans="1:29" ht="14.25" hidden="1" thickBot="1">
      <c r="A23" s="48"/>
      <c r="B23" s="49" t="s">
        <v>214</v>
      </c>
      <c r="C23" s="18"/>
      <c r="D23" s="18"/>
      <c r="E23" s="125">
        <v>40</v>
      </c>
      <c r="F23" s="125">
        <v>40</v>
      </c>
      <c r="G23" s="125">
        <v>40</v>
      </c>
      <c r="H23" s="125">
        <v>40</v>
      </c>
      <c r="I23" s="125">
        <v>40</v>
      </c>
      <c r="J23" s="125">
        <v>40</v>
      </c>
      <c r="K23" s="125">
        <v>40</v>
      </c>
      <c r="L23" s="125">
        <v>40</v>
      </c>
      <c r="M23" s="125">
        <v>40</v>
      </c>
      <c r="N23" s="125">
        <v>40</v>
      </c>
      <c r="O23" s="125">
        <v>40</v>
      </c>
      <c r="P23" s="125">
        <v>40</v>
      </c>
      <c r="Q23" s="125">
        <v>40</v>
      </c>
      <c r="R23" s="125">
        <v>40</v>
      </c>
      <c r="S23" s="125">
        <v>40</v>
      </c>
      <c r="T23" s="125">
        <v>40</v>
      </c>
      <c r="U23" s="125">
        <v>40</v>
      </c>
      <c r="V23" s="125">
        <v>40</v>
      </c>
      <c r="W23" s="125">
        <v>40</v>
      </c>
      <c r="X23" s="125">
        <v>40</v>
      </c>
      <c r="Y23" s="125">
        <v>40</v>
      </c>
      <c r="Z23" s="125">
        <v>40</v>
      </c>
      <c r="AA23" s="125">
        <v>40</v>
      </c>
      <c r="AB23" s="125">
        <v>40</v>
      </c>
      <c r="AC23" s="125">
        <v>40</v>
      </c>
    </row>
    <row r="24" spans="1:29" ht="13.5" hidden="1" thickBot="1">
      <c r="A24" s="48"/>
      <c r="B24" s="49" t="s">
        <v>215</v>
      </c>
      <c r="C24" s="14"/>
      <c r="D24" s="14"/>
      <c r="E24" s="12">
        <f>E22*E23*300</f>
        <v>0</v>
      </c>
      <c r="F24" s="12">
        <f t="shared" ref="F24:AC24" si="13">F22*F23*300</f>
        <v>12000</v>
      </c>
      <c r="G24" s="12">
        <f t="shared" si="13"/>
        <v>12000</v>
      </c>
      <c r="H24" s="12">
        <f t="shared" si="13"/>
        <v>24000</v>
      </c>
      <c r="I24" s="12">
        <f t="shared" si="13"/>
        <v>24000</v>
      </c>
      <c r="J24" s="12">
        <f t="shared" si="13"/>
        <v>24000</v>
      </c>
      <c r="K24" s="12">
        <f t="shared" si="13"/>
        <v>24000</v>
      </c>
      <c r="L24" s="12">
        <f t="shared" si="13"/>
        <v>24000</v>
      </c>
      <c r="M24" s="12">
        <f t="shared" si="13"/>
        <v>24000</v>
      </c>
      <c r="N24" s="12">
        <f t="shared" si="13"/>
        <v>24000</v>
      </c>
      <c r="O24" s="12">
        <f t="shared" si="13"/>
        <v>24000</v>
      </c>
      <c r="P24" s="12">
        <f t="shared" si="13"/>
        <v>24000</v>
      </c>
      <c r="Q24" s="12">
        <f t="shared" si="13"/>
        <v>24000</v>
      </c>
      <c r="R24" s="12">
        <f t="shared" si="13"/>
        <v>24000</v>
      </c>
      <c r="S24" s="12">
        <f t="shared" si="13"/>
        <v>24000</v>
      </c>
      <c r="T24" s="12">
        <f t="shared" si="13"/>
        <v>24000</v>
      </c>
      <c r="U24" s="12">
        <f t="shared" si="13"/>
        <v>24000</v>
      </c>
      <c r="V24" s="12">
        <f t="shared" si="13"/>
        <v>24000</v>
      </c>
      <c r="W24" s="12">
        <f t="shared" si="13"/>
        <v>24000</v>
      </c>
      <c r="X24" s="12">
        <f t="shared" si="13"/>
        <v>24000</v>
      </c>
      <c r="Y24" s="12">
        <f t="shared" si="13"/>
        <v>24000</v>
      </c>
      <c r="Z24" s="12">
        <f t="shared" si="13"/>
        <v>24000</v>
      </c>
      <c r="AA24" s="12">
        <f t="shared" si="13"/>
        <v>24000</v>
      </c>
      <c r="AB24" s="12">
        <f t="shared" si="13"/>
        <v>24000</v>
      </c>
      <c r="AC24" s="12">
        <f t="shared" si="13"/>
        <v>24000</v>
      </c>
    </row>
    <row r="25" spans="1:29" ht="13.5" hidden="1" thickBot="1">
      <c r="A25" s="48" t="s">
        <v>147</v>
      </c>
      <c r="B25" s="106" t="s">
        <v>69</v>
      </c>
    </row>
    <row r="26" spans="1:29" ht="26.25" hidden="1" thickBot="1">
      <c r="A26" s="48"/>
      <c r="B26" s="53" t="s">
        <v>70</v>
      </c>
      <c r="C26" s="107"/>
      <c r="D26" s="107"/>
      <c r="E26" s="12">
        <v>400</v>
      </c>
      <c r="F26" s="12">
        <v>800</v>
      </c>
      <c r="G26" s="12">
        <v>1200</v>
      </c>
      <c r="H26" s="12">
        <v>1600</v>
      </c>
      <c r="I26" s="12">
        <v>2000</v>
      </c>
      <c r="J26" s="12">
        <v>2800</v>
      </c>
      <c r="K26" s="12">
        <f>J26</f>
        <v>2800</v>
      </c>
      <c r="L26" s="12">
        <f t="shared" ref="L26:AA30" si="14">K26</f>
        <v>2800</v>
      </c>
      <c r="M26" s="12">
        <f t="shared" si="14"/>
        <v>2800</v>
      </c>
      <c r="N26" s="12">
        <f t="shared" si="14"/>
        <v>2800</v>
      </c>
      <c r="O26" s="12">
        <f t="shared" si="14"/>
        <v>2800</v>
      </c>
      <c r="P26" s="12">
        <f t="shared" si="14"/>
        <v>2800</v>
      </c>
      <c r="Q26" s="12">
        <f t="shared" si="14"/>
        <v>2800</v>
      </c>
      <c r="R26" s="12">
        <f t="shared" si="14"/>
        <v>2800</v>
      </c>
      <c r="S26" s="12">
        <f t="shared" si="14"/>
        <v>2800</v>
      </c>
      <c r="T26" s="12">
        <f>S26</f>
        <v>2800</v>
      </c>
      <c r="U26" s="12">
        <f t="shared" ref="T26:AC39" si="15">T26</f>
        <v>2800</v>
      </c>
      <c r="V26" s="12">
        <f t="shared" si="15"/>
        <v>2800</v>
      </c>
      <c r="W26" s="12">
        <f t="shared" si="15"/>
        <v>2800</v>
      </c>
      <c r="X26" s="12">
        <f t="shared" si="15"/>
        <v>2800</v>
      </c>
      <c r="Y26" s="12">
        <f t="shared" si="15"/>
        <v>2800</v>
      </c>
      <c r="Z26" s="12">
        <f t="shared" si="15"/>
        <v>2800</v>
      </c>
      <c r="AA26" s="12">
        <f t="shared" si="15"/>
        <v>2800</v>
      </c>
      <c r="AB26" s="12">
        <f t="shared" si="15"/>
        <v>2800</v>
      </c>
      <c r="AC26" s="12">
        <f t="shared" si="15"/>
        <v>2800</v>
      </c>
    </row>
    <row r="27" spans="1:29" ht="13.5" hidden="1" thickBot="1">
      <c r="A27" s="48"/>
      <c r="B27" s="54" t="s">
        <v>71</v>
      </c>
      <c r="E27" s="12">
        <f t="shared" ref="E27:J27" si="16">E26*5</f>
        <v>2000</v>
      </c>
      <c r="F27" s="12">
        <f t="shared" si="16"/>
        <v>4000</v>
      </c>
      <c r="G27" s="12">
        <f t="shared" si="16"/>
        <v>6000</v>
      </c>
      <c r="H27" s="12">
        <f t="shared" si="16"/>
        <v>8000</v>
      </c>
      <c r="I27" s="12">
        <f t="shared" si="16"/>
        <v>10000</v>
      </c>
      <c r="J27" s="12">
        <f t="shared" si="16"/>
        <v>14000</v>
      </c>
      <c r="K27" s="12">
        <f>J27</f>
        <v>14000</v>
      </c>
      <c r="L27" s="12">
        <f t="shared" si="14"/>
        <v>14000</v>
      </c>
      <c r="M27" s="12">
        <f t="shared" si="14"/>
        <v>14000</v>
      </c>
      <c r="N27" s="12">
        <f t="shared" si="14"/>
        <v>14000</v>
      </c>
      <c r="O27" s="12">
        <f t="shared" si="14"/>
        <v>14000</v>
      </c>
      <c r="P27" s="12">
        <f t="shared" si="14"/>
        <v>14000</v>
      </c>
      <c r="Q27" s="12">
        <f t="shared" si="14"/>
        <v>14000</v>
      </c>
      <c r="R27" s="12">
        <f t="shared" si="14"/>
        <v>14000</v>
      </c>
      <c r="S27" s="12">
        <f t="shared" si="14"/>
        <v>14000</v>
      </c>
      <c r="T27" s="12">
        <f t="shared" si="14"/>
        <v>14000</v>
      </c>
      <c r="U27" s="12">
        <f t="shared" si="14"/>
        <v>14000</v>
      </c>
      <c r="V27" s="12">
        <f t="shared" si="14"/>
        <v>14000</v>
      </c>
      <c r="W27" s="12">
        <f t="shared" si="14"/>
        <v>14000</v>
      </c>
      <c r="X27" s="12">
        <f t="shared" si="14"/>
        <v>14000</v>
      </c>
      <c r="Y27" s="12">
        <f t="shared" si="14"/>
        <v>14000</v>
      </c>
      <c r="Z27" s="12">
        <f t="shared" si="14"/>
        <v>14000</v>
      </c>
      <c r="AA27" s="12">
        <f t="shared" si="14"/>
        <v>14000</v>
      </c>
      <c r="AB27" s="12">
        <f t="shared" si="15"/>
        <v>14000</v>
      </c>
      <c r="AC27" s="12">
        <f t="shared" si="15"/>
        <v>14000</v>
      </c>
    </row>
    <row r="28" spans="1:29" ht="13.5" hidden="1" thickBot="1">
      <c r="A28" s="48"/>
      <c r="B28" s="49" t="s">
        <v>67</v>
      </c>
      <c r="E28" s="13">
        <f t="shared" ref="E28:J28" si="17">E27/1000000</f>
        <v>2E-3</v>
      </c>
      <c r="F28" s="13">
        <f t="shared" si="17"/>
        <v>4.0000000000000001E-3</v>
      </c>
      <c r="G28" s="13">
        <f t="shared" si="17"/>
        <v>6.0000000000000001E-3</v>
      </c>
      <c r="H28" s="13">
        <f t="shared" si="17"/>
        <v>8.0000000000000002E-3</v>
      </c>
      <c r="I28" s="13">
        <f t="shared" si="17"/>
        <v>0.01</v>
      </c>
      <c r="J28" s="13">
        <f t="shared" si="17"/>
        <v>1.4E-2</v>
      </c>
      <c r="K28" s="12">
        <f>J28</f>
        <v>1.4E-2</v>
      </c>
      <c r="L28" s="12">
        <f t="shared" si="14"/>
        <v>1.4E-2</v>
      </c>
      <c r="M28" s="12">
        <f t="shared" si="14"/>
        <v>1.4E-2</v>
      </c>
      <c r="N28" s="12">
        <f t="shared" si="14"/>
        <v>1.4E-2</v>
      </c>
      <c r="O28" s="12">
        <f t="shared" si="14"/>
        <v>1.4E-2</v>
      </c>
      <c r="P28" s="12">
        <f t="shared" si="14"/>
        <v>1.4E-2</v>
      </c>
      <c r="Q28" s="12">
        <f t="shared" si="14"/>
        <v>1.4E-2</v>
      </c>
      <c r="R28" s="12">
        <f t="shared" si="14"/>
        <v>1.4E-2</v>
      </c>
      <c r="S28" s="12">
        <f t="shared" si="14"/>
        <v>1.4E-2</v>
      </c>
      <c r="T28" s="12">
        <f t="shared" si="15"/>
        <v>1.4E-2</v>
      </c>
      <c r="U28" s="12">
        <f t="shared" si="15"/>
        <v>1.4E-2</v>
      </c>
      <c r="V28" s="12">
        <f t="shared" si="15"/>
        <v>1.4E-2</v>
      </c>
      <c r="W28" s="12">
        <f t="shared" si="15"/>
        <v>1.4E-2</v>
      </c>
      <c r="X28" s="12">
        <f t="shared" si="15"/>
        <v>1.4E-2</v>
      </c>
      <c r="Y28" s="12">
        <f t="shared" si="15"/>
        <v>1.4E-2</v>
      </c>
      <c r="Z28" s="12">
        <f t="shared" si="15"/>
        <v>1.4E-2</v>
      </c>
      <c r="AA28" s="12">
        <f t="shared" si="15"/>
        <v>1.4E-2</v>
      </c>
      <c r="AB28" s="12">
        <f t="shared" si="15"/>
        <v>1.4E-2</v>
      </c>
      <c r="AC28" s="12">
        <f t="shared" si="15"/>
        <v>1.4E-2</v>
      </c>
    </row>
    <row r="29" spans="1:29" ht="13.5" hidden="1" thickBot="1">
      <c r="A29" s="48"/>
      <c r="B29" s="49" t="s">
        <v>68</v>
      </c>
      <c r="E29" s="13">
        <v>1</v>
      </c>
      <c r="F29" s="13">
        <v>1</v>
      </c>
      <c r="G29" s="13">
        <v>1</v>
      </c>
      <c r="H29" s="13">
        <v>1</v>
      </c>
      <c r="I29" s="13">
        <v>1</v>
      </c>
      <c r="J29" s="13">
        <v>1</v>
      </c>
      <c r="K29" s="12">
        <f>J29</f>
        <v>1</v>
      </c>
      <c r="L29" s="12">
        <f t="shared" si="14"/>
        <v>1</v>
      </c>
      <c r="M29" s="12">
        <f t="shared" si="14"/>
        <v>1</v>
      </c>
      <c r="N29" s="12">
        <f t="shared" si="14"/>
        <v>1</v>
      </c>
      <c r="O29" s="12">
        <f t="shared" si="14"/>
        <v>1</v>
      </c>
      <c r="P29" s="12">
        <f t="shared" si="14"/>
        <v>1</v>
      </c>
      <c r="Q29" s="12">
        <f t="shared" si="14"/>
        <v>1</v>
      </c>
      <c r="R29" s="12">
        <f t="shared" si="14"/>
        <v>1</v>
      </c>
      <c r="S29" s="12">
        <f t="shared" si="14"/>
        <v>1</v>
      </c>
      <c r="T29" s="12">
        <f t="shared" si="15"/>
        <v>1</v>
      </c>
      <c r="U29" s="12">
        <f t="shared" si="15"/>
        <v>1</v>
      </c>
      <c r="V29" s="12">
        <f t="shared" si="15"/>
        <v>1</v>
      </c>
      <c r="W29" s="12">
        <f t="shared" si="15"/>
        <v>1</v>
      </c>
      <c r="X29" s="12">
        <f t="shared" si="15"/>
        <v>1</v>
      </c>
      <c r="Y29" s="12">
        <f t="shared" si="15"/>
        <v>1</v>
      </c>
      <c r="Z29" s="12">
        <f t="shared" si="15"/>
        <v>1</v>
      </c>
      <c r="AA29" s="12">
        <f t="shared" si="15"/>
        <v>1</v>
      </c>
      <c r="AB29" s="12">
        <f t="shared" si="15"/>
        <v>1</v>
      </c>
      <c r="AC29" s="12">
        <f t="shared" si="15"/>
        <v>1</v>
      </c>
    </row>
    <row r="30" spans="1:29" ht="14.25" hidden="1" thickBot="1">
      <c r="A30" s="48"/>
      <c r="B30" s="51" t="s">
        <v>59</v>
      </c>
      <c r="E30" s="20">
        <f t="shared" ref="E30:J30" si="18">E28*E29/10</f>
        <v>2.0000000000000001E-4</v>
      </c>
      <c r="F30" s="20">
        <f t="shared" si="18"/>
        <v>4.0000000000000002E-4</v>
      </c>
      <c r="G30" s="20">
        <f t="shared" si="18"/>
        <v>6.0000000000000006E-4</v>
      </c>
      <c r="H30" s="20">
        <f t="shared" si="18"/>
        <v>8.0000000000000004E-4</v>
      </c>
      <c r="I30" s="20">
        <f t="shared" si="18"/>
        <v>1E-3</v>
      </c>
      <c r="J30" s="20">
        <f t="shared" si="18"/>
        <v>1.4E-3</v>
      </c>
      <c r="K30" s="59">
        <f>J30</f>
        <v>1.4E-3</v>
      </c>
      <c r="L30" s="11">
        <f t="shared" si="14"/>
        <v>1.4E-3</v>
      </c>
      <c r="M30" s="11">
        <f t="shared" si="14"/>
        <v>1.4E-3</v>
      </c>
      <c r="N30" s="11">
        <f t="shared" si="14"/>
        <v>1.4E-3</v>
      </c>
      <c r="O30" s="11">
        <f t="shared" si="14"/>
        <v>1.4E-3</v>
      </c>
      <c r="P30" s="11">
        <f t="shared" si="14"/>
        <v>1.4E-3</v>
      </c>
      <c r="Q30" s="11">
        <f t="shared" si="14"/>
        <v>1.4E-3</v>
      </c>
      <c r="R30" s="11">
        <f t="shared" si="14"/>
        <v>1.4E-3</v>
      </c>
      <c r="S30" s="11">
        <f t="shared" si="14"/>
        <v>1.4E-3</v>
      </c>
      <c r="T30" s="11">
        <f t="shared" si="15"/>
        <v>1.4E-3</v>
      </c>
      <c r="U30" s="11">
        <f t="shared" si="15"/>
        <v>1.4E-3</v>
      </c>
      <c r="V30" s="11">
        <f t="shared" si="15"/>
        <v>1.4E-3</v>
      </c>
      <c r="W30" s="11">
        <f t="shared" si="15"/>
        <v>1.4E-3</v>
      </c>
      <c r="X30" s="11">
        <f t="shared" si="15"/>
        <v>1.4E-3</v>
      </c>
      <c r="Y30" s="11">
        <f t="shared" si="15"/>
        <v>1.4E-3</v>
      </c>
      <c r="Z30" s="11">
        <f t="shared" si="15"/>
        <v>1.4E-3</v>
      </c>
      <c r="AA30" s="11">
        <f t="shared" si="15"/>
        <v>1.4E-3</v>
      </c>
      <c r="AB30" s="11">
        <f t="shared" si="15"/>
        <v>1.4E-3</v>
      </c>
      <c r="AC30" s="11">
        <f t="shared" si="15"/>
        <v>1.4E-3</v>
      </c>
    </row>
    <row r="31" spans="1:29" ht="14.25" hidden="1" thickBot="1">
      <c r="A31" s="48"/>
      <c r="B31" s="51" t="s">
        <v>91</v>
      </c>
      <c r="E31" s="20">
        <f>E30*1000</f>
        <v>0.2</v>
      </c>
      <c r="F31" s="20">
        <f t="shared" ref="F31:S31" si="19">F30*1000</f>
        <v>0.4</v>
      </c>
      <c r="G31" s="20">
        <f t="shared" si="19"/>
        <v>0.60000000000000009</v>
      </c>
      <c r="H31" s="20">
        <f t="shared" si="19"/>
        <v>0.8</v>
      </c>
      <c r="I31" s="20">
        <f t="shared" si="19"/>
        <v>1</v>
      </c>
      <c r="J31" s="20">
        <f t="shared" si="19"/>
        <v>1.4</v>
      </c>
      <c r="K31" s="20">
        <f t="shared" si="19"/>
        <v>1.4</v>
      </c>
      <c r="L31" s="20">
        <f t="shared" si="19"/>
        <v>1.4</v>
      </c>
      <c r="M31" s="20">
        <f t="shared" si="19"/>
        <v>1.4</v>
      </c>
      <c r="N31" s="20">
        <f t="shared" si="19"/>
        <v>1.4</v>
      </c>
      <c r="O31" s="20">
        <f t="shared" si="19"/>
        <v>1.4</v>
      </c>
      <c r="P31" s="20">
        <f t="shared" si="19"/>
        <v>1.4</v>
      </c>
      <c r="Q31" s="20">
        <f t="shared" si="19"/>
        <v>1.4</v>
      </c>
      <c r="R31" s="20">
        <f t="shared" si="19"/>
        <v>1.4</v>
      </c>
      <c r="S31" s="20">
        <f t="shared" si="19"/>
        <v>1.4</v>
      </c>
      <c r="T31" s="11">
        <f t="shared" si="15"/>
        <v>1.4</v>
      </c>
      <c r="U31" s="11">
        <f t="shared" si="15"/>
        <v>1.4</v>
      </c>
      <c r="V31" s="11">
        <f t="shared" si="15"/>
        <v>1.4</v>
      </c>
      <c r="W31" s="11">
        <f t="shared" si="15"/>
        <v>1.4</v>
      </c>
      <c r="X31" s="11">
        <f t="shared" si="15"/>
        <v>1.4</v>
      </c>
      <c r="Y31" s="11">
        <f t="shared" si="15"/>
        <v>1.4</v>
      </c>
      <c r="Z31" s="11">
        <f t="shared" si="15"/>
        <v>1.4</v>
      </c>
      <c r="AA31" s="11">
        <f t="shared" si="15"/>
        <v>1.4</v>
      </c>
      <c r="AB31" s="11">
        <f t="shared" si="15"/>
        <v>1.4</v>
      </c>
      <c r="AC31" s="11">
        <f t="shared" si="15"/>
        <v>1.4</v>
      </c>
    </row>
    <row r="32" spans="1:29" ht="13.5" hidden="1" thickBot="1">
      <c r="A32" s="48" t="s">
        <v>148</v>
      </c>
      <c r="B32" s="106" t="s">
        <v>72</v>
      </c>
      <c r="E32" s="12">
        <v>20000</v>
      </c>
      <c r="F32" s="12">
        <v>40000</v>
      </c>
      <c r="G32" s="12">
        <v>60000</v>
      </c>
      <c r="H32" s="12">
        <v>80000</v>
      </c>
      <c r="I32" s="12">
        <v>100000</v>
      </c>
      <c r="J32" s="12">
        <v>140000</v>
      </c>
      <c r="K32" s="12">
        <f>J32</f>
        <v>140000</v>
      </c>
      <c r="L32" s="12">
        <f t="shared" ref="L32:S36" si="20">K32</f>
        <v>140000</v>
      </c>
      <c r="M32" s="12">
        <f t="shared" si="20"/>
        <v>140000</v>
      </c>
      <c r="N32" s="12">
        <f t="shared" si="20"/>
        <v>140000</v>
      </c>
      <c r="O32" s="12">
        <f t="shared" si="20"/>
        <v>140000</v>
      </c>
      <c r="P32" s="12">
        <f t="shared" si="20"/>
        <v>140000</v>
      </c>
      <c r="Q32" s="12">
        <f t="shared" si="20"/>
        <v>140000</v>
      </c>
      <c r="R32" s="12">
        <f t="shared" si="20"/>
        <v>140000</v>
      </c>
      <c r="S32" s="12">
        <f t="shared" si="20"/>
        <v>140000</v>
      </c>
      <c r="T32" s="12">
        <f t="shared" si="15"/>
        <v>140000</v>
      </c>
      <c r="U32" s="12">
        <f t="shared" si="15"/>
        <v>140000</v>
      </c>
      <c r="V32" s="12">
        <f t="shared" si="15"/>
        <v>140000</v>
      </c>
      <c r="W32" s="12">
        <f t="shared" si="15"/>
        <v>140000</v>
      </c>
      <c r="X32" s="12">
        <f t="shared" si="15"/>
        <v>140000</v>
      </c>
      <c r="Y32" s="12">
        <f t="shared" si="15"/>
        <v>140000</v>
      </c>
      <c r="Z32" s="12">
        <f t="shared" si="15"/>
        <v>140000</v>
      </c>
      <c r="AA32" s="12">
        <f t="shared" si="15"/>
        <v>140000</v>
      </c>
      <c r="AB32" s="12">
        <f t="shared" si="15"/>
        <v>140000</v>
      </c>
      <c r="AC32" s="12">
        <f t="shared" si="15"/>
        <v>140000</v>
      </c>
    </row>
    <row r="33" spans="1:29" ht="13.5" hidden="1" thickBot="1">
      <c r="A33" s="48"/>
      <c r="B33" s="55" t="s">
        <v>73</v>
      </c>
      <c r="E33" s="12">
        <f t="shared" ref="E33:J33" si="21">E32/4</f>
        <v>5000</v>
      </c>
      <c r="F33" s="12">
        <f t="shared" si="21"/>
        <v>10000</v>
      </c>
      <c r="G33" s="12">
        <f t="shared" si="21"/>
        <v>15000</v>
      </c>
      <c r="H33" s="12">
        <f t="shared" si="21"/>
        <v>20000</v>
      </c>
      <c r="I33" s="12">
        <f t="shared" si="21"/>
        <v>25000</v>
      </c>
      <c r="J33" s="12">
        <f t="shared" si="21"/>
        <v>35000</v>
      </c>
      <c r="K33" s="12">
        <f>J33</f>
        <v>35000</v>
      </c>
      <c r="L33" s="12">
        <f t="shared" si="20"/>
        <v>35000</v>
      </c>
      <c r="M33" s="12">
        <f t="shared" si="20"/>
        <v>35000</v>
      </c>
      <c r="N33" s="12">
        <f t="shared" si="20"/>
        <v>35000</v>
      </c>
      <c r="O33" s="12">
        <f t="shared" si="20"/>
        <v>35000</v>
      </c>
      <c r="P33" s="12">
        <f t="shared" si="20"/>
        <v>35000</v>
      </c>
      <c r="Q33" s="12">
        <f t="shared" si="20"/>
        <v>35000</v>
      </c>
      <c r="R33" s="12">
        <f t="shared" si="20"/>
        <v>35000</v>
      </c>
      <c r="S33" s="12">
        <f t="shared" si="20"/>
        <v>35000</v>
      </c>
      <c r="T33" s="12">
        <f t="shared" si="15"/>
        <v>35000</v>
      </c>
      <c r="U33" s="12">
        <f t="shared" si="15"/>
        <v>35000</v>
      </c>
      <c r="V33" s="12">
        <f t="shared" si="15"/>
        <v>35000</v>
      </c>
      <c r="W33" s="12">
        <f t="shared" si="15"/>
        <v>35000</v>
      </c>
      <c r="X33" s="12">
        <f t="shared" si="15"/>
        <v>35000</v>
      </c>
      <c r="Y33" s="12">
        <f t="shared" si="15"/>
        <v>35000</v>
      </c>
      <c r="Z33" s="12">
        <f t="shared" si="15"/>
        <v>35000</v>
      </c>
      <c r="AA33" s="12">
        <f t="shared" si="15"/>
        <v>35000</v>
      </c>
      <c r="AB33" s="12">
        <f t="shared" si="15"/>
        <v>35000</v>
      </c>
      <c r="AC33" s="12">
        <f t="shared" si="15"/>
        <v>35000</v>
      </c>
    </row>
    <row r="34" spans="1:29" ht="13.5" hidden="1" thickBot="1">
      <c r="A34" s="48"/>
      <c r="B34" s="55" t="s">
        <v>73</v>
      </c>
      <c r="E34" s="12">
        <f t="shared" ref="E34:J34" si="22">E32/10</f>
        <v>2000</v>
      </c>
      <c r="F34" s="12">
        <f t="shared" si="22"/>
        <v>4000</v>
      </c>
      <c r="G34" s="12">
        <f t="shared" si="22"/>
        <v>6000</v>
      </c>
      <c r="H34" s="12">
        <f t="shared" si="22"/>
        <v>8000</v>
      </c>
      <c r="I34" s="12">
        <f t="shared" si="22"/>
        <v>10000</v>
      </c>
      <c r="J34" s="12">
        <f t="shared" si="22"/>
        <v>14000</v>
      </c>
      <c r="K34" s="12">
        <f>J34</f>
        <v>14000</v>
      </c>
      <c r="L34" s="12">
        <f t="shared" si="20"/>
        <v>14000</v>
      </c>
      <c r="M34" s="12">
        <f t="shared" si="20"/>
        <v>14000</v>
      </c>
      <c r="N34" s="12">
        <f t="shared" si="20"/>
        <v>14000</v>
      </c>
      <c r="O34" s="12">
        <f t="shared" si="20"/>
        <v>14000</v>
      </c>
      <c r="P34" s="12">
        <f t="shared" si="20"/>
        <v>14000</v>
      </c>
      <c r="Q34" s="12">
        <f t="shared" si="20"/>
        <v>14000</v>
      </c>
      <c r="R34" s="12">
        <f t="shared" si="20"/>
        <v>14000</v>
      </c>
      <c r="S34" s="12">
        <f t="shared" si="20"/>
        <v>14000</v>
      </c>
      <c r="T34" s="12">
        <f t="shared" si="15"/>
        <v>14000</v>
      </c>
      <c r="U34" s="12">
        <f t="shared" si="15"/>
        <v>14000</v>
      </c>
      <c r="V34" s="12">
        <f t="shared" si="15"/>
        <v>14000</v>
      </c>
      <c r="W34" s="12">
        <f t="shared" si="15"/>
        <v>14000</v>
      </c>
      <c r="X34" s="12">
        <f t="shared" si="15"/>
        <v>14000</v>
      </c>
      <c r="Y34" s="12">
        <f t="shared" si="15"/>
        <v>14000</v>
      </c>
      <c r="Z34" s="12">
        <f t="shared" si="15"/>
        <v>14000</v>
      </c>
      <c r="AA34" s="12">
        <f t="shared" si="15"/>
        <v>14000</v>
      </c>
      <c r="AB34" s="12">
        <f t="shared" si="15"/>
        <v>14000</v>
      </c>
      <c r="AC34" s="12">
        <f t="shared" si="15"/>
        <v>14000</v>
      </c>
    </row>
    <row r="35" spans="1:29" ht="13.5" hidden="1" thickBot="1">
      <c r="A35" s="48"/>
      <c r="B35" s="49" t="s">
        <v>66</v>
      </c>
      <c r="C35" s="13"/>
      <c r="D35" s="13"/>
      <c r="E35" s="13">
        <v>40</v>
      </c>
      <c r="F35" s="13">
        <v>40</v>
      </c>
      <c r="G35" s="13">
        <v>40</v>
      </c>
      <c r="H35" s="13">
        <v>40</v>
      </c>
      <c r="I35" s="13">
        <v>40</v>
      </c>
      <c r="J35" s="13">
        <v>40</v>
      </c>
      <c r="K35" s="13">
        <v>40</v>
      </c>
      <c r="L35" s="12">
        <f>K35</f>
        <v>40</v>
      </c>
      <c r="M35" s="12">
        <f t="shared" si="20"/>
        <v>40</v>
      </c>
      <c r="N35" s="12">
        <f t="shared" si="20"/>
        <v>40</v>
      </c>
      <c r="O35" s="12">
        <f t="shared" si="20"/>
        <v>40</v>
      </c>
      <c r="P35" s="12">
        <f t="shared" si="20"/>
        <v>40</v>
      </c>
      <c r="Q35" s="12">
        <f t="shared" si="20"/>
        <v>40</v>
      </c>
      <c r="R35" s="12">
        <f t="shared" si="20"/>
        <v>40</v>
      </c>
      <c r="S35" s="12">
        <f t="shared" si="20"/>
        <v>40</v>
      </c>
      <c r="T35" s="12">
        <f t="shared" si="15"/>
        <v>40</v>
      </c>
      <c r="U35" s="12">
        <f t="shared" si="15"/>
        <v>40</v>
      </c>
      <c r="V35" s="12">
        <f t="shared" si="15"/>
        <v>40</v>
      </c>
      <c r="W35" s="12">
        <f t="shared" si="15"/>
        <v>40</v>
      </c>
      <c r="X35" s="12">
        <f t="shared" si="15"/>
        <v>40</v>
      </c>
      <c r="Y35" s="12">
        <f t="shared" si="15"/>
        <v>40</v>
      </c>
      <c r="Z35" s="12">
        <f t="shared" si="15"/>
        <v>40</v>
      </c>
      <c r="AA35" s="12">
        <f t="shared" si="15"/>
        <v>40</v>
      </c>
      <c r="AB35" s="12">
        <f t="shared" si="15"/>
        <v>40</v>
      </c>
      <c r="AC35" s="12">
        <f t="shared" si="15"/>
        <v>40</v>
      </c>
    </row>
    <row r="36" spans="1:29" ht="15.75" hidden="1" thickBot="1">
      <c r="A36" s="48"/>
      <c r="B36" s="49" t="s">
        <v>67</v>
      </c>
      <c r="E36" s="21">
        <f>E34*E35/1000000</f>
        <v>0.08</v>
      </c>
      <c r="F36" s="21">
        <f t="shared" ref="F36:K36" si="23">F34*F35/1000000</f>
        <v>0.16</v>
      </c>
      <c r="G36" s="21">
        <f t="shared" si="23"/>
        <v>0.24</v>
      </c>
      <c r="H36" s="21">
        <f t="shared" si="23"/>
        <v>0.32</v>
      </c>
      <c r="I36" s="21">
        <f t="shared" si="23"/>
        <v>0.4</v>
      </c>
      <c r="J36" s="21">
        <f t="shared" si="23"/>
        <v>0.56000000000000005</v>
      </c>
      <c r="K36" s="22">
        <f t="shared" si="23"/>
        <v>0.56000000000000005</v>
      </c>
      <c r="L36" s="29">
        <f>K36</f>
        <v>0.56000000000000005</v>
      </c>
      <c r="M36" s="12">
        <f t="shared" si="20"/>
        <v>0.56000000000000005</v>
      </c>
      <c r="N36" s="12">
        <f t="shared" si="20"/>
        <v>0.56000000000000005</v>
      </c>
      <c r="O36" s="12">
        <f t="shared" si="20"/>
        <v>0.56000000000000005</v>
      </c>
      <c r="P36" s="12">
        <f t="shared" si="20"/>
        <v>0.56000000000000005</v>
      </c>
      <c r="Q36" s="12">
        <f t="shared" si="20"/>
        <v>0.56000000000000005</v>
      </c>
      <c r="R36" s="12">
        <f t="shared" si="20"/>
        <v>0.56000000000000005</v>
      </c>
      <c r="S36" s="12">
        <f t="shared" si="20"/>
        <v>0.56000000000000005</v>
      </c>
      <c r="T36" s="12">
        <f t="shared" si="15"/>
        <v>0.56000000000000005</v>
      </c>
      <c r="U36" s="12">
        <f t="shared" si="15"/>
        <v>0.56000000000000005</v>
      </c>
      <c r="V36" s="12">
        <f t="shared" si="15"/>
        <v>0.56000000000000005</v>
      </c>
      <c r="W36" s="12">
        <f t="shared" si="15"/>
        <v>0.56000000000000005</v>
      </c>
      <c r="X36" s="12">
        <f t="shared" si="15"/>
        <v>0.56000000000000005</v>
      </c>
      <c r="Y36" s="12">
        <f t="shared" si="15"/>
        <v>0.56000000000000005</v>
      </c>
      <c r="Z36" s="12">
        <f t="shared" si="15"/>
        <v>0.56000000000000005</v>
      </c>
      <c r="AA36" s="12">
        <f t="shared" si="15"/>
        <v>0.56000000000000005</v>
      </c>
      <c r="AB36" s="12">
        <f t="shared" si="15"/>
        <v>0.56000000000000005</v>
      </c>
      <c r="AC36" s="12">
        <f t="shared" si="15"/>
        <v>0.56000000000000005</v>
      </c>
    </row>
    <row r="37" spans="1:29" ht="13.5" hidden="1" thickBot="1">
      <c r="A37" s="48"/>
      <c r="B37" s="49" t="s">
        <v>68</v>
      </c>
      <c r="E37" s="13">
        <v>1</v>
      </c>
      <c r="F37" s="13">
        <v>1</v>
      </c>
      <c r="G37" s="13">
        <v>1</v>
      </c>
      <c r="H37" s="13">
        <v>1</v>
      </c>
      <c r="I37" s="13">
        <v>1</v>
      </c>
      <c r="J37" s="13">
        <v>1</v>
      </c>
      <c r="K37" s="12">
        <f>J37</f>
        <v>1</v>
      </c>
      <c r="L37" s="12">
        <f t="shared" ref="L37:S38" si="24">K37</f>
        <v>1</v>
      </c>
      <c r="M37" s="12">
        <f t="shared" si="24"/>
        <v>1</v>
      </c>
      <c r="N37" s="12">
        <f t="shared" si="24"/>
        <v>1</v>
      </c>
      <c r="O37" s="12">
        <f t="shared" si="24"/>
        <v>1</v>
      </c>
      <c r="P37" s="12">
        <f t="shared" si="24"/>
        <v>1</v>
      </c>
      <c r="Q37" s="12">
        <f t="shared" si="24"/>
        <v>1</v>
      </c>
      <c r="R37" s="12">
        <f t="shared" si="24"/>
        <v>1</v>
      </c>
      <c r="S37" s="12">
        <f t="shared" si="24"/>
        <v>1</v>
      </c>
      <c r="T37" s="12">
        <f t="shared" si="15"/>
        <v>1</v>
      </c>
      <c r="U37" s="12">
        <f t="shared" si="15"/>
        <v>1</v>
      </c>
      <c r="V37" s="12">
        <f t="shared" si="15"/>
        <v>1</v>
      </c>
      <c r="W37" s="12">
        <f t="shared" si="15"/>
        <v>1</v>
      </c>
      <c r="X37" s="12">
        <f t="shared" si="15"/>
        <v>1</v>
      </c>
      <c r="Y37" s="12">
        <f t="shared" si="15"/>
        <v>1</v>
      </c>
      <c r="Z37" s="12">
        <f t="shared" si="15"/>
        <v>1</v>
      </c>
      <c r="AA37" s="12">
        <f t="shared" si="15"/>
        <v>1</v>
      </c>
      <c r="AB37" s="12">
        <f t="shared" si="15"/>
        <v>1</v>
      </c>
      <c r="AC37" s="12">
        <f t="shared" si="15"/>
        <v>1</v>
      </c>
    </row>
    <row r="38" spans="1:29" ht="14.25" hidden="1" thickBot="1">
      <c r="A38" s="48"/>
      <c r="B38" s="51" t="s">
        <v>59</v>
      </c>
      <c r="E38" s="18">
        <f t="shared" ref="E38:J38" si="25">E36*E37/10</f>
        <v>8.0000000000000002E-3</v>
      </c>
      <c r="F38" s="18">
        <f t="shared" si="25"/>
        <v>1.6E-2</v>
      </c>
      <c r="G38" s="18">
        <f t="shared" si="25"/>
        <v>2.4E-2</v>
      </c>
      <c r="H38" s="18">
        <f t="shared" si="25"/>
        <v>3.2000000000000001E-2</v>
      </c>
      <c r="I38" s="18">
        <f t="shared" si="25"/>
        <v>0.04</v>
      </c>
      <c r="J38" s="18">
        <f t="shared" si="25"/>
        <v>5.6000000000000008E-2</v>
      </c>
      <c r="K38" s="19">
        <f>J38</f>
        <v>5.6000000000000008E-2</v>
      </c>
      <c r="L38" s="19">
        <f t="shared" si="24"/>
        <v>5.6000000000000008E-2</v>
      </c>
      <c r="M38" s="19">
        <f t="shared" si="24"/>
        <v>5.6000000000000008E-2</v>
      </c>
      <c r="N38" s="19">
        <f t="shared" si="24"/>
        <v>5.6000000000000008E-2</v>
      </c>
      <c r="O38" s="19">
        <f t="shared" si="24"/>
        <v>5.6000000000000008E-2</v>
      </c>
      <c r="P38" s="19">
        <f t="shared" si="24"/>
        <v>5.6000000000000008E-2</v>
      </c>
      <c r="Q38" s="19">
        <f t="shared" si="24"/>
        <v>5.6000000000000008E-2</v>
      </c>
      <c r="R38" s="19">
        <f t="shared" si="24"/>
        <v>5.6000000000000008E-2</v>
      </c>
      <c r="S38" s="19">
        <f t="shared" si="24"/>
        <v>5.6000000000000008E-2</v>
      </c>
      <c r="T38" s="11">
        <f t="shared" si="15"/>
        <v>5.6000000000000008E-2</v>
      </c>
      <c r="U38" s="11">
        <f t="shared" si="15"/>
        <v>5.6000000000000008E-2</v>
      </c>
      <c r="V38" s="11">
        <f t="shared" si="15"/>
        <v>5.6000000000000008E-2</v>
      </c>
      <c r="W38" s="11">
        <f t="shared" si="15"/>
        <v>5.6000000000000008E-2</v>
      </c>
      <c r="X38" s="11">
        <f t="shared" si="15"/>
        <v>5.6000000000000008E-2</v>
      </c>
      <c r="Y38" s="11">
        <f t="shared" si="15"/>
        <v>5.6000000000000008E-2</v>
      </c>
      <c r="Z38" s="11">
        <f t="shared" si="15"/>
        <v>5.6000000000000008E-2</v>
      </c>
      <c r="AA38" s="11">
        <f t="shared" si="15"/>
        <v>5.6000000000000008E-2</v>
      </c>
      <c r="AB38" s="11">
        <f t="shared" si="15"/>
        <v>5.6000000000000008E-2</v>
      </c>
      <c r="AC38" s="11">
        <f t="shared" si="15"/>
        <v>5.6000000000000008E-2</v>
      </c>
    </row>
    <row r="39" spans="1:29" ht="14.25" hidden="1" thickBot="1">
      <c r="A39" s="48"/>
      <c r="B39" s="51" t="s">
        <v>91</v>
      </c>
      <c r="E39" s="18">
        <f>E38*1000</f>
        <v>8</v>
      </c>
      <c r="F39" s="18">
        <f t="shared" ref="F39:S39" si="26">F38*1000</f>
        <v>16</v>
      </c>
      <c r="G39" s="18">
        <f t="shared" si="26"/>
        <v>24</v>
      </c>
      <c r="H39" s="18">
        <f t="shared" si="26"/>
        <v>32</v>
      </c>
      <c r="I39" s="18">
        <f t="shared" si="26"/>
        <v>40</v>
      </c>
      <c r="J39" s="18">
        <f t="shared" si="26"/>
        <v>56.000000000000007</v>
      </c>
      <c r="K39" s="18">
        <f t="shared" si="26"/>
        <v>56.000000000000007</v>
      </c>
      <c r="L39" s="18">
        <f t="shared" si="26"/>
        <v>56.000000000000007</v>
      </c>
      <c r="M39" s="18">
        <f t="shared" si="26"/>
        <v>56.000000000000007</v>
      </c>
      <c r="N39" s="18">
        <f t="shared" si="26"/>
        <v>56.000000000000007</v>
      </c>
      <c r="O39" s="18">
        <f t="shared" si="26"/>
        <v>56.000000000000007</v>
      </c>
      <c r="P39" s="18">
        <f t="shared" si="26"/>
        <v>56.000000000000007</v>
      </c>
      <c r="Q39" s="18">
        <f t="shared" si="26"/>
        <v>56.000000000000007</v>
      </c>
      <c r="R39" s="18">
        <f t="shared" si="26"/>
        <v>56.000000000000007</v>
      </c>
      <c r="S39" s="18">
        <f t="shared" si="26"/>
        <v>56.000000000000007</v>
      </c>
      <c r="T39" s="11">
        <f t="shared" si="15"/>
        <v>56.000000000000007</v>
      </c>
      <c r="U39" s="11">
        <f t="shared" si="15"/>
        <v>56.000000000000007</v>
      </c>
      <c r="V39" s="11">
        <f t="shared" si="15"/>
        <v>56.000000000000007</v>
      </c>
      <c r="W39" s="11">
        <f t="shared" si="15"/>
        <v>56.000000000000007</v>
      </c>
      <c r="X39" s="11">
        <f t="shared" si="15"/>
        <v>56.000000000000007</v>
      </c>
      <c r="Y39" s="11">
        <f t="shared" si="15"/>
        <v>56.000000000000007</v>
      </c>
      <c r="Z39" s="11">
        <f t="shared" si="15"/>
        <v>56.000000000000007</v>
      </c>
      <c r="AA39" s="11">
        <f t="shared" si="15"/>
        <v>56.000000000000007</v>
      </c>
      <c r="AB39" s="11">
        <f t="shared" si="15"/>
        <v>56.000000000000007</v>
      </c>
      <c r="AC39" s="11">
        <f t="shared" si="15"/>
        <v>56.000000000000007</v>
      </c>
    </row>
    <row r="40" spans="1:29" ht="13.5" hidden="1" thickBot="1">
      <c r="A40" s="48"/>
      <c r="B40" s="49"/>
    </row>
    <row r="41" spans="1:29">
      <c r="A41" s="48"/>
      <c r="B41" s="48" t="s">
        <v>254</v>
      </c>
      <c r="C41" s="153">
        <f>+C59*1.03</f>
        <v>4.6587414999999996</v>
      </c>
      <c r="D41" s="182"/>
    </row>
    <row r="42" spans="1:29">
      <c r="A42" s="48"/>
      <c r="B42" s="48" t="s">
        <v>261</v>
      </c>
      <c r="C42" s="156">
        <f>+C41*E59</f>
        <v>0.46587414999999999</v>
      </c>
      <c r="D42" s="182"/>
    </row>
    <row r="43" spans="1:29" s="163" customFormat="1" ht="15">
      <c r="A43" s="160"/>
      <c r="B43" s="161" t="s">
        <v>253</v>
      </c>
      <c r="C43" s="161" t="s">
        <v>271</v>
      </c>
      <c r="D43" s="161"/>
      <c r="E43" s="162">
        <v>0</v>
      </c>
      <c r="F43" s="162">
        <f>$C$42*E6*365/1000000000</f>
        <v>6.2236127698500003E-2</v>
      </c>
      <c r="G43" s="162">
        <f t="shared" ref="G43:AC43" si="27">$C$42*F6*365/1000000000</f>
        <v>0.12600265197975</v>
      </c>
      <c r="H43" s="162">
        <f t="shared" si="27"/>
        <v>0.20201234892300002</v>
      </c>
      <c r="I43" s="162">
        <f t="shared" si="27"/>
        <v>0.30914010971549999</v>
      </c>
      <c r="J43" s="162">
        <f t="shared" si="27"/>
        <v>0.40688143813379996</v>
      </c>
      <c r="K43" s="162">
        <f t="shared" si="27"/>
        <v>0.46238382086820001</v>
      </c>
      <c r="L43" s="162">
        <f t="shared" si="27"/>
        <v>0.46238382086820001</v>
      </c>
      <c r="M43" s="162">
        <f t="shared" si="27"/>
        <v>0.46238382086820001</v>
      </c>
      <c r="N43" s="162">
        <f t="shared" si="27"/>
        <v>0.46238382086820001</v>
      </c>
      <c r="O43" s="162">
        <f t="shared" si="27"/>
        <v>0.46238382086820001</v>
      </c>
      <c r="P43" s="162">
        <f t="shared" si="27"/>
        <v>0.46238382086820001</v>
      </c>
      <c r="Q43" s="162">
        <f t="shared" si="27"/>
        <v>0.46238382086820001</v>
      </c>
      <c r="R43" s="162">
        <f t="shared" si="27"/>
        <v>0.46238382086820001</v>
      </c>
      <c r="S43" s="162">
        <f t="shared" si="27"/>
        <v>0.46238382086820001</v>
      </c>
      <c r="T43" s="162">
        <f t="shared" si="27"/>
        <v>0.46238382086820001</v>
      </c>
      <c r="U43" s="162">
        <f t="shared" si="27"/>
        <v>0.46238382086820001</v>
      </c>
      <c r="V43" s="162">
        <f t="shared" si="27"/>
        <v>0.46238382086820001</v>
      </c>
      <c r="W43" s="162">
        <f t="shared" si="27"/>
        <v>0.46238382086820001</v>
      </c>
      <c r="X43" s="162">
        <f t="shared" si="27"/>
        <v>0.46238382086820001</v>
      </c>
      <c r="Y43" s="162">
        <f t="shared" si="27"/>
        <v>0.46238382086820001</v>
      </c>
      <c r="Z43" s="162">
        <f t="shared" si="27"/>
        <v>0.46238382086820001</v>
      </c>
      <c r="AA43" s="162">
        <f t="shared" si="27"/>
        <v>0.46238382086820001</v>
      </c>
      <c r="AB43" s="162">
        <f t="shared" si="27"/>
        <v>0.46238382086820001</v>
      </c>
      <c r="AC43" s="162">
        <f t="shared" si="27"/>
        <v>0.46238382086820001</v>
      </c>
    </row>
    <row r="44" spans="1:29" hidden="1">
      <c r="A44" s="48"/>
      <c r="B44" s="49" t="s">
        <v>94</v>
      </c>
      <c r="C44" s="28">
        <f>'Feed and Fodder'!S4</f>
        <v>2.5000000000000001E-3</v>
      </c>
      <c r="D44" s="28"/>
      <c r="E44" s="31">
        <f>$C$44*E43</f>
        <v>0</v>
      </c>
      <c r="F44" s="31">
        <f t="shared" ref="F44:AC44" si="28">$C$44*F43</f>
        <v>1.5559031924625001E-4</v>
      </c>
      <c r="G44" s="31">
        <f t="shared" si="28"/>
        <v>3.15006629949375E-4</v>
      </c>
      <c r="H44" s="31">
        <f t="shared" si="28"/>
        <v>5.0503087230750006E-4</v>
      </c>
      <c r="I44" s="31">
        <f t="shared" si="28"/>
        <v>7.7285027428874997E-4</v>
      </c>
      <c r="J44" s="31">
        <f t="shared" si="28"/>
        <v>1.0172035953345E-3</v>
      </c>
      <c r="K44" s="31">
        <f t="shared" si="28"/>
        <v>1.1559595521705001E-3</v>
      </c>
      <c r="L44" s="31">
        <f t="shared" si="28"/>
        <v>1.1559595521705001E-3</v>
      </c>
      <c r="M44" s="31">
        <f t="shared" si="28"/>
        <v>1.1559595521705001E-3</v>
      </c>
      <c r="N44" s="31">
        <f t="shared" si="28"/>
        <v>1.1559595521705001E-3</v>
      </c>
      <c r="O44" s="31">
        <f t="shared" si="28"/>
        <v>1.1559595521705001E-3</v>
      </c>
      <c r="P44" s="31">
        <f t="shared" si="28"/>
        <v>1.1559595521705001E-3</v>
      </c>
      <c r="Q44" s="31">
        <f t="shared" si="28"/>
        <v>1.1559595521705001E-3</v>
      </c>
      <c r="R44" s="31">
        <f t="shared" si="28"/>
        <v>1.1559595521705001E-3</v>
      </c>
      <c r="S44" s="31">
        <f t="shared" si="28"/>
        <v>1.1559595521705001E-3</v>
      </c>
      <c r="T44" s="31">
        <f t="shared" si="28"/>
        <v>1.1559595521705001E-3</v>
      </c>
      <c r="U44" s="31">
        <f t="shared" si="28"/>
        <v>1.1559595521705001E-3</v>
      </c>
      <c r="V44" s="31">
        <f t="shared" si="28"/>
        <v>1.1559595521705001E-3</v>
      </c>
      <c r="W44" s="31">
        <f t="shared" si="28"/>
        <v>1.1559595521705001E-3</v>
      </c>
      <c r="X44" s="31">
        <f t="shared" si="28"/>
        <v>1.1559595521705001E-3</v>
      </c>
      <c r="Y44" s="31">
        <f t="shared" si="28"/>
        <v>1.1559595521705001E-3</v>
      </c>
      <c r="Z44" s="31">
        <f t="shared" si="28"/>
        <v>1.1559595521705001E-3</v>
      </c>
      <c r="AA44" s="31">
        <f t="shared" si="28"/>
        <v>1.1559595521705001E-3</v>
      </c>
      <c r="AB44" s="31">
        <f t="shared" si="28"/>
        <v>1.1559595521705001E-3</v>
      </c>
      <c r="AC44" s="31">
        <f t="shared" si="28"/>
        <v>1.1559595521705001E-3</v>
      </c>
    </row>
    <row r="45" spans="1:29" ht="15">
      <c r="A45" s="48"/>
      <c r="B45" s="169" t="s">
        <v>92</v>
      </c>
      <c r="C45" s="170" t="s">
        <v>100</v>
      </c>
      <c r="D45" s="170"/>
      <c r="E45" s="171">
        <v>0</v>
      </c>
      <c r="F45" s="171">
        <f>+$C$71*$C$41*E6*365/1000000</f>
        <v>364.67775629762866</v>
      </c>
      <c r="G45" s="171">
        <f t="shared" ref="G45:AC45" si="29">+$C$71*$C$41*F6*365/1000000</f>
        <v>738.32299840585472</v>
      </c>
      <c r="H45" s="171">
        <f t="shared" si="29"/>
        <v>1183.7081269988601</v>
      </c>
      <c r="I45" s="171">
        <f t="shared" si="29"/>
        <v>1811.43213374068</v>
      </c>
      <c r="J45" s="171">
        <f t="shared" si="29"/>
        <v>2384.1555608441686</v>
      </c>
      <c r="K45" s="171">
        <f t="shared" si="29"/>
        <v>2709.3763795751688</v>
      </c>
      <c r="L45" s="171">
        <f t="shared" si="29"/>
        <v>2709.3763795751688</v>
      </c>
      <c r="M45" s="171">
        <f t="shared" si="29"/>
        <v>2709.3763795751688</v>
      </c>
      <c r="N45" s="171">
        <f t="shared" si="29"/>
        <v>2709.3763795751688</v>
      </c>
      <c r="O45" s="171">
        <f t="shared" si="29"/>
        <v>2709.3763795751688</v>
      </c>
      <c r="P45" s="171">
        <f t="shared" si="29"/>
        <v>2709.3763795751688</v>
      </c>
      <c r="Q45" s="171">
        <f t="shared" si="29"/>
        <v>2709.3763795751688</v>
      </c>
      <c r="R45" s="171">
        <f t="shared" si="29"/>
        <v>2709.3763795751688</v>
      </c>
      <c r="S45" s="171">
        <f t="shared" si="29"/>
        <v>2709.3763795751688</v>
      </c>
      <c r="T45" s="171">
        <f t="shared" si="29"/>
        <v>2709.3763795751688</v>
      </c>
      <c r="U45" s="171">
        <f t="shared" si="29"/>
        <v>2709.3763795751688</v>
      </c>
      <c r="V45" s="171">
        <f t="shared" si="29"/>
        <v>2709.3763795751688</v>
      </c>
      <c r="W45" s="171">
        <f t="shared" si="29"/>
        <v>2709.3763795751688</v>
      </c>
      <c r="X45" s="171">
        <f t="shared" si="29"/>
        <v>2709.3763795751688</v>
      </c>
      <c r="Y45" s="171">
        <f t="shared" si="29"/>
        <v>2709.3763795751688</v>
      </c>
      <c r="Z45" s="171">
        <f t="shared" si="29"/>
        <v>2709.3763795751688</v>
      </c>
      <c r="AA45" s="171">
        <f t="shared" si="29"/>
        <v>2709.3763795751688</v>
      </c>
      <c r="AB45" s="171">
        <f t="shared" si="29"/>
        <v>2709.3763795751688</v>
      </c>
      <c r="AC45" s="171">
        <f t="shared" si="29"/>
        <v>2709.3763795751688</v>
      </c>
    </row>
    <row r="46" spans="1:29" ht="13.5" thickBot="1"/>
    <row r="47" spans="1:29" ht="13.5" thickBot="1">
      <c r="B47" s="166" t="s">
        <v>132</v>
      </c>
      <c r="C47" s="168">
        <f>'Feed and Fodder'!D33</f>
        <v>0.16453421250000003</v>
      </c>
      <c r="D47" s="183"/>
      <c r="E47" s="167">
        <v>0</v>
      </c>
      <c r="F47" s="135">
        <f>$C$47*E6</f>
        <v>60219.521775000008</v>
      </c>
      <c r="G47" s="135">
        <f t="shared" ref="G47:AC47" si="30">$C$47*F6</f>
        <v>121919.85146250002</v>
      </c>
      <c r="H47" s="135">
        <f t="shared" si="30"/>
        <v>195466.64445000002</v>
      </c>
      <c r="I47" s="135">
        <f t="shared" si="30"/>
        <v>299123.19832500006</v>
      </c>
      <c r="J47" s="135">
        <f t="shared" si="30"/>
        <v>393697.46367000008</v>
      </c>
      <c r="K47" s="135">
        <f t="shared" si="30"/>
        <v>447401.43063000008</v>
      </c>
      <c r="L47" s="135">
        <f t="shared" si="30"/>
        <v>447401.43063000008</v>
      </c>
      <c r="M47" s="135">
        <f t="shared" si="30"/>
        <v>447401.43063000008</v>
      </c>
      <c r="N47" s="135">
        <f t="shared" si="30"/>
        <v>447401.43063000008</v>
      </c>
      <c r="O47" s="135">
        <f t="shared" si="30"/>
        <v>447401.43063000008</v>
      </c>
      <c r="P47" s="135">
        <f t="shared" si="30"/>
        <v>447401.43063000008</v>
      </c>
      <c r="Q47" s="135">
        <f t="shared" si="30"/>
        <v>447401.43063000008</v>
      </c>
      <c r="R47" s="135">
        <f t="shared" si="30"/>
        <v>447401.43063000008</v>
      </c>
      <c r="S47" s="135">
        <f t="shared" si="30"/>
        <v>447401.43063000008</v>
      </c>
      <c r="T47" s="135">
        <f t="shared" si="30"/>
        <v>447401.43063000008</v>
      </c>
      <c r="U47" s="135">
        <f t="shared" si="30"/>
        <v>447401.43063000008</v>
      </c>
      <c r="V47" s="135">
        <f t="shared" si="30"/>
        <v>447401.43063000008</v>
      </c>
      <c r="W47" s="135">
        <f t="shared" si="30"/>
        <v>447401.43063000008</v>
      </c>
      <c r="X47" s="135">
        <f t="shared" si="30"/>
        <v>447401.43063000008</v>
      </c>
      <c r="Y47" s="135">
        <f t="shared" si="30"/>
        <v>447401.43063000008</v>
      </c>
      <c r="Z47" s="135">
        <f t="shared" si="30"/>
        <v>447401.43063000008</v>
      </c>
      <c r="AA47" s="135">
        <f t="shared" si="30"/>
        <v>447401.43063000008</v>
      </c>
      <c r="AB47" s="135">
        <f t="shared" si="30"/>
        <v>447401.43063000008</v>
      </c>
      <c r="AC47" s="135">
        <f t="shared" si="30"/>
        <v>447401.43063000008</v>
      </c>
    </row>
    <row r="48" spans="1:29" ht="15">
      <c r="B48" s="169" t="s">
        <v>133</v>
      </c>
      <c r="C48" s="172">
        <f>'Feed and Fodder'!C34</f>
        <v>740</v>
      </c>
      <c r="D48" s="172"/>
      <c r="E48" s="171">
        <f>E47*$C$48/1000000</f>
        <v>0</v>
      </c>
      <c r="F48" s="171">
        <f t="shared" ref="F48:H48" si="31">F47*$C$48/1000000</f>
        <v>44.562446113500009</v>
      </c>
      <c r="G48" s="171">
        <f t="shared" si="31"/>
        <v>90.220690082250016</v>
      </c>
      <c r="H48" s="171">
        <f t="shared" si="31"/>
        <v>144.645316893</v>
      </c>
      <c r="I48" s="171">
        <f>I47*$C$48/1000000</f>
        <v>221.35116676050004</v>
      </c>
      <c r="J48" s="171">
        <f t="shared" ref="J48:AC48" si="32">J47*$C$48/1000000</f>
        <v>291.33612311580009</v>
      </c>
      <c r="K48" s="171">
        <f t="shared" si="32"/>
        <v>331.07705866620006</v>
      </c>
      <c r="L48" s="171">
        <f t="shared" si="32"/>
        <v>331.07705866620006</v>
      </c>
      <c r="M48" s="171">
        <f t="shared" si="32"/>
        <v>331.07705866620006</v>
      </c>
      <c r="N48" s="171">
        <f t="shared" si="32"/>
        <v>331.07705866620006</v>
      </c>
      <c r="O48" s="171">
        <f t="shared" si="32"/>
        <v>331.07705866620006</v>
      </c>
      <c r="P48" s="171">
        <f t="shared" si="32"/>
        <v>331.07705866620006</v>
      </c>
      <c r="Q48" s="171">
        <f t="shared" si="32"/>
        <v>331.07705866620006</v>
      </c>
      <c r="R48" s="171">
        <f t="shared" si="32"/>
        <v>331.07705866620006</v>
      </c>
      <c r="S48" s="171">
        <f t="shared" si="32"/>
        <v>331.07705866620006</v>
      </c>
      <c r="T48" s="171">
        <f t="shared" si="32"/>
        <v>331.07705866620006</v>
      </c>
      <c r="U48" s="171">
        <f t="shared" si="32"/>
        <v>331.07705866620006</v>
      </c>
      <c r="V48" s="171">
        <f t="shared" si="32"/>
        <v>331.07705866620006</v>
      </c>
      <c r="W48" s="171">
        <f t="shared" si="32"/>
        <v>331.07705866620006</v>
      </c>
      <c r="X48" s="171">
        <f t="shared" si="32"/>
        <v>331.07705866620006</v>
      </c>
      <c r="Y48" s="171">
        <f t="shared" si="32"/>
        <v>331.07705866620006</v>
      </c>
      <c r="Z48" s="171">
        <f t="shared" si="32"/>
        <v>331.07705866620006</v>
      </c>
      <c r="AA48" s="171">
        <f t="shared" si="32"/>
        <v>331.07705866620006</v>
      </c>
      <c r="AB48" s="171">
        <f t="shared" si="32"/>
        <v>331.07705866620006</v>
      </c>
      <c r="AC48" s="171">
        <f t="shared" si="32"/>
        <v>331.07705866620006</v>
      </c>
    </row>
    <row r="50" spans="2:30" ht="15">
      <c r="B50" s="169" t="s">
        <v>249</v>
      </c>
      <c r="C50" s="170"/>
      <c r="D50" s="170"/>
      <c r="E50" s="171">
        <f>+E43*$G$62</f>
        <v>0</v>
      </c>
      <c r="F50" s="171">
        <f t="shared" ref="F50:AC50" si="33">+F43*$G$62</f>
        <v>190.70142241534666</v>
      </c>
      <c r="G50" s="171">
        <f t="shared" si="33"/>
        <v>386.09222407041489</v>
      </c>
      <c r="H50" s="171">
        <f t="shared" si="33"/>
        <v>618.9980596432564</v>
      </c>
      <c r="I50" s="171">
        <f t="shared" si="33"/>
        <v>947.25460642377095</v>
      </c>
      <c r="J50" s="171">
        <f t="shared" si="33"/>
        <v>1246.7496272006595</v>
      </c>
      <c r="K50" s="171">
        <f t="shared" si="33"/>
        <v>1416.8177809612312</v>
      </c>
      <c r="L50" s="171">
        <f t="shared" si="33"/>
        <v>1416.8177809612312</v>
      </c>
      <c r="M50" s="171">
        <f t="shared" si="33"/>
        <v>1416.8177809612312</v>
      </c>
      <c r="N50" s="171">
        <f t="shared" si="33"/>
        <v>1416.8177809612312</v>
      </c>
      <c r="O50" s="171">
        <f t="shared" si="33"/>
        <v>1416.8177809612312</v>
      </c>
      <c r="P50" s="171">
        <f t="shared" si="33"/>
        <v>1416.8177809612312</v>
      </c>
      <c r="Q50" s="171">
        <f t="shared" si="33"/>
        <v>1416.8177809612312</v>
      </c>
      <c r="R50" s="171">
        <f t="shared" si="33"/>
        <v>1416.8177809612312</v>
      </c>
      <c r="S50" s="171">
        <f t="shared" si="33"/>
        <v>1416.8177809612312</v>
      </c>
      <c r="T50" s="171">
        <f t="shared" si="33"/>
        <v>1416.8177809612312</v>
      </c>
      <c r="U50" s="171">
        <f t="shared" si="33"/>
        <v>1416.8177809612312</v>
      </c>
      <c r="V50" s="171">
        <f t="shared" si="33"/>
        <v>1416.8177809612312</v>
      </c>
      <c r="W50" s="171">
        <f t="shared" si="33"/>
        <v>1416.8177809612312</v>
      </c>
      <c r="X50" s="171">
        <f t="shared" si="33"/>
        <v>1416.8177809612312</v>
      </c>
      <c r="Y50" s="171">
        <f t="shared" si="33"/>
        <v>1416.8177809612312</v>
      </c>
      <c r="Z50" s="171">
        <f t="shared" si="33"/>
        <v>1416.8177809612312</v>
      </c>
      <c r="AA50" s="171">
        <f t="shared" si="33"/>
        <v>1416.8177809612312</v>
      </c>
      <c r="AB50" s="171">
        <f t="shared" si="33"/>
        <v>1416.8177809612312</v>
      </c>
      <c r="AC50" s="171">
        <f t="shared" si="33"/>
        <v>1416.8177809612312</v>
      </c>
    </row>
    <row r="51" spans="2:30">
      <c r="B51" s="11"/>
    </row>
    <row r="52" spans="2:30">
      <c r="B52" s="136" t="s">
        <v>250</v>
      </c>
      <c r="C52" s="136"/>
      <c r="D52" s="136"/>
      <c r="E52" s="137">
        <f>+SUM(E45,E48,E50)</f>
        <v>0</v>
      </c>
      <c r="F52" s="137">
        <f>+SUM(F45,F48,F50)</f>
        <v>599.94162482647539</v>
      </c>
      <c r="G52" s="137">
        <f t="shared" ref="G52:AC52" si="34">+SUM(G45,G48,G50)</f>
        <v>1214.6359125585195</v>
      </c>
      <c r="H52" s="137">
        <f t="shared" si="34"/>
        <v>1947.3515035351165</v>
      </c>
      <c r="I52" s="137">
        <f t="shared" si="34"/>
        <v>2980.0379069249511</v>
      </c>
      <c r="J52" s="137">
        <f t="shared" si="34"/>
        <v>3922.2413111606284</v>
      </c>
      <c r="K52" s="137">
        <f t="shared" si="34"/>
        <v>4457.2712192026002</v>
      </c>
      <c r="L52" s="137">
        <f t="shared" si="34"/>
        <v>4457.2712192026002</v>
      </c>
      <c r="M52" s="137">
        <f t="shared" si="34"/>
        <v>4457.2712192026002</v>
      </c>
      <c r="N52" s="137">
        <f t="shared" si="34"/>
        <v>4457.2712192026002</v>
      </c>
      <c r="O52" s="137">
        <f t="shared" si="34"/>
        <v>4457.2712192026002</v>
      </c>
      <c r="P52" s="137">
        <f t="shared" si="34"/>
        <v>4457.2712192026002</v>
      </c>
      <c r="Q52" s="137">
        <f t="shared" si="34"/>
        <v>4457.2712192026002</v>
      </c>
      <c r="R52" s="137">
        <f t="shared" si="34"/>
        <v>4457.2712192026002</v>
      </c>
      <c r="S52" s="137">
        <f t="shared" si="34"/>
        <v>4457.2712192026002</v>
      </c>
      <c r="T52" s="137">
        <f t="shared" si="34"/>
        <v>4457.2712192026002</v>
      </c>
      <c r="U52" s="137">
        <f t="shared" si="34"/>
        <v>4457.2712192026002</v>
      </c>
      <c r="V52" s="137">
        <f t="shared" si="34"/>
        <v>4457.2712192026002</v>
      </c>
      <c r="W52" s="137">
        <f t="shared" si="34"/>
        <v>4457.2712192026002</v>
      </c>
      <c r="X52" s="137">
        <f t="shared" si="34"/>
        <v>4457.2712192026002</v>
      </c>
      <c r="Y52" s="137">
        <f t="shared" si="34"/>
        <v>4457.2712192026002</v>
      </c>
      <c r="Z52" s="137">
        <f t="shared" si="34"/>
        <v>4457.2712192026002</v>
      </c>
      <c r="AA52" s="137">
        <f t="shared" si="34"/>
        <v>4457.2712192026002</v>
      </c>
      <c r="AB52" s="137">
        <f t="shared" si="34"/>
        <v>4457.2712192026002</v>
      </c>
      <c r="AC52" s="137">
        <f t="shared" si="34"/>
        <v>4457.2712192026002</v>
      </c>
    </row>
    <row r="54" spans="2:30">
      <c r="B54" s="157"/>
      <c r="C54" s="157"/>
      <c r="D54" s="157"/>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c r="AD54" s="157"/>
    </row>
    <row r="55" spans="2:30">
      <c r="B55" s="11" t="s">
        <v>177</v>
      </c>
      <c r="D55" s="12">
        <f>+D59*E59</f>
        <v>165.09132499999998</v>
      </c>
    </row>
    <row r="56" spans="2:30">
      <c r="J56" s="12">
        <f>+C57*C42</f>
        <v>170.04406474999999</v>
      </c>
    </row>
    <row r="57" spans="2:30">
      <c r="B57" s="142" t="s">
        <v>176</v>
      </c>
      <c r="C57" s="142">
        <v>365</v>
      </c>
      <c r="D57" s="48">
        <v>1438</v>
      </c>
      <c r="E57" s="201">
        <f>+G59/D57</f>
        <v>0.11480620653685673</v>
      </c>
      <c r="G57" s="12" t="s">
        <v>262</v>
      </c>
      <c r="J57" s="12">
        <f>+J56*1.03</f>
        <v>175.14538669249998</v>
      </c>
      <c r="K57" s="12">
        <f>+J57/1000</f>
        <v>0.17514538669249999</v>
      </c>
    </row>
    <row r="58" spans="2:30" ht="13.5" thickBot="1">
      <c r="G58" s="12" t="s">
        <v>263</v>
      </c>
      <c r="J58" s="12">
        <f>+J57*J6</f>
        <v>476255335.49424595</v>
      </c>
      <c r="K58" s="12">
        <f>+K57*2.94</f>
        <v>0.51492743687595</v>
      </c>
    </row>
    <row r="59" spans="2:30" ht="13.5" thickBot="1">
      <c r="B59" s="142" t="s">
        <v>265</v>
      </c>
      <c r="C59" s="197">
        <f>'Feed and Fodder (F) Zone.2'!$C$59</f>
        <v>4.5230499999999996</v>
      </c>
      <c r="D59" s="200">
        <f>+C59*C57</f>
        <v>1650.9132499999998</v>
      </c>
      <c r="E59" s="155">
        <v>0.1</v>
      </c>
      <c r="G59" s="152">
        <f>+C59*C57*E59</f>
        <v>165.09132499999998</v>
      </c>
    </row>
    <row r="60" spans="2:30" ht="25.5">
      <c r="B60" s="144"/>
      <c r="C60" s="150" t="s">
        <v>264</v>
      </c>
      <c r="D60" s="185"/>
      <c r="E60" s="154" t="s">
        <v>181</v>
      </c>
    </row>
    <row r="61" spans="2:30" ht="13.5" thickBot="1">
      <c r="B61" s="144" t="s">
        <v>179</v>
      </c>
      <c r="C61" s="149">
        <v>2.1360000000000001</v>
      </c>
      <c r="D61" s="149"/>
      <c r="E61" s="145">
        <v>0.35</v>
      </c>
      <c r="G61" s="12" t="s">
        <v>266</v>
      </c>
      <c r="I61" s="12" t="s">
        <v>99</v>
      </c>
      <c r="K61" s="151">
        <f>+G59*'Feed and Fodder (E) Zone.2'!J99+'Feed and Fodder (E) Zone.2'!J98*'Feed and Fodder (F) Zone.2'!G59</f>
        <v>165.09132499999998</v>
      </c>
    </row>
    <row r="62" spans="2:30" ht="13.5" thickBot="1">
      <c r="B62" s="144" t="s">
        <v>178</v>
      </c>
      <c r="C62" s="149">
        <v>6.8689999999999998</v>
      </c>
      <c r="D62" s="149"/>
      <c r="E62" s="145">
        <v>0.35</v>
      </c>
      <c r="G62" s="152">
        <v>3064.1595077892816</v>
      </c>
    </row>
    <row r="63" spans="2:30">
      <c r="B63" s="144" t="s">
        <v>180</v>
      </c>
      <c r="C63" s="149">
        <v>4.5709999999999997</v>
      </c>
      <c r="D63" s="149"/>
      <c r="E63" s="145">
        <f>'Feed and Fodder'!C25</f>
        <v>0.3</v>
      </c>
    </row>
    <row r="65" spans="2:30" ht="13.5" thickBot="1">
      <c r="G65" s="12" t="s">
        <v>267</v>
      </c>
      <c r="I65" s="12" t="s">
        <v>93</v>
      </c>
    </row>
    <row r="66" spans="2:30" ht="13.5" thickBot="1">
      <c r="B66" s="142" t="s">
        <v>268</v>
      </c>
      <c r="C66" s="146">
        <f>+G66</f>
        <v>16.741665734929164</v>
      </c>
      <c r="D66" s="186"/>
      <c r="G66" s="159">
        <v>16.741665734929164</v>
      </c>
    </row>
    <row r="67" spans="2:30">
      <c r="B67" s="142" t="s">
        <v>251</v>
      </c>
      <c r="C67" s="143">
        <v>0.7</v>
      </c>
      <c r="D67" s="187"/>
    </row>
    <row r="68" spans="2:30">
      <c r="B68" s="142" t="s">
        <v>269</v>
      </c>
      <c r="C68" s="146">
        <f>+C66*C67</f>
        <v>11.719166014450414</v>
      </c>
      <c r="D68" s="186"/>
    </row>
    <row r="70" spans="2:30">
      <c r="B70" s="142" t="s">
        <v>252</v>
      </c>
      <c r="C70" s="143">
        <v>0.05</v>
      </c>
      <c r="D70" s="187"/>
    </row>
    <row r="71" spans="2:30">
      <c r="B71" s="142" t="s">
        <v>270</v>
      </c>
      <c r="C71" s="146">
        <f>+C68*C70</f>
        <v>0.58595830072252075</v>
      </c>
      <c r="D71" s="203">
        <f>+C71/C66</f>
        <v>3.5000000000000003E-2</v>
      </c>
      <c r="E71" s="12">
        <f>+C71*E6*C41</f>
        <v>999117.14054144826</v>
      </c>
      <c r="G71" s="12">
        <f>+C71/C66</f>
        <v>3.5000000000000003E-2</v>
      </c>
    </row>
    <row r="75" spans="2:30" ht="15">
      <c r="B75" s="1"/>
      <c r="C75" s="65">
        <v>1</v>
      </c>
      <c r="D75" s="1"/>
      <c r="E75" s="3" t="s">
        <v>226</v>
      </c>
      <c r="F75" s="3" t="s">
        <v>227</v>
      </c>
      <c r="G75" s="3" t="s">
        <v>228</v>
      </c>
      <c r="H75" s="3" t="s">
        <v>229</v>
      </c>
      <c r="I75" s="3" t="s">
        <v>230</v>
      </c>
      <c r="J75" s="3" t="s">
        <v>231</v>
      </c>
      <c r="K75" s="3" t="s">
        <v>232</v>
      </c>
      <c r="L75" s="3" t="s">
        <v>233</v>
      </c>
      <c r="M75" s="3" t="s">
        <v>234</v>
      </c>
      <c r="N75" s="3" t="s">
        <v>235</v>
      </c>
      <c r="O75" s="3" t="s">
        <v>236</v>
      </c>
      <c r="P75" s="3" t="s">
        <v>237</v>
      </c>
      <c r="Q75" s="3" t="s">
        <v>238</v>
      </c>
      <c r="R75" s="3" t="s">
        <v>239</v>
      </c>
      <c r="S75" s="3" t="s">
        <v>240</v>
      </c>
      <c r="T75" s="3" t="s">
        <v>241</v>
      </c>
      <c r="U75" s="3" t="s">
        <v>242</v>
      </c>
      <c r="V75" s="3" t="s">
        <v>243</v>
      </c>
      <c r="W75" s="3" t="s">
        <v>244</v>
      </c>
      <c r="X75" s="3" t="s">
        <v>245</v>
      </c>
      <c r="Y75" s="3" t="s">
        <v>288</v>
      </c>
      <c r="Z75" s="3" t="s">
        <v>289</v>
      </c>
      <c r="AA75" s="3" t="s">
        <v>290</v>
      </c>
      <c r="AB75" s="3" t="s">
        <v>291</v>
      </c>
      <c r="AC75" s="3" t="s">
        <v>292</v>
      </c>
      <c r="AD75" s="3" t="s">
        <v>293</v>
      </c>
    </row>
    <row r="76" spans="2:30" ht="15">
      <c r="B76" s="188" t="s">
        <v>284</v>
      </c>
      <c r="C76" s="1" t="s">
        <v>285</v>
      </c>
      <c r="E76" s="1">
        <v>0</v>
      </c>
      <c r="F76" s="1">
        <v>0</v>
      </c>
      <c r="G76" s="1">
        <v>0.25</v>
      </c>
      <c r="H76" s="1">
        <v>0.5</v>
      </c>
      <c r="I76" s="1">
        <v>0.75</v>
      </c>
      <c r="J76" s="1">
        <v>1</v>
      </c>
      <c r="K76" s="1">
        <v>1</v>
      </c>
      <c r="L76" s="1">
        <v>1</v>
      </c>
      <c r="M76" s="1">
        <v>1</v>
      </c>
      <c r="N76" s="1">
        <v>1</v>
      </c>
      <c r="O76" s="1">
        <v>1</v>
      </c>
      <c r="P76" s="1">
        <v>1</v>
      </c>
      <c r="Q76" s="1">
        <v>1</v>
      </c>
      <c r="R76" s="1">
        <v>1</v>
      </c>
      <c r="S76" s="1">
        <v>1</v>
      </c>
      <c r="T76" s="1">
        <v>1</v>
      </c>
      <c r="U76" s="1">
        <v>1</v>
      </c>
      <c r="V76" s="1">
        <v>1</v>
      </c>
      <c r="W76" s="1">
        <v>1</v>
      </c>
      <c r="X76" s="1">
        <v>1</v>
      </c>
      <c r="Y76" s="1">
        <v>1</v>
      </c>
      <c r="Z76" s="1">
        <v>1</v>
      </c>
      <c r="AA76" s="1">
        <v>1</v>
      </c>
      <c r="AB76" s="1">
        <v>1</v>
      </c>
      <c r="AC76" s="1">
        <v>1</v>
      </c>
      <c r="AD76" s="1">
        <v>1</v>
      </c>
    </row>
    <row r="77" spans="2:30" ht="15">
      <c r="B77" s="1"/>
      <c r="C77" s="189">
        <v>0.05</v>
      </c>
      <c r="D77" s="178"/>
      <c r="E77" s="1">
        <f>+$C77*E76*$C$75</f>
        <v>0</v>
      </c>
      <c r="F77" s="1">
        <f>+$C77*F76*$C$75</f>
        <v>0</v>
      </c>
      <c r="G77" s="1">
        <f t="shared" ref="G77:AD77" si="35">+$C77*G76*$C$75</f>
        <v>1.2500000000000001E-2</v>
      </c>
      <c r="H77" s="1">
        <f t="shared" si="35"/>
        <v>2.5000000000000001E-2</v>
      </c>
      <c r="I77" s="1">
        <f t="shared" si="35"/>
        <v>3.7500000000000006E-2</v>
      </c>
      <c r="J77" s="1">
        <f t="shared" si="35"/>
        <v>0.05</v>
      </c>
      <c r="K77" s="1">
        <f t="shared" si="35"/>
        <v>0.05</v>
      </c>
      <c r="L77" s="1">
        <f t="shared" si="35"/>
        <v>0.05</v>
      </c>
      <c r="M77" s="1">
        <f t="shared" si="35"/>
        <v>0.05</v>
      </c>
      <c r="N77" s="1">
        <f t="shared" si="35"/>
        <v>0.05</v>
      </c>
      <c r="O77" s="1">
        <f t="shared" si="35"/>
        <v>0.05</v>
      </c>
      <c r="P77" s="1">
        <f t="shared" si="35"/>
        <v>0.05</v>
      </c>
      <c r="Q77" s="1">
        <f t="shared" si="35"/>
        <v>0.05</v>
      </c>
      <c r="R77" s="1">
        <f t="shared" si="35"/>
        <v>0.05</v>
      </c>
      <c r="S77" s="1">
        <f t="shared" si="35"/>
        <v>0.05</v>
      </c>
      <c r="T77" s="1">
        <f t="shared" si="35"/>
        <v>0.05</v>
      </c>
      <c r="U77" s="1">
        <f t="shared" si="35"/>
        <v>0.05</v>
      </c>
      <c r="V77" s="1">
        <f t="shared" si="35"/>
        <v>0.05</v>
      </c>
      <c r="W77" s="1">
        <f t="shared" si="35"/>
        <v>0.05</v>
      </c>
      <c r="X77" s="1">
        <f t="shared" si="35"/>
        <v>0.05</v>
      </c>
      <c r="Y77" s="1">
        <f t="shared" si="35"/>
        <v>0.05</v>
      </c>
      <c r="Z77" s="1">
        <f t="shared" si="35"/>
        <v>0.05</v>
      </c>
      <c r="AA77" s="1">
        <f t="shared" si="35"/>
        <v>0.05</v>
      </c>
      <c r="AB77" s="1">
        <f t="shared" si="35"/>
        <v>0.05</v>
      </c>
      <c r="AC77" s="1">
        <f t="shared" si="35"/>
        <v>0.05</v>
      </c>
      <c r="AD77" s="1">
        <f t="shared" si="35"/>
        <v>0.05</v>
      </c>
    </row>
    <row r="78" spans="2:30" ht="15">
      <c r="B78" s="1"/>
      <c r="C78" s="189">
        <v>0.1</v>
      </c>
      <c r="D78" s="178"/>
      <c r="E78" s="1"/>
      <c r="F78" s="1">
        <f>+$C78*E76*$C$75</f>
        <v>0</v>
      </c>
      <c r="G78" s="1">
        <f t="shared" ref="G78:AD78" si="36">+$C78*F76*$C$75</f>
        <v>0</v>
      </c>
      <c r="H78" s="1">
        <f t="shared" si="36"/>
        <v>2.5000000000000001E-2</v>
      </c>
      <c r="I78" s="1">
        <f t="shared" si="36"/>
        <v>0.05</v>
      </c>
      <c r="J78" s="1">
        <f t="shared" si="36"/>
        <v>7.5000000000000011E-2</v>
      </c>
      <c r="K78" s="1">
        <f t="shared" si="36"/>
        <v>0.1</v>
      </c>
      <c r="L78" s="1">
        <f t="shared" si="36"/>
        <v>0.1</v>
      </c>
      <c r="M78" s="1">
        <f t="shared" si="36"/>
        <v>0.1</v>
      </c>
      <c r="N78" s="1">
        <f t="shared" si="36"/>
        <v>0.1</v>
      </c>
      <c r="O78" s="1">
        <f t="shared" si="36"/>
        <v>0.1</v>
      </c>
      <c r="P78" s="1">
        <f t="shared" si="36"/>
        <v>0.1</v>
      </c>
      <c r="Q78" s="1">
        <f t="shared" si="36"/>
        <v>0.1</v>
      </c>
      <c r="R78" s="1">
        <f t="shared" si="36"/>
        <v>0.1</v>
      </c>
      <c r="S78" s="1">
        <f t="shared" si="36"/>
        <v>0.1</v>
      </c>
      <c r="T78" s="1">
        <f t="shared" si="36"/>
        <v>0.1</v>
      </c>
      <c r="U78" s="1">
        <f t="shared" si="36"/>
        <v>0.1</v>
      </c>
      <c r="V78" s="1">
        <f t="shared" si="36"/>
        <v>0.1</v>
      </c>
      <c r="W78" s="1">
        <f t="shared" si="36"/>
        <v>0.1</v>
      </c>
      <c r="X78" s="1">
        <f t="shared" si="36"/>
        <v>0.1</v>
      </c>
      <c r="Y78" s="1">
        <f t="shared" si="36"/>
        <v>0.1</v>
      </c>
      <c r="Z78" s="1">
        <f t="shared" si="36"/>
        <v>0.1</v>
      </c>
      <c r="AA78" s="1">
        <f t="shared" si="36"/>
        <v>0.1</v>
      </c>
      <c r="AB78" s="1">
        <f t="shared" si="36"/>
        <v>0.1</v>
      </c>
      <c r="AC78" s="1">
        <f t="shared" si="36"/>
        <v>0.1</v>
      </c>
      <c r="AD78" s="1">
        <f t="shared" si="36"/>
        <v>0.1</v>
      </c>
    </row>
    <row r="79" spans="2:30" ht="15">
      <c r="B79" s="1"/>
      <c r="C79" s="189">
        <v>0.2</v>
      </c>
      <c r="D79" s="178"/>
      <c r="E79" s="1"/>
      <c r="F79" s="1"/>
      <c r="G79" s="1">
        <f>+$C79*E76*$C$75</f>
        <v>0</v>
      </c>
      <c r="H79" s="1">
        <f t="shared" ref="H79:AD79" si="37">+$C79*F76*$C$75</f>
        <v>0</v>
      </c>
      <c r="I79" s="1">
        <f t="shared" si="37"/>
        <v>0.05</v>
      </c>
      <c r="J79" s="1">
        <f t="shared" si="37"/>
        <v>0.1</v>
      </c>
      <c r="K79" s="1">
        <f t="shared" si="37"/>
        <v>0.15000000000000002</v>
      </c>
      <c r="L79" s="1">
        <f t="shared" si="37"/>
        <v>0.2</v>
      </c>
      <c r="M79" s="1">
        <f t="shared" si="37"/>
        <v>0.2</v>
      </c>
      <c r="N79" s="1">
        <f t="shared" si="37"/>
        <v>0.2</v>
      </c>
      <c r="O79" s="1">
        <f t="shared" si="37"/>
        <v>0.2</v>
      </c>
      <c r="P79" s="1">
        <f t="shared" si="37"/>
        <v>0.2</v>
      </c>
      <c r="Q79" s="1">
        <f t="shared" si="37"/>
        <v>0.2</v>
      </c>
      <c r="R79" s="1">
        <f t="shared" si="37"/>
        <v>0.2</v>
      </c>
      <c r="S79" s="1">
        <f t="shared" si="37"/>
        <v>0.2</v>
      </c>
      <c r="T79" s="1">
        <f t="shared" si="37"/>
        <v>0.2</v>
      </c>
      <c r="U79" s="1">
        <f t="shared" si="37"/>
        <v>0.2</v>
      </c>
      <c r="V79" s="1">
        <f t="shared" si="37"/>
        <v>0.2</v>
      </c>
      <c r="W79" s="1">
        <f t="shared" si="37"/>
        <v>0.2</v>
      </c>
      <c r="X79" s="1">
        <f t="shared" si="37"/>
        <v>0.2</v>
      </c>
      <c r="Y79" s="1">
        <f t="shared" si="37"/>
        <v>0.2</v>
      </c>
      <c r="Z79" s="1">
        <f t="shared" si="37"/>
        <v>0.2</v>
      </c>
      <c r="AA79" s="1">
        <f t="shared" si="37"/>
        <v>0.2</v>
      </c>
      <c r="AB79" s="1">
        <f t="shared" si="37"/>
        <v>0.2</v>
      </c>
      <c r="AC79" s="1">
        <f t="shared" si="37"/>
        <v>0.2</v>
      </c>
      <c r="AD79" s="1">
        <f t="shared" si="37"/>
        <v>0.2</v>
      </c>
    </row>
    <row r="80" spans="2:30" ht="15">
      <c r="B80" s="1"/>
      <c r="C80" s="189">
        <v>0.25</v>
      </c>
      <c r="D80" s="178"/>
      <c r="E80" s="1"/>
      <c r="F80" s="1"/>
      <c r="G80" s="1"/>
      <c r="H80" s="1">
        <f>+$C80*E76*$C$75</f>
        <v>0</v>
      </c>
      <c r="I80" s="1">
        <f t="shared" ref="I80:AD80" si="38">+$C80*F76*$C$75</f>
        <v>0</v>
      </c>
      <c r="J80" s="1">
        <f t="shared" si="38"/>
        <v>6.25E-2</v>
      </c>
      <c r="K80" s="1">
        <f t="shared" si="38"/>
        <v>0.125</v>
      </c>
      <c r="L80" s="1">
        <f t="shared" si="38"/>
        <v>0.1875</v>
      </c>
      <c r="M80" s="1">
        <f t="shared" si="38"/>
        <v>0.25</v>
      </c>
      <c r="N80" s="1">
        <f t="shared" si="38"/>
        <v>0.25</v>
      </c>
      <c r="O80" s="1">
        <f t="shared" si="38"/>
        <v>0.25</v>
      </c>
      <c r="P80" s="1">
        <f t="shared" si="38"/>
        <v>0.25</v>
      </c>
      <c r="Q80" s="1">
        <f t="shared" si="38"/>
        <v>0.25</v>
      </c>
      <c r="R80" s="1">
        <f t="shared" si="38"/>
        <v>0.25</v>
      </c>
      <c r="S80" s="1">
        <f t="shared" si="38"/>
        <v>0.25</v>
      </c>
      <c r="T80" s="1">
        <f t="shared" si="38"/>
        <v>0.25</v>
      </c>
      <c r="U80" s="1">
        <f t="shared" si="38"/>
        <v>0.25</v>
      </c>
      <c r="V80" s="1">
        <f t="shared" si="38"/>
        <v>0.25</v>
      </c>
      <c r="W80" s="1">
        <f t="shared" si="38"/>
        <v>0.25</v>
      </c>
      <c r="X80" s="1">
        <f t="shared" si="38"/>
        <v>0.25</v>
      </c>
      <c r="Y80" s="1">
        <f t="shared" si="38"/>
        <v>0.25</v>
      </c>
      <c r="Z80" s="1">
        <f t="shared" si="38"/>
        <v>0.25</v>
      </c>
      <c r="AA80" s="1">
        <f t="shared" si="38"/>
        <v>0.25</v>
      </c>
      <c r="AB80" s="1">
        <f t="shared" si="38"/>
        <v>0.25</v>
      </c>
      <c r="AC80" s="1">
        <f t="shared" si="38"/>
        <v>0.25</v>
      </c>
      <c r="AD80" s="1">
        <f t="shared" si="38"/>
        <v>0.25</v>
      </c>
    </row>
    <row r="81" spans="2:32" ht="15">
      <c r="B81" s="1"/>
      <c r="C81" s="189">
        <v>0.3</v>
      </c>
      <c r="D81" s="178"/>
      <c r="E81" s="1"/>
      <c r="F81" s="1"/>
      <c r="G81" s="1"/>
      <c r="H81" s="1"/>
      <c r="I81" s="1">
        <f>+$C81*E76*$C$75</f>
        <v>0</v>
      </c>
      <c r="J81" s="1">
        <f t="shared" ref="J81:AD81" si="39">+$C81*F76*$C$75</f>
        <v>0</v>
      </c>
      <c r="K81" s="1">
        <f t="shared" si="39"/>
        <v>7.4999999999999997E-2</v>
      </c>
      <c r="L81" s="1">
        <f t="shared" si="39"/>
        <v>0.15</v>
      </c>
      <c r="M81" s="1">
        <f t="shared" si="39"/>
        <v>0.22499999999999998</v>
      </c>
      <c r="N81" s="1">
        <f t="shared" si="39"/>
        <v>0.3</v>
      </c>
      <c r="O81" s="1">
        <f t="shared" si="39"/>
        <v>0.3</v>
      </c>
      <c r="P81" s="1">
        <f t="shared" si="39"/>
        <v>0.3</v>
      </c>
      <c r="Q81" s="1">
        <f t="shared" si="39"/>
        <v>0.3</v>
      </c>
      <c r="R81" s="1">
        <f t="shared" si="39"/>
        <v>0.3</v>
      </c>
      <c r="S81" s="1">
        <f t="shared" si="39"/>
        <v>0.3</v>
      </c>
      <c r="T81" s="1">
        <f t="shared" si="39"/>
        <v>0.3</v>
      </c>
      <c r="U81" s="1">
        <f t="shared" si="39"/>
        <v>0.3</v>
      </c>
      <c r="V81" s="1">
        <f t="shared" si="39"/>
        <v>0.3</v>
      </c>
      <c r="W81" s="1">
        <f t="shared" si="39"/>
        <v>0.3</v>
      </c>
      <c r="X81" s="1">
        <f t="shared" si="39"/>
        <v>0.3</v>
      </c>
      <c r="Y81" s="1">
        <f t="shared" si="39"/>
        <v>0.3</v>
      </c>
      <c r="Z81" s="1">
        <f t="shared" si="39"/>
        <v>0.3</v>
      </c>
      <c r="AA81" s="1">
        <f t="shared" si="39"/>
        <v>0.3</v>
      </c>
      <c r="AB81" s="1">
        <f t="shared" si="39"/>
        <v>0.3</v>
      </c>
      <c r="AC81" s="1">
        <f t="shared" si="39"/>
        <v>0.3</v>
      </c>
      <c r="AD81" s="1">
        <f t="shared" si="39"/>
        <v>0.3</v>
      </c>
    </row>
    <row r="82" spans="2:32" ht="15">
      <c r="B82" s="1"/>
      <c r="C82" s="178">
        <v>0.1</v>
      </c>
      <c r="D82" s="178"/>
      <c r="E82" s="1"/>
      <c r="F82" s="1"/>
      <c r="G82" s="1"/>
      <c r="H82" s="1"/>
      <c r="I82" s="1"/>
      <c r="J82" s="1">
        <f>+$C82*E76*$C$75</f>
        <v>0</v>
      </c>
      <c r="K82" s="1">
        <f>+$C82*F76*$C$75</f>
        <v>0</v>
      </c>
      <c r="L82" s="1">
        <f t="shared" ref="L82:AD82" si="40">+$C82*G76*$C$75</f>
        <v>2.5000000000000001E-2</v>
      </c>
      <c r="M82" s="1">
        <f t="shared" si="40"/>
        <v>0.05</v>
      </c>
      <c r="N82" s="1">
        <f t="shared" si="40"/>
        <v>7.5000000000000011E-2</v>
      </c>
      <c r="O82" s="1">
        <f t="shared" si="40"/>
        <v>0.1</v>
      </c>
      <c r="P82" s="1">
        <f t="shared" si="40"/>
        <v>0.1</v>
      </c>
      <c r="Q82" s="1">
        <f t="shared" si="40"/>
        <v>0.1</v>
      </c>
      <c r="R82" s="1">
        <f t="shared" si="40"/>
        <v>0.1</v>
      </c>
      <c r="S82" s="1">
        <f t="shared" si="40"/>
        <v>0.1</v>
      </c>
      <c r="T82" s="1">
        <f t="shared" si="40"/>
        <v>0.1</v>
      </c>
      <c r="U82" s="1">
        <f t="shared" si="40"/>
        <v>0.1</v>
      </c>
      <c r="V82" s="1">
        <f t="shared" si="40"/>
        <v>0.1</v>
      </c>
      <c r="W82" s="1">
        <f t="shared" si="40"/>
        <v>0.1</v>
      </c>
      <c r="X82" s="1">
        <f t="shared" si="40"/>
        <v>0.1</v>
      </c>
      <c r="Y82" s="1">
        <f t="shared" si="40"/>
        <v>0.1</v>
      </c>
      <c r="Z82" s="1">
        <f t="shared" si="40"/>
        <v>0.1</v>
      </c>
      <c r="AA82" s="1">
        <f t="shared" si="40"/>
        <v>0.1</v>
      </c>
      <c r="AB82" s="1">
        <f t="shared" si="40"/>
        <v>0.1</v>
      </c>
      <c r="AC82" s="1">
        <f t="shared" si="40"/>
        <v>0.1</v>
      </c>
      <c r="AD82" s="1">
        <f t="shared" si="40"/>
        <v>0.1</v>
      </c>
    </row>
    <row r="83" spans="2:32" ht="15">
      <c r="B83" s="1"/>
      <c r="C83" s="178">
        <f>+SUM(C77:C82)</f>
        <v>1.0000000000000002</v>
      </c>
      <c r="D83" s="178"/>
      <c r="E83" s="80">
        <f>SUM(E77:E82)</f>
        <v>0</v>
      </c>
      <c r="F83" s="80">
        <f t="shared" ref="F83:AD83" si="41">SUM(F77:F82)</f>
        <v>0</v>
      </c>
      <c r="G83" s="80">
        <f t="shared" si="41"/>
        <v>1.2500000000000001E-2</v>
      </c>
      <c r="H83" s="80">
        <f t="shared" si="41"/>
        <v>0.05</v>
      </c>
      <c r="I83" s="80">
        <f t="shared" si="41"/>
        <v>0.13750000000000001</v>
      </c>
      <c r="J83" s="80">
        <f t="shared" si="41"/>
        <v>0.28749999999999998</v>
      </c>
      <c r="K83" s="80">
        <f t="shared" si="41"/>
        <v>0.5</v>
      </c>
      <c r="L83" s="80">
        <f t="shared" si="41"/>
        <v>0.71250000000000013</v>
      </c>
      <c r="M83" s="80">
        <f t="shared" si="41"/>
        <v>0.87500000000000011</v>
      </c>
      <c r="N83" s="80">
        <f t="shared" si="41"/>
        <v>0.97500000000000009</v>
      </c>
      <c r="O83" s="80">
        <f t="shared" si="41"/>
        <v>1.0000000000000002</v>
      </c>
      <c r="P83" s="80">
        <f t="shared" si="41"/>
        <v>1.0000000000000002</v>
      </c>
      <c r="Q83" s="80">
        <f t="shared" si="41"/>
        <v>1.0000000000000002</v>
      </c>
      <c r="R83" s="80">
        <f t="shared" si="41"/>
        <v>1.0000000000000002</v>
      </c>
      <c r="S83" s="80">
        <f t="shared" si="41"/>
        <v>1.0000000000000002</v>
      </c>
      <c r="T83" s="80">
        <f t="shared" si="41"/>
        <v>1.0000000000000002</v>
      </c>
      <c r="U83" s="80">
        <f t="shared" si="41"/>
        <v>1.0000000000000002</v>
      </c>
      <c r="V83" s="80">
        <f t="shared" si="41"/>
        <v>1.0000000000000002</v>
      </c>
      <c r="W83" s="80">
        <f t="shared" si="41"/>
        <v>1.0000000000000002</v>
      </c>
      <c r="X83" s="80">
        <f t="shared" si="41"/>
        <v>1.0000000000000002</v>
      </c>
      <c r="Y83" s="80">
        <f t="shared" si="41"/>
        <v>1.0000000000000002</v>
      </c>
      <c r="Z83" s="80">
        <f t="shared" si="41"/>
        <v>1.0000000000000002</v>
      </c>
      <c r="AA83" s="80">
        <f t="shared" si="41"/>
        <v>1.0000000000000002</v>
      </c>
      <c r="AB83" s="80">
        <f t="shared" si="41"/>
        <v>1.0000000000000002</v>
      </c>
      <c r="AC83" s="80">
        <f t="shared" si="41"/>
        <v>1.0000000000000002</v>
      </c>
      <c r="AD83" s="80">
        <f t="shared" si="41"/>
        <v>1.0000000000000002</v>
      </c>
    </row>
    <row r="84" spans="2:32" ht="13.5" thickBot="1">
      <c r="B84" s="12" t="s">
        <v>301</v>
      </c>
    </row>
    <row r="85" spans="2:32" ht="13.5" thickBot="1">
      <c r="C85" s="199">
        <v>0.5</v>
      </c>
    </row>
    <row r="86" spans="2:32" ht="15">
      <c r="B86" s="169" t="str">
        <f>+B45</f>
        <v>Reduction in Feeding Cost</v>
      </c>
      <c r="C86" s="189"/>
      <c r="E86" s="171">
        <f>+E$83*E45*$C$85</f>
        <v>0</v>
      </c>
      <c r="F86" s="171">
        <f t="shared" ref="F86:AD86" si="42">+F$83*F45*$C$85</f>
        <v>0</v>
      </c>
      <c r="G86" s="171">
        <f t="shared" si="42"/>
        <v>4.6145187400365923</v>
      </c>
      <c r="H86" s="171">
        <f t="shared" si="42"/>
        <v>29.592703174971504</v>
      </c>
      <c r="I86" s="171">
        <f t="shared" si="42"/>
        <v>124.53595919467176</v>
      </c>
      <c r="J86" s="171">
        <f t="shared" si="42"/>
        <v>342.72236187134922</v>
      </c>
      <c r="K86" s="171">
        <f t="shared" si="42"/>
        <v>677.3440948937922</v>
      </c>
      <c r="L86" s="171">
        <f t="shared" si="42"/>
        <v>965.21533522365405</v>
      </c>
      <c r="M86" s="171">
        <f t="shared" si="42"/>
        <v>1185.3521660641366</v>
      </c>
      <c r="N86" s="171">
        <f t="shared" si="42"/>
        <v>1320.820985042895</v>
      </c>
      <c r="O86" s="171">
        <f t="shared" si="42"/>
        <v>1354.6881897875846</v>
      </c>
      <c r="P86" s="171">
        <f t="shared" si="42"/>
        <v>1354.6881897875846</v>
      </c>
      <c r="Q86" s="171">
        <f t="shared" si="42"/>
        <v>1354.6881897875846</v>
      </c>
      <c r="R86" s="171">
        <f t="shared" si="42"/>
        <v>1354.6881897875846</v>
      </c>
      <c r="S86" s="171">
        <f t="shared" si="42"/>
        <v>1354.6881897875846</v>
      </c>
      <c r="T86" s="171">
        <f t="shared" si="42"/>
        <v>1354.6881897875846</v>
      </c>
      <c r="U86" s="171">
        <f t="shared" si="42"/>
        <v>1354.6881897875846</v>
      </c>
      <c r="V86" s="171">
        <f t="shared" si="42"/>
        <v>1354.6881897875846</v>
      </c>
      <c r="W86" s="171">
        <f t="shared" si="42"/>
        <v>1354.6881897875846</v>
      </c>
      <c r="X86" s="171">
        <f t="shared" si="42"/>
        <v>1354.6881897875846</v>
      </c>
      <c r="Y86" s="171">
        <f t="shared" si="42"/>
        <v>1354.6881897875846</v>
      </c>
      <c r="Z86" s="171">
        <f t="shared" si="42"/>
        <v>1354.6881897875846</v>
      </c>
      <c r="AA86" s="171">
        <f t="shared" si="42"/>
        <v>1354.6881897875846</v>
      </c>
      <c r="AB86" s="171">
        <f t="shared" si="42"/>
        <v>1354.6881897875846</v>
      </c>
      <c r="AC86" s="171">
        <f t="shared" si="42"/>
        <v>1354.6881897875846</v>
      </c>
      <c r="AD86" s="171">
        <f t="shared" si="42"/>
        <v>0</v>
      </c>
      <c r="AF86" s="189">
        <f>+AC86/SUM($AC$86:$AC$90)</f>
        <v>0.60785539993679638</v>
      </c>
    </row>
    <row r="87" spans="2:32">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c r="AF87" s="189"/>
    </row>
    <row r="88" spans="2:32" ht="15">
      <c r="B88" s="169" t="str">
        <f>+B48</f>
        <v>Benefit due to reduction in Methane Emissions ( Rs million per annum)</v>
      </c>
      <c r="E88" s="171">
        <f>+E$83*E48*$C$85</f>
        <v>0</v>
      </c>
      <c r="F88" s="171">
        <f t="shared" ref="F88:AD88" si="43">+F$83*F48*$C$85</f>
        <v>0</v>
      </c>
      <c r="G88" s="171">
        <f t="shared" si="43"/>
        <v>0.56387931301406258</v>
      </c>
      <c r="H88" s="171">
        <f t="shared" si="43"/>
        <v>3.6161329223250003</v>
      </c>
      <c r="I88" s="171">
        <f t="shared" si="43"/>
        <v>15.217892714784378</v>
      </c>
      <c r="J88" s="171">
        <f t="shared" si="43"/>
        <v>41.879567697896263</v>
      </c>
      <c r="K88" s="171">
        <f t="shared" si="43"/>
        <v>82.769264666550015</v>
      </c>
      <c r="L88" s="171">
        <f t="shared" si="43"/>
        <v>117.94620214983379</v>
      </c>
      <c r="M88" s="171">
        <f t="shared" si="43"/>
        <v>144.84621316646255</v>
      </c>
      <c r="N88" s="171">
        <f t="shared" si="43"/>
        <v>161.40006609977254</v>
      </c>
      <c r="O88" s="171">
        <f t="shared" si="43"/>
        <v>165.53852933310006</v>
      </c>
      <c r="P88" s="171">
        <f t="shared" si="43"/>
        <v>165.53852933310006</v>
      </c>
      <c r="Q88" s="171">
        <f t="shared" si="43"/>
        <v>165.53852933310006</v>
      </c>
      <c r="R88" s="171">
        <f t="shared" si="43"/>
        <v>165.53852933310006</v>
      </c>
      <c r="S88" s="171">
        <f t="shared" si="43"/>
        <v>165.53852933310006</v>
      </c>
      <c r="T88" s="171">
        <f t="shared" si="43"/>
        <v>165.53852933310006</v>
      </c>
      <c r="U88" s="171">
        <f t="shared" si="43"/>
        <v>165.53852933310006</v>
      </c>
      <c r="V88" s="171">
        <f t="shared" si="43"/>
        <v>165.53852933310006</v>
      </c>
      <c r="W88" s="171">
        <f t="shared" si="43"/>
        <v>165.53852933310006</v>
      </c>
      <c r="X88" s="171">
        <f t="shared" si="43"/>
        <v>165.53852933310006</v>
      </c>
      <c r="Y88" s="171">
        <f t="shared" si="43"/>
        <v>165.53852933310006</v>
      </c>
      <c r="Z88" s="171">
        <f t="shared" si="43"/>
        <v>165.53852933310006</v>
      </c>
      <c r="AA88" s="171">
        <f t="shared" si="43"/>
        <v>165.53852933310006</v>
      </c>
      <c r="AB88" s="171">
        <f t="shared" si="43"/>
        <v>165.53852933310006</v>
      </c>
      <c r="AC88" s="171">
        <f t="shared" si="43"/>
        <v>165.53852933310006</v>
      </c>
      <c r="AD88" s="171">
        <f t="shared" si="43"/>
        <v>0</v>
      </c>
      <c r="AF88" s="189">
        <f>+AC88/SUM($AC$86:$AC$90)</f>
        <v>7.4277970171496385E-2</v>
      </c>
    </row>
    <row r="89" spans="2:32">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F89" s="189"/>
    </row>
    <row r="90" spans="2:32" ht="15">
      <c r="B90" s="169" t="str">
        <f>+B50</f>
        <v>Benefit due to increase in milk productivity (Rs Million pe annum)</v>
      </c>
      <c r="E90" s="171">
        <f>+E$83*E50*$C$85</f>
        <v>0</v>
      </c>
      <c r="F90" s="171">
        <f t="shared" ref="F90:AD90" si="44">+F$83*F50*$C$85</f>
        <v>0</v>
      </c>
      <c r="G90" s="171">
        <f t="shared" si="44"/>
        <v>2.4130764004400933</v>
      </c>
      <c r="H90" s="171">
        <f t="shared" si="44"/>
        <v>15.474951491081411</v>
      </c>
      <c r="I90" s="171">
        <f t="shared" si="44"/>
        <v>65.123754191634262</v>
      </c>
      <c r="J90" s="171">
        <f t="shared" si="44"/>
        <v>179.22025891009477</v>
      </c>
      <c r="K90" s="171">
        <f t="shared" si="44"/>
        <v>354.20444524030779</v>
      </c>
      <c r="L90" s="171">
        <f t="shared" si="44"/>
        <v>504.74133446743872</v>
      </c>
      <c r="M90" s="171">
        <f t="shared" si="44"/>
        <v>619.85777917053872</v>
      </c>
      <c r="N90" s="171">
        <f t="shared" si="44"/>
        <v>690.69866821860023</v>
      </c>
      <c r="O90" s="171">
        <f t="shared" si="44"/>
        <v>708.4088904806157</v>
      </c>
      <c r="P90" s="171">
        <f t="shared" si="44"/>
        <v>708.4088904806157</v>
      </c>
      <c r="Q90" s="171">
        <f t="shared" si="44"/>
        <v>708.4088904806157</v>
      </c>
      <c r="R90" s="171">
        <f t="shared" si="44"/>
        <v>708.4088904806157</v>
      </c>
      <c r="S90" s="171">
        <f t="shared" si="44"/>
        <v>708.4088904806157</v>
      </c>
      <c r="T90" s="171">
        <f t="shared" si="44"/>
        <v>708.4088904806157</v>
      </c>
      <c r="U90" s="171">
        <f t="shared" si="44"/>
        <v>708.4088904806157</v>
      </c>
      <c r="V90" s="171">
        <f t="shared" si="44"/>
        <v>708.4088904806157</v>
      </c>
      <c r="W90" s="171">
        <f t="shared" si="44"/>
        <v>708.4088904806157</v>
      </c>
      <c r="X90" s="171">
        <f t="shared" si="44"/>
        <v>708.4088904806157</v>
      </c>
      <c r="Y90" s="171">
        <f t="shared" si="44"/>
        <v>708.4088904806157</v>
      </c>
      <c r="Z90" s="171">
        <f t="shared" si="44"/>
        <v>708.4088904806157</v>
      </c>
      <c r="AA90" s="171">
        <f t="shared" si="44"/>
        <v>708.4088904806157</v>
      </c>
      <c r="AB90" s="171">
        <f t="shared" si="44"/>
        <v>708.4088904806157</v>
      </c>
      <c r="AC90" s="171">
        <f t="shared" si="44"/>
        <v>708.4088904806157</v>
      </c>
      <c r="AD90" s="171">
        <f t="shared" si="44"/>
        <v>0</v>
      </c>
      <c r="AF90" s="189">
        <f>+AC90/SUM($AC$86:$AC$90)</f>
        <v>0.31786662989170711</v>
      </c>
    </row>
    <row r="92" spans="2:32">
      <c r="AC92" s="151">
        <f>+SUM(AC86:AC90)</f>
        <v>2228.6356096013005</v>
      </c>
    </row>
    <row r="94" spans="2:32">
      <c r="W94" s="151">
        <f>1417+W86</f>
        <v>2771.6881897875846</v>
      </c>
    </row>
  </sheetData>
  <pageMargins left="0.75" right="0.75" top="1" bottom="1" header="0.5" footer="0.5"/>
  <pageSetup orientation="portrait"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sheetPr codeName="Sheet9">
    <tabColor rgb="FF00FFFF"/>
  </sheetPr>
  <dimension ref="A1:AF92"/>
  <sheetViews>
    <sheetView workbookViewId="0">
      <pane xSplit="2" ySplit="4" topLeftCell="C51" activePane="bottomRight" state="frozen"/>
      <selection pane="topRight" activeCell="C1" sqref="C1"/>
      <selection pane="bottomLeft" activeCell="A5" sqref="A5"/>
      <selection pane="bottomRight" activeCell="C61" sqref="C61:C63"/>
    </sheetView>
  </sheetViews>
  <sheetFormatPr defaultRowHeight="12.75"/>
  <cols>
    <col min="1" max="1" width="2.7109375" style="12" customWidth="1"/>
    <col min="2" max="2" width="68.85546875" style="12" customWidth="1"/>
    <col min="3" max="4" width="13.7109375" style="12" customWidth="1"/>
    <col min="5" max="5" width="13" style="12" customWidth="1"/>
    <col min="6" max="6" width="10.140625" style="12" bestFit="1" customWidth="1"/>
    <col min="7" max="7" width="10" style="12" bestFit="1" customWidth="1"/>
    <col min="8" max="8" width="10.7109375" style="12" customWidth="1"/>
    <col min="9" max="19" width="10" style="12" bestFit="1" customWidth="1"/>
    <col min="20" max="29" width="10.5703125" style="12" bestFit="1" customWidth="1"/>
    <col min="30" max="257" width="9.140625" style="12"/>
    <col min="258" max="258" width="2.7109375" style="12" customWidth="1"/>
    <col min="259" max="259" width="63.85546875" style="12" customWidth="1"/>
    <col min="260" max="260" width="8.42578125" style="12" customWidth="1"/>
    <col min="261" max="261" width="7.85546875" style="12" customWidth="1"/>
    <col min="262" max="262" width="10" style="12" bestFit="1" customWidth="1"/>
    <col min="263" max="513" width="9.140625" style="12"/>
    <col min="514" max="514" width="2.7109375" style="12" customWidth="1"/>
    <col min="515" max="515" width="63.85546875" style="12" customWidth="1"/>
    <col min="516" max="516" width="8.42578125" style="12" customWidth="1"/>
    <col min="517" max="517" width="7.85546875" style="12" customWidth="1"/>
    <col min="518" max="518" width="10" style="12" bestFit="1" customWidth="1"/>
    <col min="519" max="769" width="9.140625" style="12"/>
    <col min="770" max="770" width="2.7109375" style="12" customWidth="1"/>
    <col min="771" max="771" width="63.85546875" style="12" customWidth="1"/>
    <col min="772" max="772" width="8.42578125" style="12" customWidth="1"/>
    <col min="773" max="773" width="7.85546875" style="12" customWidth="1"/>
    <col min="774" max="774" width="10" style="12" bestFit="1" customWidth="1"/>
    <col min="775" max="1025" width="9.140625" style="12"/>
    <col min="1026" max="1026" width="2.7109375" style="12" customWidth="1"/>
    <col min="1027" max="1027" width="63.85546875" style="12" customWidth="1"/>
    <col min="1028" max="1028" width="8.42578125" style="12" customWidth="1"/>
    <col min="1029" max="1029" width="7.85546875" style="12" customWidth="1"/>
    <col min="1030" max="1030" width="10" style="12" bestFit="1" customWidth="1"/>
    <col min="1031" max="1281" width="9.140625" style="12"/>
    <col min="1282" max="1282" width="2.7109375" style="12" customWidth="1"/>
    <col min="1283" max="1283" width="63.85546875" style="12" customWidth="1"/>
    <col min="1284" max="1284" width="8.42578125" style="12" customWidth="1"/>
    <col min="1285" max="1285" width="7.85546875" style="12" customWidth="1"/>
    <col min="1286" max="1286" width="10" style="12" bestFit="1" customWidth="1"/>
    <col min="1287" max="1537" width="9.140625" style="12"/>
    <col min="1538" max="1538" width="2.7109375" style="12" customWidth="1"/>
    <col min="1539" max="1539" width="63.85546875" style="12" customWidth="1"/>
    <col min="1540" max="1540" width="8.42578125" style="12" customWidth="1"/>
    <col min="1541" max="1541" width="7.85546875" style="12" customWidth="1"/>
    <col min="1542" max="1542" width="10" style="12" bestFit="1" customWidth="1"/>
    <col min="1543" max="1793" width="9.140625" style="12"/>
    <col min="1794" max="1794" width="2.7109375" style="12" customWidth="1"/>
    <col min="1795" max="1795" width="63.85546875" style="12" customWidth="1"/>
    <col min="1796" max="1796" width="8.42578125" style="12" customWidth="1"/>
    <col min="1797" max="1797" width="7.85546875" style="12" customWidth="1"/>
    <col min="1798" max="1798" width="10" style="12" bestFit="1" customWidth="1"/>
    <col min="1799" max="2049" width="9.140625" style="12"/>
    <col min="2050" max="2050" width="2.7109375" style="12" customWidth="1"/>
    <col min="2051" max="2051" width="63.85546875" style="12" customWidth="1"/>
    <col min="2052" max="2052" width="8.42578125" style="12" customWidth="1"/>
    <col min="2053" max="2053" width="7.85546875" style="12" customWidth="1"/>
    <col min="2054" max="2054" width="10" style="12" bestFit="1" customWidth="1"/>
    <col min="2055" max="2305" width="9.140625" style="12"/>
    <col min="2306" max="2306" width="2.7109375" style="12" customWidth="1"/>
    <col min="2307" max="2307" width="63.85546875" style="12" customWidth="1"/>
    <col min="2308" max="2308" width="8.42578125" style="12" customWidth="1"/>
    <col min="2309" max="2309" width="7.85546875" style="12" customWidth="1"/>
    <col min="2310" max="2310" width="10" style="12" bestFit="1" customWidth="1"/>
    <col min="2311" max="2561" width="9.140625" style="12"/>
    <col min="2562" max="2562" width="2.7109375" style="12" customWidth="1"/>
    <col min="2563" max="2563" width="63.85546875" style="12" customWidth="1"/>
    <col min="2564" max="2564" width="8.42578125" style="12" customWidth="1"/>
    <col min="2565" max="2565" width="7.85546875" style="12" customWidth="1"/>
    <col min="2566" max="2566" width="10" style="12" bestFit="1" customWidth="1"/>
    <col min="2567" max="2817" width="9.140625" style="12"/>
    <col min="2818" max="2818" width="2.7109375" style="12" customWidth="1"/>
    <col min="2819" max="2819" width="63.85546875" style="12" customWidth="1"/>
    <col min="2820" max="2820" width="8.42578125" style="12" customWidth="1"/>
    <col min="2821" max="2821" width="7.85546875" style="12" customWidth="1"/>
    <col min="2822" max="2822" width="10" style="12" bestFit="1" customWidth="1"/>
    <col min="2823" max="3073" width="9.140625" style="12"/>
    <col min="3074" max="3074" width="2.7109375" style="12" customWidth="1"/>
    <col min="3075" max="3075" width="63.85546875" style="12" customWidth="1"/>
    <col min="3076" max="3076" width="8.42578125" style="12" customWidth="1"/>
    <col min="3077" max="3077" width="7.85546875" style="12" customWidth="1"/>
    <col min="3078" max="3078" width="10" style="12" bestFit="1" customWidth="1"/>
    <col min="3079" max="3329" width="9.140625" style="12"/>
    <col min="3330" max="3330" width="2.7109375" style="12" customWidth="1"/>
    <col min="3331" max="3331" width="63.85546875" style="12" customWidth="1"/>
    <col min="3332" max="3332" width="8.42578125" style="12" customWidth="1"/>
    <col min="3333" max="3333" width="7.85546875" style="12" customWidth="1"/>
    <col min="3334" max="3334" width="10" style="12" bestFit="1" customWidth="1"/>
    <col min="3335" max="3585" width="9.140625" style="12"/>
    <col min="3586" max="3586" width="2.7109375" style="12" customWidth="1"/>
    <col min="3587" max="3587" width="63.85546875" style="12" customWidth="1"/>
    <col min="3588" max="3588" width="8.42578125" style="12" customWidth="1"/>
    <col min="3589" max="3589" width="7.85546875" style="12" customWidth="1"/>
    <col min="3590" max="3590" width="10" style="12" bestFit="1" customWidth="1"/>
    <col min="3591" max="3841" width="9.140625" style="12"/>
    <col min="3842" max="3842" width="2.7109375" style="12" customWidth="1"/>
    <col min="3843" max="3843" width="63.85546875" style="12" customWidth="1"/>
    <col min="3844" max="3844" width="8.42578125" style="12" customWidth="1"/>
    <col min="3845" max="3845" width="7.85546875" style="12" customWidth="1"/>
    <col min="3846" max="3846" width="10" style="12" bestFit="1" customWidth="1"/>
    <col min="3847" max="4097" width="9.140625" style="12"/>
    <col min="4098" max="4098" width="2.7109375" style="12" customWidth="1"/>
    <col min="4099" max="4099" width="63.85546875" style="12" customWidth="1"/>
    <col min="4100" max="4100" width="8.42578125" style="12" customWidth="1"/>
    <col min="4101" max="4101" width="7.85546875" style="12" customWidth="1"/>
    <col min="4102" max="4102" width="10" style="12" bestFit="1" customWidth="1"/>
    <col min="4103" max="4353" width="9.140625" style="12"/>
    <col min="4354" max="4354" width="2.7109375" style="12" customWidth="1"/>
    <col min="4355" max="4355" width="63.85546875" style="12" customWidth="1"/>
    <col min="4356" max="4356" width="8.42578125" style="12" customWidth="1"/>
    <col min="4357" max="4357" width="7.85546875" style="12" customWidth="1"/>
    <col min="4358" max="4358" width="10" style="12" bestFit="1" customWidth="1"/>
    <col min="4359" max="4609" width="9.140625" style="12"/>
    <col min="4610" max="4610" width="2.7109375" style="12" customWidth="1"/>
    <col min="4611" max="4611" width="63.85546875" style="12" customWidth="1"/>
    <col min="4612" max="4612" width="8.42578125" style="12" customWidth="1"/>
    <col min="4613" max="4613" width="7.85546875" style="12" customWidth="1"/>
    <col min="4614" max="4614" width="10" style="12" bestFit="1" customWidth="1"/>
    <col min="4615" max="4865" width="9.140625" style="12"/>
    <col min="4866" max="4866" width="2.7109375" style="12" customWidth="1"/>
    <col min="4867" max="4867" width="63.85546875" style="12" customWidth="1"/>
    <col min="4868" max="4868" width="8.42578125" style="12" customWidth="1"/>
    <col min="4869" max="4869" width="7.85546875" style="12" customWidth="1"/>
    <col min="4870" max="4870" width="10" style="12" bestFit="1" customWidth="1"/>
    <col min="4871" max="5121" width="9.140625" style="12"/>
    <col min="5122" max="5122" width="2.7109375" style="12" customWidth="1"/>
    <col min="5123" max="5123" width="63.85546875" style="12" customWidth="1"/>
    <col min="5124" max="5124" width="8.42578125" style="12" customWidth="1"/>
    <col min="5125" max="5125" width="7.85546875" style="12" customWidth="1"/>
    <col min="5126" max="5126" width="10" style="12" bestFit="1" customWidth="1"/>
    <col min="5127" max="5377" width="9.140625" style="12"/>
    <col min="5378" max="5378" width="2.7109375" style="12" customWidth="1"/>
    <col min="5379" max="5379" width="63.85546875" style="12" customWidth="1"/>
    <col min="5380" max="5380" width="8.42578125" style="12" customWidth="1"/>
    <col min="5381" max="5381" width="7.85546875" style="12" customWidth="1"/>
    <col min="5382" max="5382" width="10" style="12" bestFit="1" customWidth="1"/>
    <col min="5383" max="5633" width="9.140625" style="12"/>
    <col min="5634" max="5634" width="2.7109375" style="12" customWidth="1"/>
    <col min="5635" max="5635" width="63.85546875" style="12" customWidth="1"/>
    <col min="5636" max="5636" width="8.42578125" style="12" customWidth="1"/>
    <col min="5637" max="5637" width="7.85546875" style="12" customWidth="1"/>
    <col min="5638" max="5638" width="10" style="12" bestFit="1" customWidth="1"/>
    <col min="5639" max="5889" width="9.140625" style="12"/>
    <col min="5890" max="5890" width="2.7109375" style="12" customWidth="1"/>
    <col min="5891" max="5891" width="63.85546875" style="12" customWidth="1"/>
    <col min="5892" max="5892" width="8.42578125" style="12" customWidth="1"/>
    <col min="5893" max="5893" width="7.85546875" style="12" customWidth="1"/>
    <col min="5894" max="5894" width="10" style="12" bestFit="1" customWidth="1"/>
    <col min="5895" max="6145" width="9.140625" style="12"/>
    <col min="6146" max="6146" width="2.7109375" style="12" customWidth="1"/>
    <col min="6147" max="6147" width="63.85546875" style="12" customWidth="1"/>
    <col min="6148" max="6148" width="8.42578125" style="12" customWidth="1"/>
    <col min="6149" max="6149" width="7.85546875" style="12" customWidth="1"/>
    <col min="6150" max="6150" width="10" style="12" bestFit="1" customWidth="1"/>
    <col min="6151" max="6401" width="9.140625" style="12"/>
    <col min="6402" max="6402" width="2.7109375" style="12" customWidth="1"/>
    <col min="6403" max="6403" width="63.85546875" style="12" customWidth="1"/>
    <col min="6404" max="6404" width="8.42578125" style="12" customWidth="1"/>
    <col min="6405" max="6405" width="7.85546875" style="12" customWidth="1"/>
    <col min="6406" max="6406" width="10" style="12" bestFit="1" customWidth="1"/>
    <col min="6407" max="6657" width="9.140625" style="12"/>
    <col min="6658" max="6658" width="2.7109375" style="12" customWidth="1"/>
    <col min="6659" max="6659" width="63.85546875" style="12" customWidth="1"/>
    <col min="6660" max="6660" width="8.42578125" style="12" customWidth="1"/>
    <col min="6661" max="6661" width="7.85546875" style="12" customWidth="1"/>
    <col min="6662" max="6662" width="10" style="12" bestFit="1" customWidth="1"/>
    <col min="6663" max="6913" width="9.140625" style="12"/>
    <col min="6914" max="6914" width="2.7109375" style="12" customWidth="1"/>
    <col min="6915" max="6915" width="63.85546875" style="12" customWidth="1"/>
    <col min="6916" max="6916" width="8.42578125" style="12" customWidth="1"/>
    <col min="6917" max="6917" width="7.85546875" style="12" customWidth="1"/>
    <col min="6918" max="6918" width="10" style="12" bestFit="1" customWidth="1"/>
    <col min="6919" max="7169" width="9.140625" style="12"/>
    <col min="7170" max="7170" width="2.7109375" style="12" customWidth="1"/>
    <col min="7171" max="7171" width="63.85546875" style="12" customWidth="1"/>
    <col min="7172" max="7172" width="8.42578125" style="12" customWidth="1"/>
    <col min="7173" max="7173" width="7.85546875" style="12" customWidth="1"/>
    <col min="7174" max="7174" width="10" style="12" bestFit="1" customWidth="1"/>
    <col min="7175" max="7425" width="9.140625" style="12"/>
    <col min="7426" max="7426" width="2.7109375" style="12" customWidth="1"/>
    <col min="7427" max="7427" width="63.85546875" style="12" customWidth="1"/>
    <col min="7428" max="7428" width="8.42578125" style="12" customWidth="1"/>
    <col min="7429" max="7429" width="7.85546875" style="12" customWidth="1"/>
    <col min="7430" max="7430" width="10" style="12" bestFit="1" customWidth="1"/>
    <col min="7431" max="7681" width="9.140625" style="12"/>
    <col min="7682" max="7682" width="2.7109375" style="12" customWidth="1"/>
    <col min="7683" max="7683" width="63.85546875" style="12" customWidth="1"/>
    <col min="7684" max="7684" width="8.42578125" style="12" customWidth="1"/>
    <col min="7685" max="7685" width="7.85546875" style="12" customWidth="1"/>
    <col min="7686" max="7686" width="10" style="12" bestFit="1" customWidth="1"/>
    <col min="7687" max="7937" width="9.140625" style="12"/>
    <col min="7938" max="7938" width="2.7109375" style="12" customWidth="1"/>
    <col min="7939" max="7939" width="63.85546875" style="12" customWidth="1"/>
    <col min="7940" max="7940" width="8.42578125" style="12" customWidth="1"/>
    <col min="7941" max="7941" width="7.85546875" style="12" customWidth="1"/>
    <col min="7942" max="7942" width="10" style="12" bestFit="1" customWidth="1"/>
    <col min="7943" max="8193" width="9.140625" style="12"/>
    <col min="8194" max="8194" width="2.7109375" style="12" customWidth="1"/>
    <col min="8195" max="8195" width="63.85546875" style="12" customWidth="1"/>
    <col min="8196" max="8196" width="8.42578125" style="12" customWidth="1"/>
    <col min="8197" max="8197" width="7.85546875" style="12" customWidth="1"/>
    <col min="8198" max="8198" width="10" style="12" bestFit="1" customWidth="1"/>
    <col min="8199" max="8449" width="9.140625" style="12"/>
    <col min="8450" max="8450" width="2.7109375" style="12" customWidth="1"/>
    <col min="8451" max="8451" width="63.85546875" style="12" customWidth="1"/>
    <col min="8452" max="8452" width="8.42578125" style="12" customWidth="1"/>
    <col min="8453" max="8453" width="7.85546875" style="12" customWidth="1"/>
    <col min="8454" max="8454" width="10" style="12" bestFit="1" customWidth="1"/>
    <col min="8455" max="8705" width="9.140625" style="12"/>
    <col min="8706" max="8706" width="2.7109375" style="12" customWidth="1"/>
    <col min="8707" max="8707" width="63.85546875" style="12" customWidth="1"/>
    <col min="8708" max="8708" width="8.42578125" style="12" customWidth="1"/>
    <col min="8709" max="8709" width="7.85546875" style="12" customWidth="1"/>
    <col min="8710" max="8710" width="10" style="12" bestFit="1" customWidth="1"/>
    <col min="8711" max="8961" width="9.140625" style="12"/>
    <col min="8962" max="8962" width="2.7109375" style="12" customWidth="1"/>
    <col min="8963" max="8963" width="63.85546875" style="12" customWidth="1"/>
    <col min="8964" max="8964" width="8.42578125" style="12" customWidth="1"/>
    <col min="8965" max="8965" width="7.85546875" style="12" customWidth="1"/>
    <col min="8966" max="8966" width="10" style="12" bestFit="1" customWidth="1"/>
    <col min="8967" max="9217" width="9.140625" style="12"/>
    <col min="9218" max="9218" width="2.7109375" style="12" customWidth="1"/>
    <col min="9219" max="9219" width="63.85546875" style="12" customWidth="1"/>
    <col min="9220" max="9220" width="8.42578125" style="12" customWidth="1"/>
    <col min="9221" max="9221" width="7.85546875" style="12" customWidth="1"/>
    <col min="9222" max="9222" width="10" style="12" bestFit="1" customWidth="1"/>
    <col min="9223" max="9473" width="9.140625" style="12"/>
    <col min="9474" max="9474" width="2.7109375" style="12" customWidth="1"/>
    <col min="9475" max="9475" width="63.85546875" style="12" customWidth="1"/>
    <col min="9476" max="9476" width="8.42578125" style="12" customWidth="1"/>
    <col min="9477" max="9477" width="7.85546875" style="12" customWidth="1"/>
    <col min="9478" max="9478" width="10" style="12" bestFit="1" customWidth="1"/>
    <col min="9479" max="9729" width="9.140625" style="12"/>
    <col min="9730" max="9730" width="2.7109375" style="12" customWidth="1"/>
    <col min="9731" max="9731" width="63.85546875" style="12" customWidth="1"/>
    <col min="9732" max="9732" width="8.42578125" style="12" customWidth="1"/>
    <col min="9733" max="9733" width="7.85546875" style="12" customWidth="1"/>
    <col min="9734" max="9734" width="10" style="12" bestFit="1" customWidth="1"/>
    <col min="9735" max="9985" width="9.140625" style="12"/>
    <col min="9986" max="9986" width="2.7109375" style="12" customWidth="1"/>
    <col min="9987" max="9987" width="63.85546875" style="12" customWidth="1"/>
    <col min="9988" max="9988" width="8.42578125" style="12" customWidth="1"/>
    <col min="9989" max="9989" width="7.85546875" style="12" customWidth="1"/>
    <col min="9990" max="9990" width="10" style="12" bestFit="1" customWidth="1"/>
    <col min="9991" max="10241" width="9.140625" style="12"/>
    <col min="10242" max="10242" width="2.7109375" style="12" customWidth="1"/>
    <col min="10243" max="10243" width="63.85546875" style="12" customWidth="1"/>
    <col min="10244" max="10244" width="8.42578125" style="12" customWidth="1"/>
    <col min="10245" max="10245" width="7.85546875" style="12" customWidth="1"/>
    <col min="10246" max="10246" width="10" style="12" bestFit="1" customWidth="1"/>
    <col min="10247" max="10497" width="9.140625" style="12"/>
    <col min="10498" max="10498" width="2.7109375" style="12" customWidth="1"/>
    <col min="10499" max="10499" width="63.85546875" style="12" customWidth="1"/>
    <col min="10500" max="10500" width="8.42578125" style="12" customWidth="1"/>
    <col min="10501" max="10501" width="7.85546875" style="12" customWidth="1"/>
    <col min="10502" max="10502" width="10" style="12" bestFit="1" customWidth="1"/>
    <col min="10503" max="10753" width="9.140625" style="12"/>
    <col min="10754" max="10754" width="2.7109375" style="12" customWidth="1"/>
    <col min="10755" max="10755" width="63.85546875" style="12" customWidth="1"/>
    <col min="10756" max="10756" width="8.42578125" style="12" customWidth="1"/>
    <col min="10757" max="10757" width="7.85546875" style="12" customWidth="1"/>
    <col min="10758" max="10758" width="10" style="12" bestFit="1" customWidth="1"/>
    <col min="10759" max="11009" width="9.140625" style="12"/>
    <col min="11010" max="11010" width="2.7109375" style="12" customWidth="1"/>
    <col min="11011" max="11011" width="63.85546875" style="12" customWidth="1"/>
    <col min="11012" max="11012" width="8.42578125" style="12" customWidth="1"/>
    <col min="11013" max="11013" width="7.85546875" style="12" customWidth="1"/>
    <col min="11014" max="11014" width="10" style="12" bestFit="1" customWidth="1"/>
    <col min="11015" max="11265" width="9.140625" style="12"/>
    <col min="11266" max="11266" width="2.7109375" style="12" customWidth="1"/>
    <col min="11267" max="11267" width="63.85546875" style="12" customWidth="1"/>
    <col min="11268" max="11268" width="8.42578125" style="12" customWidth="1"/>
    <col min="11269" max="11269" width="7.85546875" style="12" customWidth="1"/>
    <col min="11270" max="11270" width="10" style="12" bestFit="1" customWidth="1"/>
    <col min="11271" max="11521" width="9.140625" style="12"/>
    <col min="11522" max="11522" width="2.7109375" style="12" customWidth="1"/>
    <col min="11523" max="11523" width="63.85546875" style="12" customWidth="1"/>
    <col min="11524" max="11524" width="8.42578125" style="12" customWidth="1"/>
    <col min="11525" max="11525" width="7.85546875" style="12" customWidth="1"/>
    <col min="11526" max="11526" width="10" style="12" bestFit="1" customWidth="1"/>
    <col min="11527" max="11777" width="9.140625" style="12"/>
    <col min="11778" max="11778" width="2.7109375" style="12" customWidth="1"/>
    <col min="11779" max="11779" width="63.85546875" style="12" customWidth="1"/>
    <col min="11780" max="11780" width="8.42578125" style="12" customWidth="1"/>
    <col min="11781" max="11781" width="7.85546875" style="12" customWidth="1"/>
    <col min="11782" max="11782" width="10" style="12" bestFit="1" customWidth="1"/>
    <col min="11783" max="12033" width="9.140625" style="12"/>
    <col min="12034" max="12034" width="2.7109375" style="12" customWidth="1"/>
    <col min="12035" max="12035" width="63.85546875" style="12" customWidth="1"/>
    <col min="12036" max="12036" width="8.42578125" style="12" customWidth="1"/>
    <col min="12037" max="12037" width="7.85546875" style="12" customWidth="1"/>
    <col min="12038" max="12038" width="10" style="12" bestFit="1" customWidth="1"/>
    <col min="12039" max="12289" width="9.140625" style="12"/>
    <col min="12290" max="12290" width="2.7109375" style="12" customWidth="1"/>
    <col min="12291" max="12291" width="63.85546875" style="12" customWidth="1"/>
    <col min="12292" max="12292" width="8.42578125" style="12" customWidth="1"/>
    <col min="12293" max="12293" width="7.85546875" style="12" customWidth="1"/>
    <col min="12294" max="12294" width="10" style="12" bestFit="1" customWidth="1"/>
    <col min="12295" max="12545" width="9.140625" style="12"/>
    <col min="12546" max="12546" width="2.7109375" style="12" customWidth="1"/>
    <col min="12547" max="12547" width="63.85546875" style="12" customWidth="1"/>
    <col min="12548" max="12548" width="8.42578125" style="12" customWidth="1"/>
    <col min="12549" max="12549" width="7.85546875" style="12" customWidth="1"/>
    <col min="12550" max="12550" width="10" style="12" bestFit="1" customWidth="1"/>
    <col min="12551" max="12801" width="9.140625" style="12"/>
    <col min="12802" max="12802" width="2.7109375" style="12" customWidth="1"/>
    <col min="12803" max="12803" width="63.85546875" style="12" customWidth="1"/>
    <col min="12804" max="12804" width="8.42578125" style="12" customWidth="1"/>
    <col min="12805" max="12805" width="7.85546875" style="12" customWidth="1"/>
    <col min="12806" max="12806" width="10" style="12" bestFit="1" customWidth="1"/>
    <col min="12807" max="13057" width="9.140625" style="12"/>
    <col min="13058" max="13058" width="2.7109375" style="12" customWidth="1"/>
    <col min="13059" max="13059" width="63.85546875" style="12" customWidth="1"/>
    <col min="13060" max="13060" width="8.42578125" style="12" customWidth="1"/>
    <col min="13061" max="13061" width="7.85546875" style="12" customWidth="1"/>
    <col min="13062" max="13062" width="10" style="12" bestFit="1" customWidth="1"/>
    <col min="13063" max="13313" width="9.140625" style="12"/>
    <col min="13314" max="13314" width="2.7109375" style="12" customWidth="1"/>
    <col min="13315" max="13315" width="63.85546875" style="12" customWidth="1"/>
    <col min="13316" max="13316" width="8.42578125" style="12" customWidth="1"/>
    <col min="13317" max="13317" width="7.85546875" style="12" customWidth="1"/>
    <col min="13318" max="13318" width="10" style="12" bestFit="1" customWidth="1"/>
    <col min="13319" max="13569" width="9.140625" style="12"/>
    <col min="13570" max="13570" width="2.7109375" style="12" customWidth="1"/>
    <col min="13571" max="13571" width="63.85546875" style="12" customWidth="1"/>
    <col min="13572" max="13572" width="8.42578125" style="12" customWidth="1"/>
    <col min="13573" max="13573" width="7.85546875" style="12" customWidth="1"/>
    <col min="13574" max="13574" width="10" style="12" bestFit="1" customWidth="1"/>
    <col min="13575" max="13825" width="9.140625" style="12"/>
    <col min="13826" max="13826" width="2.7109375" style="12" customWidth="1"/>
    <col min="13827" max="13827" width="63.85546875" style="12" customWidth="1"/>
    <col min="13828" max="13828" width="8.42578125" style="12" customWidth="1"/>
    <col min="13829" max="13829" width="7.85546875" style="12" customWidth="1"/>
    <col min="13830" max="13830" width="10" style="12" bestFit="1" customWidth="1"/>
    <col min="13831" max="14081" width="9.140625" style="12"/>
    <col min="14082" max="14082" width="2.7109375" style="12" customWidth="1"/>
    <col min="14083" max="14083" width="63.85546875" style="12" customWidth="1"/>
    <col min="14084" max="14084" width="8.42578125" style="12" customWidth="1"/>
    <col min="14085" max="14085" width="7.85546875" style="12" customWidth="1"/>
    <col min="14086" max="14086" width="10" style="12" bestFit="1" customWidth="1"/>
    <col min="14087" max="14337" width="9.140625" style="12"/>
    <col min="14338" max="14338" width="2.7109375" style="12" customWidth="1"/>
    <col min="14339" max="14339" width="63.85546875" style="12" customWidth="1"/>
    <col min="14340" max="14340" width="8.42578125" style="12" customWidth="1"/>
    <col min="14341" max="14341" width="7.85546875" style="12" customWidth="1"/>
    <col min="14342" max="14342" width="10" style="12" bestFit="1" customWidth="1"/>
    <col min="14343" max="14593" width="9.140625" style="12"/>
    <col min="14594" max="14594" width="2.7109375" style="12" customWidth="1"/>
    <col min="14595" max="14595" width="63.85546875" style="12" customWidth="1"/>
    <col min="14596" max="14596" width="8.42578125" style="12" customWidth="1"/>
    <col min="14597" max="14597" width="7.85546875" style="12" customWidth="1"/>
    <col min="14598" max="14598" width="10" style="12" bestFit="1" customWidth="1"/>
    <col min="14599" max="14849" width="9.140625" style="12"/>
    <col min="14850" max="14850" width="2.7109375" style="12" customWidth="1"/>
    <col min="14851" max="14851" width="63.85546875" style="12" customWidth="1"/>
    <col min="14852" max="14852" width="8.42578125" style="12" customWidth="1"/>
    <col min="14853" max="14853" width="7.85546875" style="12" customWidth="1"/>
    <col min="14854" max="14854" width="10" style="12" bestFit="1" customWidth="1"/>
    <col min="14855" max="15105" width="9.140625" style="12"/>
    <col min="15106" max="15106" width="2.7109375" style="12" customWidth="1"/>
    <col min="15107" max="15107" width="63.85546875" style="12" customWidth="1"/>
    <col min="15108" max="15108" width="8.42578125" style="12" customWidth="1"/>
    <col min="15109" max="15109" width="7.85546875" style="12" customWidth="1"/>
    <col min="15110" max="15110" width="10" style="12" bestFit="1" customWidth="1"/>
    <col min="15111" max="15361" width="9.140625" style="12"/>
    <col min="15362" max="15362" width="2.7109375" style="12" customWidth="1"/>
    <col min="15363" max="15363" width="63.85546875" style="12" customWidth="1"/>
    <col min="15364" max="15364" width="8.42578125" style="12" customWidth="1"/>
    <col min="15365" max="15365" width="7.85546875" style="12" customWidth="1"/>
    <col min="15366" max="15366" width="10" style="12" bestFit="1" customWidth="1"/>
    <col min="15367" max="15617" width="9.140625" style="12"/>
    <col min="15618" max="15618" width="2.7109375" style="12" customWidth="1"/>
    <col min="15619" max="15619" width="63.85546875" style="12" customWidth="1"/>
    <col min="15620" max="15620" width="8.42578125" style="12" customWidth="1"/>
    <col min="15621" max="15621" width="7.85546875" style="12" customWidth="1"/>
    <col min="15622" max="15622" width="10" style="12" bestFit="1" customWidth="1"/>
    <col min="15623" max="15873" width="9.140625" style="12"/>
    <col min="15874" max="15874" width="2.7109375" style="12" customWidth="1"/>
    <col min="15875" max="15875" width="63.85546875" style="12" customWidth="1"/>
    <col min="15876" max="15876" width="8.42578125" style="12" customWidth="1"/>
    <col min="15877" max="15877" width="7.85546875" style="12" customWidth="1"/>
    <col min="15878" max="15878" width="10" style="12" bestFit="1" customWidth="1"/>
    <col min="15879" max="16129" width="9.140625" style="12"/>
    <col min="16130" max="16130" width="2.7109375" style="12" customWidth="1"/>
    <col min="16131" max="16131" width="63.85546875" style="12" customWidth="1"/>
    <col min="16132" max="16132" width="8.42578125" style="12" customWidth="1"/>
    <col min="16133" max="16133" width="7.85546875" style="12" customWidth="1"/>
    <col min="16134" max="16134" width="10" style="12" bestFit="1" customWidth="1"/>
    <col min="16135" max="16384" width="9.140625" style="12"/>
  </cols>
  <sheetData>
    <row r="1" spans="1:31">
      <c r="A1" s="11" t="s">
        <v>48</v>
      </c>
      <c r="B1" s="11"/>
      <c r="C1" s="11"/>
      <c r="D1" s="11"/>
    </row>
    <row r="2" spans="1:31">
      <c r="A2" s="11"/>
      <c r="B2" s="47"/>
      <c r="C2" s="11" t="s">
        <v>51</v>
      </c>
      <c r="D2" s="11"/>
      <c r="E2" s="11" t="s">
        <v>33</v>
      </c>
      <c r="F2" s="11" t="s">
        <v>34</v>
      </c>
      <c r="G2" s="11" t="s">
        <v>35</v>
      </c>
      <c r="H2" s="11" t="s">
        <v>36</v>
      </c>
      <c r="I2" s="11" t="s">
        <v>37</v>
      </c>
      <c r="J2" s="138" t="s">
        <v>38</v>
      </c>
      <c r="K2" s="11" t="s">
        <v>39</v>
      </c>
      <c r="L2" s="11" t="s">
        <v>40</v>
      </c>
      <c r="M2" s="11" t="s">
        <v>41</v>
      </c>
      <c r="N2" s="11" t="s">
        <v>42</v>
      </c>
      <c r="O2" s="11" t="s">
        <v>43</v>
      </c>
      <c r="P2" s="11" t="s">
        <v>52</v>
      </c>
      <c r="Q2" s="11" t="s">
        <v>53</v>
      </c>
      <c r="R2" s="11" t="s">
        <v>54</v>
      </c>
      <c r="S2" s="11" t="s">
        <v>55</v>
      </c>
      <c r="T2" s="11" t="s">
        <v>110</v>
      </c>
      <c r="U2" s="11" t="s">
        <v>111</v>
      </c>
      <c r="V2" s="11" t="s">
        <v>112</v>
      </c>
      <c r="W2" s="11" t="s">
        <v>113</v>
      </c>
      <c r="X2" s="11" t="s">
        <v>114</v>
      </c>
      <c r="Y2" s="11" t="s">
        <v>115</v>
      </c>
      <c r="Z2" s="11" t="s">
        <v>116</v>
      </c>
      <c r="AA2" s="11" t="s">
        <v>117</v>
      </c>
      <c r="AB2" s="11" t="s">
        <v>118</v>
      </c>
      <c r="AC2" s="11" t="s">
        <v>119</v>
      </c>
      <c r="AD2" s="11"/>
      <c r="AE2" s="11"/>
    </row>
    <row r="3" spans="1:31">
      <c r="A3" s="46" t="s">
        <v>49</v>
      </c>
      <c r="B3" s="47" t="s">
        <v>50</v>
      </c>
    </row>
    <row r="4" spans="1:31" ht="12.75" hidden="1" customHeight="1">
      <c r="A4" s="48"/>
      <c r="B4" s="49" t="s">
        <v>56</v>
      </c>
      <c r="C4" s="13">
        <v>25</v>
      </c>
      <c r="D4" s="13"/>
      <c r="E4" s="13">
        <v>830</v>
      </c>
      <c r="F4" s="13">
        <v>1270</v>
      </c>
      <c r="G4" s="13">
        <v>730</v>
      </c>
      <c r="H4" s="13">
        <v>730</v>
      </c>
      <c r="I4" s="13">
        <v>1630</v>
      </c>
      <c r="J4" s="13">
        <v>2010</v>
      </c>
      <c r="K4" s="13">
        <f>J4</f>
        <v>2010</v>
      </c>
      <c r="L4" s="13">
        <f t="shared" ref="L4:S7" si="0">K4</f>
        <v>2010</v>
      </c>
      <c r="M4" s="13">
        <f t="shared" si="0"/>
        <v>2010</v>
      </c>
      <c r="N4" s="13">
        <f t="shared" si="0"/>
        <v>2010</v>
      </c>
      <c r="O4" s="13">
        <f t="shared" si="0"/>
        <v>2010</v>
      </c>
      <c r="P4" s="13">
        <f t="shared" si="0"/>
        <v>2010</v>
      </c>
      <c r="Q4" s="13">
        <f t="shared" si="0"/>
        <v>2010</v>
      </c>
      <c r="R4" s="13">
        <f t="shared" si="0"/>
        <v>2010</v>
      </c>
      <c r="S4" s="13">
        <f t="shared" si="0"/>
        <v>2010</v>
      </c>
    </row>
    <row r="5" spans="1:31">
      <c r="A5" s="48"/>
      <c r="B5" s="49" t="s">
        <v>57</v>
      </c>
      <c r="C5" s="13"/>
      <c r="D5" s="13"/>
      <c r="E5" s="13">
        <v>5500</v>
      </c>
      <c r="F5" s="13">
        <v>11100</v>
      </c>
      <c r="G5" s="13">
        <v>17700</v>
      </c>
      <c r="H5" s="13">
        <v>27300</v>
      </c>
      <c r="I5" s="13">
        <v>35880</v>
      </c>
      <c r="J5" s="13">
        <v>40320</v>
      </c>
      <c r="K5" s="13">
        <v>40320</v>
      </c>
      <c r="L5" s="13">
        <v>40320</v>
      </c>
      <c r="M5" s="13">
        <v>40320</v>
      </c>
      <c r="N5" s="13">
        <v>40320</v>
      </c>
      <c r="O5" s="13">
        <v>40320</v>
      </c>
      <c r="P5" s="13">
        <v>40320</v>
      </c>
      <c r="Q5" s="13">
        <v>40320</v>
      </c>
      <c r="R5" s="13">
        <v>40320</v>
      </c>
      <c r="S5" s="13">
        <v>40320</v>
      </c>
      <c r="T5" s="13">
        <v>40320</v>
      </c>
      <c r="U5" s="13">
        <v>40320</v>
      </c>
      <c r="V5" s="13">
        <v>40320</v>
      </c>
      <c r="W5" s="13">
        <v>40320</v>
      </c>
      <c r="X5" s="13">
        <v>40320</v>
      </c>
      <c r="Y5" s="13">
        <v>40320</v>
      </c>
      <c r="Z5" s="13">
        <v>40320</v>
      </c>
      <c r="AA5" s="13">
        <v>40320</v>
      </c>
      <c r="AB5" s="13">
        <v>40320</v>
      </c>
      <c r="AC5" s="13">
        <v>40320</v>
      </c>
    </row>
    <row r="6" spans="1:31" ht="13.5" thickBot="1">
      <c r="A6" s="48"/>
      <c r="B6" s="49" t="s">
        <v>58</v>
      </c>
      <c r="C6" s="13"/>
      <c r="D6" s="13"/>
      <c r="E6" s="141">
        <v>366000</v>
      </c>
      <c r="F6" s="141">
        <v>741000</v>
      </c>
      <c r="G6" s="141">
        <v>1188000</v>
      </c>
      <c r="H6" s="141">
        <v>1818000</v>
      </c>
      <c r="I6" s="141">
        <v>2392800</v>
      </c>
      <c r="J6" s="141">
        <v>2719200</v>
      </c>
      <c r="K6" s="141">
        <v>2719200</v>
      </c>
      <c r="L6" s="141">
        <v>2719200</v>
      </c>
      <c r="M6" s="141">
        <v>2719200</v>
      </c>
      <c r="N6" s="141">
        <v>2719200</v>
      </c>
      <c r="O6" s="141">
        <v>2719200</v>
      </c>
      <c r="P6" s="141">
        <v>2719200</v>
      </c>
      <c r="Q6" s="141">
        <v>2719200</v>
      </c>
      <c r="R6" s="141">
        <v>2719200</v>
      </c>
      <c r="S6" s="141">
        <v>2719200</v>
      </c>
      <c r="T6" s="141">
        <v>2719200</v>
      </c>
      <c r="U6" s="141">
        <v>2719200</v>
      </c>
      <c r="V6" s="141">
        <v>2719200</v>
      </c>
      <c r="W6" s="141">
        <v>2719200</v>
      </c>
      <c r="X6" s="141">
        <v>2719200</v>
      </c>
      <c r="Y6" s="141">
        <v>2719200</v>
      </c>
      <c r="Z6" s="141">
        <v>2719200</v>
      </c>
      <c r="AA6" s="141">
        <v>2719200</v>
      </c>
      <c r="AB6" s="141">
        <v>2719200</v>
      </c>
      <c r="AC6" s="141">
        <v>2719200</v>
      </c>
    </row>
    <row r="7" spans="1:31" ht="18" hidden="1" customHeight="1">
      <c r="A7" s="48"/>
      <c r="B7" s="50" t="s">
        <v>98</v>
      </c>
      <c r="C7" s="15"/>
      <c r="D7" s="15"/>
      <c r="E7" s="15">
        <f>'Feed and Fodder'!S14</f>
        <v>0.5</v>
      </c>
      <c r="F7" s="15">
        <f>E7</f>
        <v>0.5</v>
      </c>
      <c r="G7" s="15">
        <f t="shared" ref="G7:K7" si="1">F7</f>
        <v>0.5</v>
      </c>
      <c r="H7" s="15">
        <f t="shared" si="1"/>
        <v>0.5</v>
      </c>
      <c r="I7" s="15">
        <f t="shared" si="1"/>
        <v>0.5</v>
      </c>
      <c r="J7" s="15">
        <f t="shared" si="1"/>
        <v>0.5</v>
      </c>
      <c r="K7" s="15">
        <f t="shared" si="1"/>
        <v>0.5</v>
      </c>
      <c r="L7" s="15">
        <f t="shared" si="0"/>
        <v>0.5</v>
      </c>
      <c r="M7" s="15">
        <f t="shared" si="0"/>
        <v>0.5</v>
      </c>
      <c r="N7" s="15">
        <f t="shared" si="0"/>
        <v>0.5</v>
      </c>
      <c r="O7" s="15">
        <f t="shared" si="0"/>
        <v>0.5</v>
      </c>
      <c r="P7" s="15">
        <f t="shared" si="0"/>
        <v>0.5</v>
      </c>
      <c r="Q7" s="15">
        <f t="shared" si="0"/>
        <v>0.5</v>
      </c>
      <c r="R7" s="15">
        <f t="shared" si="0"/>
        <v>0.5</v>
      </c>
      <c r="S7" s="15">
        <f t="shared" si="0"/>
        <v>0.5</v>
      </c>
      <c r="T7" s="15">
        <f t="shared" ref="T7:AC7" si="2">S7</f>
        <v>0.5</v>
      </c>
      <c r="U7" s="15">
        <f t="shared" si="2"/>
        <v>0.5</v>
      </c>
      <c r="V7" s="15">
        <f t="shared" si="2"/>
        <v>0.5</v>
      </c>
      <c r="W7" s="15">
        <f t="shared" si="2"/>
        <v>0.5</v>
      </c>
      <c r="X7" s="15">
        <f t="shared" si="2"/>
        <v>0.5</v>
      </c>
      <c r="Y7" s="15">
        <f t="shared" si="2"/>
        <v>0.5</v>
      </c>
      <c r="Z7" s="15">
        <f t="shared" si="2"/>
        <v>0.5</v>
      </c>
      <c r="AA7" s="15">
        <f t="shared" si="2"/>
        <v>0.5</v>
      </c>
      <c r="AB7" s="15">
        <f t="shared" si="2"/>
        <v>0.5</v>
      </c>
      <c r="AC7" s="15">
        <f t="shared" si="2"/>
        <v>0.5</v>
      </c>
    </row>
    <row r="8" spans="1:31" ht="13.5" hidden="1">
      <c r="A8" s="48"/>
      <c r="B8" s="51" t="s">
        <v>135</v>
      </c>
      <c r="C8" s="76"/>
      <c r="D8" s="76"/>
      <c r="E8" s="76">
        <f>E6*E7*365/1000000000</f>
        <v>6.6794999999999993E-2</v>
      </c>
      <c r="F8" s="76">
        <f t="shared" ref="F8:J8" si="3">F6*F7*365/1000000000</f>
        <v>0.13523250000000001</v>
      </c>
      <c r="G8" s="76">
        <f t="shared" si="3"/>
        <v>0.21681</v>
      </c>
      <c r="H8" s="76">
        <f t="shared" si="3"/>
        <v>0.331785</v>
      </c>
      <c r="I8" s="76">
        <f t="shared" si="3"/>
        <v>0.43668600000000002</v>
      </c>
      <c r="J8" s="76">
        <f t="shared" si="3"/>
        <v>0.49625399999999997</v>
      </c>
      <c r="K8" s="76">
        <f t="shared" ref="K8" si="4">K6*K7*365/1000000000</f>
        <v>0.49625399999999997</v>
      </c>
      <c r="L8" s="76">
        <f t="shared" ref="L8" si="5">L6*L7*365/1000000000</f>
        <v>0.49625399999999997</v>
      </c>
      <c r="M8" s="76">
        <f t="shared" ref="M8" si="6">M6*M7*365/1000000000</f>
        <v>0.49625399999999997</v>
      </c>
      <c r="N8" s="76">
        <f t="shared" ref="N8" si="7">N6*N7*365/1000000000</f>
        <v>0.49625399999999997</v>
      </c>
      <c r="O8" s="76">
        <f t="shared" ref="O8" si="8">O6*O7*365/1000000000</f>
        <v>0.49625399999999997</v>
      </c>
      <c r="P8" s="76">
        <f t="shared" ref="P8" si="9">P6*P7*365/1000000000</f>
        <v>0.49625399999999997</v>
      </c>
      <c r="Q8" s="76">
        <f t="shared" ref="Q8" si="10">Q6*Q7*365/1000000000</f>
        <v>0.49625399999999997</v>
      </c>
      <c r="R8" s="76">
        <f t="shared" ref="R8" si="11">R6*R7*365/1000000000</f>
        <v>0.49625399999999997</v>
      </c>
      <c r="S8" s="76">
        <f t="shared" ref="S8" si="12">S6*S7*365/1000000000</f>
        <v>0.49625399999999997</v>
      </c>
      <c r="T8" s="76">
        <f t="shared" ref="T8" si="13">T6*T7*365/1000000000</f>
        <v>0.49625399999999997</v>
      </c>
      <c r="U8" s="76">
        <f t="shared" ref="U8" si="14">U6*U7*365/1000000000</f>
        <v>0.49625399999999997</v>
      </c>
      <c r="V8" s="76">
        <f t="shared" ref="V8" si="15">V6*V7*365/1000000000</f>
        <v>0.49625399999999997</v>
      </c>
      <c r="W8" s="76">
        <f t="shared" ref="W8" si="16">W6*W7*365/1000000000</f>
        <v>0.49625399999999997</v>
      </c>
      <c r="X8" s="76">
        <f t="shared" ref="X8" si="17">X6*X7*365/1000000000</f>
        <v>0.49625399999999997</v>
      </c>
      <c r="Y8" s="76">
        <f t="shared" ref="Y8" si="18">Y6*Y7*365/1000000000</f>
        <v>0.49625399999999997</v>
      </c>
      <c r="Z8" s="76">
        <f t="shared" ref="Z8" si="19">Z6*Z7*365/1000000000</f>
        <v>0.49625399999999997</v>
      </c>
      <c r="AA8" s="76">
        <f t="shared" ref="AA8" si="20">AA6*AA7*365/1000000000</f>
        <v>0.49625399999999997</v>
      </c>
      <c r="AB8" s="76">
        <f t="shared" ref="AB8" si="21">AB6*AB7*365/1000000000</f>
        <v>0.49625399999999997</v>
      </c>
      <c r="AC8" s="76">
        <f t="shared" ref="AC8" si="22">AC6*AC7*365/1000000000</f>
        <v>0.49625399999999997</v>
      </c>
    </row>
    <row r="9" spans="1:31" ht="13.5" hidden="1">
      <c r="A9" s="48"/>
      <c r="B9" s="77"/>
      <c r="C9" s="16"/>
      <c r="D9" s="16"/>
      <c r="E9" s="16"/>
      <c r="F9" s="16"/>
      <c r="G9" s="16"/>
      <c r="H9" s="16"/>
      <c r="I9" s="16"/>
      <c r="J9" s="16"/>
      <c r="K9" s="16"/>
      <c r="L9" s="16"/>
      <c r="M9" s="16"/>
      <c r="N9" s="16"/>
      <c r="O9" s="16"/>
      <c r="P9" s="16"/>
      <c r="Q9" s="16"/>
      <c r="R9" s="16"/>
      <c r="S9" s="16"/>
      <c r="T9" s="23"/>
      <c r="U9" s="23"/>
      <c r="V9" s="23"/>
      <c r="W9" s="23"/>
      <c r="X9" s="23"/>
      <c r="Y9" s="23"/>
      <c r="Z9" s="23"/>
      <c r="AA9" s="23"/>
      <c r="AB9" s="23"/>
      <c r="AC9" s="23"/>
    </row>
    <row r="10" spans="1:31" hidden="1">
      <c r="A10" s="46" t="s">
        <v>146</v>
      </c>
      <c r="B10" s="47" t="s">
        <v>60</v>
      </c>
      <c r="C10" s="13"/>
      <c r="D10" s="13"/>
      <c r="E10" s="13"/>
      <c r="F10" s="13"/>
      <c r="G10" s="13"/>
      <c r="H10" s="13"/>
      <c r="I10" s="13"/>
      <c r="J10" s="13"/>
    </row>
    <row r="11" spans="1:31" hidden="1">
      <c r="A11" s="48"/>
      <c r="B11" s="52" t="s">
        <v>61</v>
      </c>
      <c r="C11" s="13"/>
      <c r="D11" s="13"/>
      <c r="E11" s="13">
        <v>1</v>
      </c>
      <c r="F11" s="13">
        <v>2</v>
      </c>
      <c r="G11" s="13">
        <v>4</v>
      </c>
      <c r="H11" s="13">
        <v>5</v>
      </c>
      <c r="I11" s="13">
        <v>6</v>
      </c>
      <c r="J11" s="13">
        <v>7</v>
      </c>
      <c r="K11" s="13">
        <f>J11</f>
        <v>7</v>
      </c>
      <c r="L11" s="13">
        <f t="shared" ref="L11:S11" si="23">K11</f>
        <v>7</v>
      </c>
      <c r="M11" s="13">
        <f t="shared" si="23"/>
        <v>7</v>
      </c>
      <c r="N11" s="13">
        <f t="shared" si="23"/>
        <v>7</v>
      </c>
      <c r="O11" s="13">
        <f t="shared" si="23"/>
        <v>7</v>
      </c>
      <c r="P11" s="13">
        <f t="shared" si="23"/>
        <v>7</v>
      </c>
      <c r="Q11" s="13">
        <f t="shared" si="23"/>
        <v>7</v>
      </c>
      <c r="R11" s="13">
        <f t="shared" si="23"/>
        <v>7</v>
      </c>
      <c r="S11" s="13">
        <f t="shared" si="23"/>
        <v>7</v>
      </c>
      <c r="T11" s="12">
        <f>S11</f>
        <v>7</v>
      </c>
      <c r="U11" s="12">
        <f t="shared" ref="U11:AC11" si="24">T11</f>
        <v>7</v>
      </c>
      <c r="V11" s="12">
        <f t="shared" si="24"/>
        <v>7</v>
      </c>
      <c r="W11" s="12">
        <f t="shared" si="24"/>
        <v>7</v>
      </c>
      <c r="X11" s="12">
        <f t="shared" si="24"/>
        <v>7</v>
      </c>
      <c r="Y11" s="12">
        <f t="shared" si="24"/>
        <v>7</v>
      </c>
      <c r="Z11" s="12">
        <f t="shared" si="24"/>
        <v>7</v>
      </c>
      <c r="AA11" s="12">
        <f t="shared" si="24"/>
        <v>7</v>
      </c>
      <c r="AB11" s="12">
        <f t="shared" si="24"/>
        <v>7</v>
      </c>
      <c r="AC11" s="12">
        <f t="shared" si="24"/>
        <v>7</v>
      </c>
    </row>
    <row r="12" spans="1:31" hidden="1">
      <c r="A12" s="48"/>
      <c r="B12" s="49" t="s">
        <v>62</v>
      </c>
      <c r="C12" s="13"/>
      <c r="D12" s="13"/>
      <c r="E12" s="13">
        <v>10</v>
      </c>
      <c r="F12" s="13">
        <v>10</v>
      </c>
      <c r="G12" s="13">
        <v>10</v>
      </c>
      <c r="H12" s="13">
        <v>10</v>
      </c>
      <c r="I12" s="13">
        <v>10</v>
      </c>
      <c r="J12" s="13">
        <v>10</v>
      </c>
      <c r="K12" s="13">
        <v>10</v>
      </c>
      <c r="L12" s="13">
        <v>10</v>
      </c>
      <c r="M12" s="13">
        <v>10</v>
      </c>
      <c r="N12" s="13">
        <v>10</v>
      </c>
      <c r="O12" s="13">
        <v>10</v>
      </c>
      <c r="P12" s="13">
        <v>10</v>
      </c>
      <c r="Q12" s="13">
        <v>10</v>
      </c>
      <c r="R12" s="13">
        <v>10</v>
      </c>
      <c r="S12" s="13">
        <v>10</v>
      </c>
      <c r="T12" s="12">
        <f t="shared" ref="T12:AC12" si="25">S12</f>
        <v>10</v>
      </c>
      <c r="U12" s="12">
        <f t="shared" si="25"/>
        <v>10</v>
      </c>
      <c r="V12" s="12">
        <f t="shared" si="25"/>
        <v>10</v>
      </c>
      <c r="W12" s="12">
        <f t="shared" si="25"/>
        <v>10</v>
      </c>
      <c r="X12" s="12">
        <f t="shared" si="25"/>
        <v>10</v>
      </c>
      <c r="Y12" s="12">
        <f t="shared" si="25"/>
        <v>10</v>
      </c>
      <c r="Z12" s="12">
        <f t="shared" si="25"/>
        <v>10</v>
      </c>
      <c r="AA12" s="12">
        <f t="shared" si="25"/>
        <v>10</v>
      </c>
      <c r="AB12" s="12">
        <f t="shared" si="25"/>
        <v>10</v>
      </c>
      <c r="AC12" s="12">
        <f t="shared" si="25"/>
        <v>10</v>
      </c>
    </row>
    <row r="13" spans="1:31" hidden="1">
      <c r="A13" s="48"/>
      <c r="B13" s="49" t="s">
        <v>63</v>
      </c>
      <c r="C13" s="13"/>
      <c r="D13" s="13"/>
      <c r="E13" s="13">
        <v>300</v>
      </c>
      <c r="F13" s="13">
        <v>600</v>
      </c>
      <c r="G13" s="13">
        <v>1200</v>
      </c>
      <c r="H13" s="13">
        <v>1500</v>
      </c>
      <c r="I13" s="13">
        <v>1800</v>
      </c>
      <c r="J13" s="13">
        <v>2100</v>
      </c>
      <c r="K13" s="13">
        <f>J13</f>
        <v>2100</v>
      </c>
      <c r="L13" s="13">
        <f t="shared" ref="L13:AC20" si="26">K13</f>
        <v>2100</v>
      </c>
      <c r="M13" s="13">
        <f t="shared" si="26"/>
        <v>2100</v>
      </c>
      <c r="N13" s="13">
        <f t="shared" si="26"/>
        <v>2100</v>
      </c>
      <c r="O13" s="13">
        <f t="shared" si="26"/>
        <v>2100</v>
      </c>
      <c r="P13" s="13">
        <f t="shared" si="26"/>
        <v>2100</v>
      </c>
      <c r="Q13" s="13">
        <f t="shared" si="26"/>
        <v>2100</v>
      </c>
      <c r="R13" s="13">
        <f t="shared" si="26"/>
        <v>2100</v>
      </c>
      <c r="S13" s="13">
        <f t="shared" si="26"/>
        <v>2100</v>
      </c>
      <c r="T13" s="12">
        <f t="shared" si="26"/>
        <v>2100</v>
      </c>
      <c r="U13" s="12">
        <f t="shared" si="26"/>
        <v>2100</v>
      </c>
      <c r="V13" s="12">
        <f t="shared" si="26"/>
        <v>2100</v>
      </c>
      <c r="W13" s="12">
        <f t="shared" si="26"/>
        <v>2100</v>
      </c>
      <c r="X13" s="12">
        <f t="shared" si="26"/>
        <v>2100</v>
      </c>
      <c r="Y13" s="12">
        <f t="shared" si="26"/>
        <v>2100</v>
      </c>
      <c r="Z13" s="12">
        <f t="shared" si="26"/>
        <v>2100</v>
      </c>
      <c r="AA13" s="12">
        <f t="shared" si="26"/>
        <v>2100</v>
      </c>
      <c r="AB13" s="12">
        <f t="shared" si="26"/>
        <v>2100</v>
      </c>
      <c r="AC13" s="12">
        <f t="shared" si="26"/>
        <v>2100</v>
      </c>
    </row>
    <row r="14" spans="1:31" hidden="1">
      <c r="A14" s="48"/>
      <c r="B14" s="49" t="s">
        <v>64</v>
      </c>
      <c r="C14" s="13"/>
      <c r="D14" s="13"/>
      <c r="E14" s="13">
        <v>50</v>
      </c>
      <c r="F14" s="13">
        <v>50</v>
      </c>
      <c r="G14" s="13">
        <v>50</v>
      </c>
      <c r="H14" s="13">
        <v>50</v>
      </c>
      <c r="I14" s="13">
        <v>50</v>
      </c>
      <c r="J14" s="13">
        <v>50</v>
      </c>
      <c r="K14" s="13">
        <v>50</v>
      </c>
      <c r="L14" s="13">
        <v>50</v>
      </c>
      <c r="M14" s="13">
        <v>50</v>
      </c>
      <c r="N14" s="13">
        <v>50</v>
      </c>
      <c r="O14" s="13">
        <v>50</v>
      </c>
      <c r="P14" s="13">
        <v>50</v>
      </c>
      <c r="Q14" s="13">
        <v>50</v>
      </c>
      <c r="R14" s="13">
        <v>50</v>
      </c>
      <c r="S14" s="13">
        <v>50</v>
      </c>
      <c r="T14" s="12">
        <f t="shared" si="26"/>
        <v>50</v>
      </c>
      <c r="U14" s="12">
        <f t="shared" si="26"/>
        <v>50</v>
      </c>
      <c r="V14" s="12">
        <f t="shared" si="26"/>
        <v>50</v>
      </c>
      <c r="W14" s="12">
        <f t="shared" si="26"/>
        <v>50</v>
      </c>
      <c r="X14" s="12">
        <f t="shared" si="26"/>
        <v>50</v>
      </c>
      <c r="Y14" s="12">
        <f t="shared" si="26"/>
        <v>50</v>
      </c>
      <c r="Z14" s="12">
        <f t="shared" si="26"/>
        <v>50</v>
      </c>
      <c r="AA14" s="12">
        <f t="shared" si="26"/>
        <v>50</v>
      </c>
      <c r="AB14" s="12">
        <f t="shared" si="26"/>
        <v>50</v>
      </c>
      <c r="AC14" s="12">
        <f t="shared" si="26"/>
        <v>50</v>
      </c>
    </row>
    <row r="15" spans="1:31" hidden="1">
      <c r="A15" s="48"/>
      <c r="B15" s="49" t="s">
        <v>65</v>
      </c>
      <c r="C15" s="13"/>
      <c r="D15" s="13"/>
      <c r="E15" s="13">
        <f>E13*1000/E14</f>
        <v>6000</v>
      </c>
      <c r="F15" s="13">
        <f t="shared" ref="F15:S15" si="27">F13*1000/F14</f>
        <v>12000</v>
      </c>
      <c r="G15" s="13">
        <f t="shared" si="27"/>
        <v>24000</v>
      </c>
      <c r="H15" s="13">
        <f t="shared" si="27"/>
        <v>30000</v>
      </c>
      <c r="I15" s="13">
        <f t="shared" si="27"/>
        <v>36000</v>
      </c>
      <c r="J15" s="13">
        <f t="shared" si="27"/>
        <v>42000</v>
      </c>
      <c r="K15" s="13">
        <f t="shared" si="27"/>
        <v>42000</v>
      </c>
      <c r="L15" s="13">
        <f t="shared" si="27"/>
        <v>42000</v>
      </c>
      <c r="M15" s="13">
        <f t="shared" si="27"/>
        <v>42000</v>
      </c>
      <c r="N15" s="13">
        <f t="shared" si="27"/>
        <v>42000</v>
      </c>
      <c r="O15" s="13">
        <f t="shared" si="27"/>
        <v>42000</v>
      </c>
      <c r="P15" s="13">
        <f t="shared" si="27"/>
        <v>42000</v>
      </c>
      <c r="Q15" s="13">
        <f t="shared" si="27"/>
        <v>42000</v>
      </c>
      <c r="R15" s="13">
        <f t="shared" si="27"/>
        <v>42000</v>
      </c>
      <c r="S15" s="13">
        <f t="shared" si="27"/>
        <v>42000</v>
      </c>
      <c r="T15" s="12">
        <f t="shared" si="26"/>
        <v>42000</v>
      </c>
      <c r="U15" s="12">
        <f t="shared" si="26"/>
        <v>42000</v>
      </c>
      <c r="V15" s="12">
        <f t="shared" si="26"/>
        <v>42000</v>
      </c>
      <c r="W15" s="12">
        <f t="shared" si="26"/>
        <v>42000</v>
      </c>
      <c r="X15" s="12">
        <f t="shared" si="26"/>
        <v>42000</v>
      </c>
      <c r="Y15" s="12">
        <f t="shared" si="26"/>
        <v>42000</v>
      </c>
      <c r="Z15" s="12">
        <f t="shared" si="26"/>
        <v>42000</v>
      </c>
      <c r="AA15" s="12">
        <f t="shared" si="26"/>
        <v>42000</v>
      </c>
      <c r="AB15" s="12">
        <f t="shared" si="26"/>
        <v>42000</v>
      </c>
      <c r="AC15" s="12">
        <f t="shared" si="26"/>
        <v>42000</v>
      </c>
    </row>
    <row r="16" spans="1:31" hidden="1">
      <c r="A16" s="48"/>
      <c r="B16" s="49" t="s">
        <v>66</v>
      </c>
      <c r="C16" s="13"/>
      <c r="D16" s="13"/>
      <c r="E16" s="13">
        <v>40</v>
      </c>
      <c r="F16" s="13">
        <v>40</v>
      </c>
      <c r="G16" s="13">
        <v>40</v>
      </c>
      <c r="H16" s="13">
        <v>40</v>
      </c>
      <c r="I16" s="13">
        <v>40</v>
      </c>
      <c r="J16" s="13">
        <v>40</v>
      </c>
      <c r="K16" s="13">
        <v>40</v>
      </c>
      <c r="L16" s="13">
        <v>40</v>
      </c>
      <c r="M16" s="13">
        <v>40</v>
      </c>
      <c r="N16" s="13">
        <v>40</v>
      </c>
      <c r="O16" s="13">
        <v>40</v>
      </c>
      <c r="P16" s="13">
        <v>40</v>
      </c>
      <c r="Q16" s="13">
        <v>40</v>
      </c>
      <c r="R16" s="13">
        <v>40</v>
      </c>
      <c r="S16" s="13">
        <v>40</v>
      </c>
      <c r="T16" s="12">
        <f t="shared" si="26"/>
        <v>40</v>
      </c>
      <c r="U16" s="12">
        <f t="shared" si="26"/>
        <v>40</v>
      </c>
      <c r="V16" s="12">
        <f t="shared" si="26"/>
        <v>40</v>
      </c>
      <c r="W16" s="12">
        <f t="shared" si="26"/>
        <v>40</v>
      </c>
      <c r="X16" s="12">
        <f t="shared" si="26"/>
        <v>40</v>
      </c>
      <c r="Y16" s="12">
        <f t="shared" si="26"/>
        <v>40</v>
      </c>
      <c r="Z16" s="12">
        <f t="shared" si="26"/>
        <v>40</v>
      </c>
      <c r="AA16" s="12">
        <f t="shared" si="26"/>
        <v>40</v>
      </c>
      <c r="AB16" s="12">
        <f t="shared" si="26"/>
        <v>40</v>
      </c>
      <c r="AC16" s="12">
        <f t="shared" si="26"/>
        <v>40</v>
      </c>
    </row>
    <row r="17" spans="1:29" hidden="1">
      <c r="A17" s="48"/>
      <c r="B17" s="49" t="s">
        <v>67</v>
      </c>
      <c r="C17" s="13"/>
      <c r="D17" s="13"/>
      <c r="E17" s="13">
        <f>E15*E16/1000000</f>
        <v>0.24</v>
      </c>
      <c r="F17" s="13">
        <f t="shared" ref="F17:S17" si="28">F15*F16/1000000</f>
        <v>0.48</v>
      </c>
      <c r="G17" s="13">
        <f t="shared" si="28"/>
        <v>0.96</v>
      </c>
      <c r="H17" s="13">
        <f t="shared" si="28"/>
        <v>1.2</v>
      </c>
      <c r="I17" s="13">
        <f t="shared" si="28"/>
        <v>1.44</v>
      </c>
      <c r="J17" s="13">
        <f t="shared" si="28"/>
        <v>1.68</v>
      </c>
      <c r="K17" s="13">
        <f t="shared" si="28"/>
        <v>1.68</v>
      </c>
      <c r="L17" s="13">
        <f t="shared" si="28"/>
        <v>1.68</v>
      </c>
      <c r="M17" s="13">
        <f t="shared" si="28"/>
        <v>1.68</v>
      </c>
      <c r="N17" s="13">
        <f t="shared" si="28"/>
        <v>1.68</v>
      </c>
      <c r="O17" s="13">
        <f t="shared" si="28"/>
        <v>1.68</v>
      </c>
      <c r="P17" s="13">
        <f t="shared" si="28"/>
        <v>1.68</v>
      </c>
      <c r="Q17" s="13">
        <f t="shared" si="28"/>
        <v>1.68</v>
      </c>
      <c r="R17" s="13">
        <f t="shared" si="28"/>
        <v>1.68</v>
      </c>
      <c r="S17" s="13">
        <f t="shared" si="28"/>
        <v>1.68</v>
      </c>
      <c r="T17" s="12">
        <f t="shared" si="26"/>
        <v>1.68</v>
      </c>
      <c r="U17" s="12">
        <f t="shared" si="26"/>
        <v>1.68</v>
      </c>
      <c r="V17" s="12">
        <f t="shared" si="26"/>
        <v>1.68</v>
      </c>
      <c r="W17" s="12">
        <f t="shared" si="26"/>
        <v>1.68</v>
      </c>
      <c r="X17" s="12">
        <f t="shared" si="26"/>
        <v>1.68</v>
      </c>
      <c r="Y17" s="12">
        <f t="shared" si="26"/>
        <v>1.68</v>
      </c>
      <c r="Z17" s="12">
        <f t="shared" si="26"/>
        <v>1.68</v>
      </c>
      <c r="AA17" s="12">
        <f t="shared" si="26"/>
        <v>1.68</v>
      </c>
      <c r="AB17" s="12">
        <f t="shared" si="26"/>
        <v>1.68</v>
      </c>
      <c r="AC17" s="12">
        <f t="shared" si="26"/>
        <v>1.68</v>
      </c>
    </row>
    <row r="18" spans="1:29" hidden="1">
      <c r="A18" s="48"/>
      <c r="B18" s="49" t="s">
        <v>68</v>
      </c>
      <c r="C18" s="13"/>
      <c r="D18" s="13"/>
      <c r="E18" s="13">
        <v>1</v>
      </c>
      <c r="F18" s="13">
        <v>1</v>
      </c>
      <c r="G18" s="13">
        <v>1</v>
      </c>
      <c r="H18" s="13">
        <v>1</v>
      </c>
      <c r="I18" s="13">
        <v>1</v>
      </c>
      <c r="J18" s="13">
        <v>1</v>
      </c>
      <c r="K18" s="13">
        <v>1</v>
      </c>
      <c r="L18" s="13">
        <v>1</v>
      </c>
      <c r="M18" s="13">
        <v>1</v>
      </c>
      <c r="N18" s="13">
        <v>1</v>
      </c>
      <c r="O18" s="13">
        <v>1</v>
      </c>
      <c r="P18" s="13">
        <v>1</v>
      </c>
      <c r="Q18" s="13">
        <v>1</v>
      </c>
      <c r="R18" s="13">
        <v>1</v>
      </c>
      <c r="S18" s="13">
        <v>1</v>
      </c>
      <c r="T18" s="12">
        <f t="shared" si="26"/>
        <v>1</v>
      </c>
      <c r="U18" s="12">
        <f t="shared" si="26"/>
        <v>1</v>
      </c>
      <c r="V18" s="12">
        <f t="shared" si="26"/>
        <v>1</v>
      </c>
      <c r="W18" s="12">
        <f t="shared" si="26"/>
        <v>1</v>
      </c>
      <c r="X18" s="12">
        <f t="shared" si="26"/>
        <v>1</v>
      </c>
      <c r="Y18" s="12">
        <f t="shared" si="26"/>
        <v>1</v>
      </c>
      <c r="Z18" s="12">
        <f t="shared" si="26"/>
        <v>1</v>
      </c>
      <c r="AA18" s="12">
        <f t="shared" si="26"/>
        <v>1</v>
      </c>
      <c r="AB18" s="12">
        <f t="shared" si="26"/>
        <v>1</v>
      </c>
      <c r="AC18" s="12">
        <f t="shared" si="26"/>
        <v>1</v>
      </c>
    </row>
    <row r="19" spans="1:29" ht="13.5" hidden="1">
      <c r="A19" s="48"/>
      <c r="B19" s="51" t="s">
        <v>59</v>
      </c>
      <c r="C19" s="18"/>
      <c r="D19" s="18"/>
      <c r="E19" s="18">
        <f>E17*E18/10</f>
        <v>2.4E-2</v>
      </c>
      <c r="F19" s="18">
        <f t="shared" ref="F19:S19" si="29">F17*F18/10</f>
        <v>4.8000000000000001E-2</v>
      </c>
      <c r="G19" s="18">
        <f t="shared" si="29"/>
        <v>9.6000000000000002E-2</v>
      </c>
      <c r="H19" s="18">
        <f t="shared" si="29"/>
        <v>0.12</v>
      </c>
      <c r="I19" s="18">
        <f t="shared" si="29"/>
        <v>0.14399999999999999</v>
      </c>
      <c r="J19" s="18">
        <f t="shared" si="29"/>
        <v>0.16799999999999998</v>
      </c>
      <c r="K19" s="17">
        <f t="shared" si="29"/>
        <v>0.16799999999999998</v>
      </c>
      <c r="L19" s="17">
        <f t="shared" si="29"/>
        <v>0.16799999999999998</v>
      </c>
      <c r="M19" s="17">
        <f t="shared" si="29"/>
        <v>0.16799999999999998</v>
      </c>
      <c r="N19" s="17">
        <f t="shared" si="29"/>
        <v>0.16799999999999998</v>
      </c>
      <c r="O19" s="17">
        <f t="shared" si="29"/>
        <v>0.16799999999999998</v>
      </c>
      <c r="P19" s="17">
        <f t="shared" si="29"/>
        <v>0.16799999999999998</v>
      </c>
      <c r="Q19" s="17">
        <f t="shared" si="29"/>
        <v>0.16799999999999998</v>
      </c>
      <c r="R19" s="17">
        <f t="shared" si="29"/>
        <v>0.16799999999999998</v>
      </c>
      <c r="S19" s="17">
        <f t="shared" si="29"/>
        <v>0.16799999999999998</v>
      </c>
      <c r="T19" s="12">
        <f t="shared" si="26"/>
        <v>0.16799999999999998</v>
      </c>
      <c r="U19" s="12">
        <f t="shared" si="26"/>
        <v>0.16799999999999998</v>
      </c>
      <c r="V19" s="12">
        <f t="shared" si="26"/>
        <v>0.16799999999999998</v>
      </c>
      <c r="W19" s="12">
        <f t="shared" si="26"/>
        <v>0.16799999999999998</v>
      </c>
      <c r="X19" s="12">
        <f t="shared" si="26"/>
        <v>0.16799999999999998</v>
      </c>
      <c r="Y19" s="12">
        <f t="shared" si="26"/>
        <v>0.16799999999999998</v>
      </c>
      <c r="Z19" s="12">
        <f t="shared" si="26"/>
        <v>0.16799999999999998</v>
      </c>
      <c r="AA19" s="12">
        <f t="shared" si="26"/>
        <v>0.16799999999999998</v>
      </c>
      <c r="AB19" s="12">
        <f t="shared" si="26"/>
        <v>0.16799999999999998</v>
      </c>
      <c r="AC19" s="12">
        <f t="shared" si="26"/>
        <v>0.16799999999999998</v>
      </c>
    </row>
    <row r="20" spans="1:29" ht="13.5" hidden="1">
      <c r="A20" s="48"/>
      <c r="B20" s="51" t="s">
        <v>91</v>
      </c>
      <c r="C20" s="18"/>
      <c r="D20" s="18"/>
      <c r="E20" s="18">
        <f t="shared" ref="E20:S20" si="30">E19*1000</f>
        <v>24</v>
      </c>
      <c r="F20" s="18">
        <f t="shared" si="30"/>
        <v>48</v>
      </c>
      <c r="G20" s="18">
        <f t="shared" si="30"/>
        <v>96</v>
      </c>
      <c r="H20" s="18">
        <f t="shared" si="30"/>
        <v>120</v>
      </c>
      <c r="I20" s="18">
        <f t="shared" si="30"/>
        <v>144</v>
      </c>
      <c r="J20" s="18">
        <f t="shared" si="30"/>
        <v>167.99999999999997</v>
      </c>
      <c r="K20" s="18">
        <f t="shared" si="30"/>
        <v>167.99999999999997</v>
      </c>
      <c r="L20" s="18">
        <f t="shared" si="30"/>
        <v>167.99999999999997</v>
      </c>
      <c r="M20" s="18">
        <f t="shared" si="30"/>
        <v>167.99999999999997</v>
      </c>
      <c r="N20" s="18">
        <f t="shared" si="30"/>
        <v>167.99999999999997</v>
      </c>
      <c r="O20" s="18">
        <f t="shared" si="30"/>
        <v>167.99999999999997</v>
      </c>
      <c r="P20" s="18">
        <f t="shared" si="30"/>
        <v>167.99999999999997</v>
      </c>
      <c r="Q20" s="18">
        <f t="shared" si="30"/>
        <v>167.99999999999997</v>
      </c>
      <c r="R20" s="18">
        <f t="shared" si="30"/>
        <v>167.99999999999997</v>
      </c>
      <c r="S20" s="18">
        <f t="shared" si="30"/>
        <v>167.99999999999997</v>
      </c>
      <c r="T20" s="12">
        <f t="shared" si="26"/>
        <v>167.99999999999997</v>
      </c>
      <c r="U20" s="12">
        <f t="shared" si="26"/>
        <v>167.99999999999997</v>
      </c>
      <c r="V20" s="12">
        <f t="shared" si="26"/>
        <v>167.99999999999997</v>
      </c>
      <c r="W20" s="12">
        <f t="shared" si="26"/>
        <v>167.99999999999997</v>
      </c>
      <c r="X20" s="12">
        <f t="shared" si="26"/>
        <v>167.99999999999997</v>
      </c>
      <c r="Y20" s="12">
        <f t="shared" si="26"/>
        <v>167.99999999999997</v>
      </c>
      <c r="Z20" s="12">
        <f t="shared" si="26"/>
        <v>167.99999999999997</v>
      </c>
      <c r="AA20" s="12">
        <f t="shared" si="26"/>
        <v>167.99999999999997</v>
      </c>
      <c r="AB20" s="12">
        <f t="shared" si="26"/>
        <v>167.99999999999997</v>
      </c>
      <c r="AC20" s="12">
        <f t="shared" si="26"/>
        <v>167.99999999999997</v>
      </c>
    </row>
    <row r="21" spans="1:29" ht="13.5" hidden="1">
      <c r="A21" s="48"/>
      <c r="B21" s="51"/>
      <c r="C21" s="18"/>
      <c r="D21" s="18"/>
      <c r="E21" s="18"/>
      <c r="F21" s="18"/>
      <c r="G21" s="18"/>
      <c r="H21" s="18"/>
      <c r="I21" s="18"/>
      <c r="J21" s="18"/>
      <c r="K21" s="18"/>
      <c r="L21" s="18"/>
      <c r="M21" s="18"/>
      <c r="N21" s="18"/>
      <c r="O21" s="18"/>
      <c r="P21" s="18"/>
      <c r="Q21" s="18"/>
      <c r="R21" s="18"/>
      <c r="S21" s="18"/>
    </row>
    <row r="22" spans="1:29" hidden="1">
      <c r="A22" s="48" t="s">
        <v>147</v>
      </c>
      <c r="B22" s="47" t="s">
        <v>213</v>
      </c>
      <c r="C22" s="124"/>
      <c r="D22" s="124"/>
      <c r="E22" s="125">
        <v>0</v>
      </c>
      <c r="F22" s="125">
        <v>1</v>
      </c>
      <c r="G22" s="125">
        <v>1</v>
      </c>
      <c r="H22" s="125">
        <v>2</v>
      </c>
      <c r="I22" s="125">
        <v>2</v>
      </c>
      <c r="J22" s="125">
        <v>2</v>
      </c>
      <c r="K22" s="125">
        <f>J22</f>
        <v>2</v>
      </c>
      <c r="L22" s="125">
        <f t="shared" ref="L22:AC22" si="31">K22</f>
        <v>2</v>
      </c>
      <c r="M22" s="125">
        <f t="shared" si="31"/>
        <v>2</v>
      </c>
      <c r="N22" s="125">
        <f t="shared" si="31"/>
        <v>2</v>
      </c>
      <c r="O22" s="125">
        <f t="shared" si="31"/>
        <v>2</v>
      </c>
      <c r="P22" s="125">
        <f t="shared" si="31"/>
        <v>2</v>
      </c>
      <c r="Q22" s="125">
        <f t="shared" si="31"/>
        <v>2</v>
      </c>
      <c r="R22" s="125">
        <f t="shared" si="31"/>
        <v>2</v>
      </c>
      <c r="S22" s="125">
        <f t="shared" si="31"/>
        <v>2</v>
      </c>
      <c r="T22" s="125">
        <f t="shared" si="31"/>
        <v>2</v>
      </c>
      <c r="U22" s="125">
        <f t="shared" si="31"/>
        <v>2</v>
      </c>
      <c r="V22" s="125">
        <f t="shared" si="31"/>
        <v>2</v>
      </c>
      <c r="W22" s="125">
        <f t="shared" si="31"/>
        <v>2</v>
      </c>
      <c r="X22" s="125">
        <f t="shared" si="31"/>
        <v>2</v>
      </c>
      <c r="Y22" s="125">
        <f t="shared" si="31"/>
        <v>2</v>
      </c>
      <c r="Z22" s="125">
        <f t="shared" si="31"/>
        <v>2</v>
      </c>
      <c r="AA22" s="125">
        <f t="shared" si="31"/>
        <v>2</v>
      </c>
      <c r="AB22" s="125">
        <f t="shared" si="31"/>
        <v>2</v>
      </c>
      <c r="AC22" s="125">
        <f t="shared" si="31"/>
        <v>2</v>
      </c>
    </row>
    <row r="23" spans="1:29" ht="13.5" hidden="1">
      <c r="A23" s="48"/>
      <c r="B23" s="49" t="s">
        <v>214</v>
      </c>
      <c r="C23" s="18"/>
      <c r="D23" s="18"/>
      <c r="E23" s="125">
        <v>40</v>
      </c>
      <c r="F23" s="125">
        <v>40</v>
      </c>
      <c r="G23" s="125">
        <v>40</v>
      </c>
      <c r="H23" s="125">
        <v>40</v>
      </c>
      <c r="I23" s="125">
        <v>40</v>
      </c>
      <c r="J23" s="125">
        <v>40</v>
      </c>
      <c r="K23" s="125">
        <v>40</v>
      </c>
      <c r="L23" s="125">
        <v>40</v>
      </c>
      <c r="M23" s="125">
        <v>40</v>
      </c>
      <c r="N23" s="125">
        <v>40</v>
      </c>
      <c r="O23" s="125">
        <v>40</v>
      </c>
      <c r="P23" s="125">
        <v>40</v>
      </c>
      <c r="Q23" s="125">
        <v>40</v>
      </c>
      <c r="R23" s="125">
        <v>40</v>
      </c>
      <c r="S23" s="125">
        <v>40</v>
      </c>
      <c r="T23" s="125">
        <v>40</v>
      </c>
      <c r="U23" s="125">
        <v>40</v>
      </c>
      <c r="V23" s="125">
        <v>40</v>
      </c>
      <c r="W23" s="125">
        <v>40</v>
      </c>
      <c r="X23" s="125">
        <v>40</v>
      </c>
      <c r="Y23" s="125">
        <v>40</v>
      </c>
      <c r="Z23" s="125">
        <v>40</v>
      </c>
      <c r="AA23" s="125">
        <v>40</v>
      </c>
      <c r="AB23" s="125">
        <v>40</v>
      </c>
      <c r="AC23" s="125">
        <v>40</v>
      </c>
    </row>
    <row r="24" spans="1:29" hidden="1">
      <c r="A24" s="48"/>
      <c r="B24" s="49" t="s">
        <v>215</v>
      </c>
      <c r="C24" s="14"/>
      <c r="D24" s="14"/>
      <c r="E24" s="12">
        <f>E22*E23*300</f>
        <v>0</v>
      </c>
      <c r="F24" s="12">
        <f t="shared" ref="F24:AC24" si="32">F22*F23*300</f>
        <v>12000</v>
      </c>
      <c r="G24" s="12">
        <f t="shared" si="32"/>
        <v>12000</v>
      </c>
      <c r="H24" s="12">
        <f t="shared" si="32"/>
        <v>24000</v>
      </c>
      <c r="I24" s="12">
        <f t="shared" si="32"/>
        <v>24000</v>
      </c>
      <c r="J24" s="12">
        <f t="shared" si="32"/>
        <v>24000</v>
      </c>
      <c r="K24" s="12">
        <f t="shared" si="32"/>
        <v>24000</v>
      </c>
      <c r="L24" s="12">
        <f t="shared" si="32"/>
        <v>24000</v>
      </c>
      <c r="M24" s="12">
        <f t="shared" si="32"/>
        <v>24000</v>
      </c>
      <c r="N24" s="12">
        <f t="shared" si="32"/>
        <v>24000</v>
      </c>
      <c r="O24" s="12">
        <f t="shared" si="32"/>
        <v>24000</v>
      </c>
      <c r="P24" s="12">
        <f t="shared" si="32"/>
        <v>24000</v>
      </c>
      <c r="Q24" s="12">
        <f t="shared" si="32"/>
        <v>24000</v>
      </c>
      <c r="R24" s="12">
        <f t="shared" si="32"/>
        <v>24000</v>
      </c>
      <c r="S24" s="12">
        <f t="shared" si="32"/>
        <v>24000</v>
      </c>
      <c r="T24" s="12">
        <f t="shared" si="32"/>
        <v>24000</v>
      </c>
      <c r="U24" s="12">
        <f t="shared" si="32"/>
        <v>24000</v>
      </c>
      <c r="V24" s="12">
        <f t="shared" si="32"/>
        <v>24000</v>
      </c>
      <c r="W24" s="12">
        <f t="shared" si="32"/>
        <v>24000</v>
      </c>
      <c r="X24" s="12">
        <f t="shared" si="32"/>
        <v>24000</v>
      </c>
      <c r="Y24" s="12">
        <f t="shared" si="32"/>
        <v>24000</v>
      </c>
      <c r="Z24" s="12">
        <f t="shared" si="32"/>
        <v>24000</v>
      </c>
      <c r="AA24" s="12">
        <f t="shared" si="32"/>
        <v>24000</v>
      </c>
      <c r="AB24" s="12">
        <f t="shared" si="32"/>
        <v>24000</v>
      </c>
      <c r="AC24" s="12">
        <f t="shared" si="32"/>
        <v>24000</v>
      </c>
    </row>
    <row r="25" spans="1:29" hidden="1">
      <c r="A25" s="48" t="s">
        <v>147</v>
      </c>
      <c r="B25" s="106" t="s">
        <v>69</v>
      </c>
    </row>
    <row r="26" spans="1:29" ht="25.5" hidden="1">
      <c r="A26" s="48"/>
      <c r="B26" s="53" t="s">
        <v>70</v>
      </c>
      <c r="C26" s="107"/>
      <c r="D26" s="107"/>
      <c r="E26" s="12">
        <v>400</v>
      </c>
      <c r="F26" s="12">
        <v>800</v>
      </c>
      <c r="G26" s="12">
        <v>1200</v>
      </c>
      <c r="H26" s="12">
        <v>1600</v>
      </c>
      <c r="I26" s="12">
        <v>2000</v>
      </c>
      <c r="J26" s="12">
        <v>2800</v>
      </c>
      <c r="K26" s="12">
        <f>J26</f>
        <v>2800</v>
      </c>
      <c r="L26" s="12">
        <f t="shared" ref="L26:S26" si="33">K26</f>
        <v>2800</v>
      </c>
      <c r="M26" s="12">
        <f t="shared" si="33"/>
        <v>2800</v>
      </c>
      <c r="N26" s="12">
        <f t="shared" si="33"/>
        <v>2800</v>
      </c>
      <c r="O26" s="12">
        <f t="shared" si="33"/>
        <v>2800</v>
      </c>
      <c r="P26" s="12">
        <f t="shared" si="33"/>
        <v>2800</v>
      </c>
      <c r="Q26" s="12">
        <f t="shared" si="33"/>
        <v>2800</v>
      </c>
      <c r="R26" s="12">
        <f t="shared" si="33"/>
        <v>2800</v>
      </c>
      <c r="S26" s="12">
        <f t="shared" si="33"/>
        <v>2800</v>
      </c>
      <c r="T26" s="12">
        <f>S26</f>
        <v>2800</v>
      </c>
      <c r="U26" s="12">
        <f t="shared" ref="U26:AC26" si="34">T26</f>
        <v>2800</v>
      </c>
      <c r="V26" s="12">
        <f t="shared" si="34"/>
        <v>2800</v>
      </c>
      <c r="W26" s="12">
        <f t="shared" si="34"/>
        <v>2800</v>
      </c>
      <c r="X26" s="12">
        <f t="shared" si="34"/>
        <v>2800</v>
      </c>
      <c r="Y26" s="12">
        <f t="shared" si="34"/>
        <v>2800</v>
      </c>
      <c r="Z26" s="12">
        <f t="shared" si="34"/>
        <v>2800</v>
      </c>
      <c r="AA26" s="12">
        <f t="shared" si="34"/>
        <v>2800</v>
      </c>
      <c r="AB26" s="12">
        <f t="shared" si="34"/>
        <v>2800</v>
      </c>
      <c r="AC26" s="12">
        <f t="shared" si="34"/>
        <v>2800</v>
      </c>
    </row>
    <row r="27" spans="1:29" hidden="1">
      <c r="A27" s="48"/>
      <c r="B27" s="54" t="s">
        <v>71</v>
      </c>
      <c r="E27" s="12">
        <f t="shared" ref="E27:J27" si="35">E26*5</f>
        <v>2000</v>
      </c>
      <c r="F27" s="12">
        <f t="shared" si="35"/>
        <v>4000</v>
      </c>
      <c r="G27" s="12">
        <f t="shared" si="35"/>
        <v>6000</v>
      </c>
      <c r="H27" s="12">
        <f t="shared" si="35"/>
        <v>8000</v>
      </c>
      <c r="I27" s="12">
        <f t="shared" si="35"/>
        <v>10000</v>
      </c>
      <c r="J27" s="12">
        <f t="shared" si="35"/>
        <v>14000</v>
      </c>
      <c r="K27" s="12">
        <f>J27</f>
        <v>14000</v>
      </c>
      <c r="L27" s="12">
        <f t="shared" ref="L27:AC39" si="36">K27</f>
        <v>14000</v>
      </c>
      <c r="M27" s="12">
        <f t="shared" si="36"/>
        <v>14000</v>
      </c>
      <c r="N27" s="12">
        <f t="shared" si="36"/>
        <v>14000</v>
      </c>
      <c r="O27" s="12">
        <f t="shared" si="36"/>
        <v>14000</v>
      </c>
      <c r="P27" s="12">
        <f t="shared" si="36"/>
        <v>14000</v>
      </c>
      <c r="Q27" s="12">
        <f t="shared" si="36"/>
        <v>14000</v>
      </c>
      <c r="R27" s="12">
        <f t="shared" si="36"/>
        <v>14000</v>
      </c>
      <c r="S27" s="12">
        <f t="shared" si="36"/>
        <v>14000</v>
      </c>
      <c r="T27" s="12">
        <f t="shared" si="36"/>
        <v>14000</v>
      </c>
      <c r="U27" s="12">
        <f t="shared" si="36"/>
        <v>14000</v>
      </c>
      <c r="V27" s="12">
        <f t="shared" si="36"/>
        <v>14000</v>
      </c>
      <c r="W27" s="12">
        <f t="shared" si="36"/>
        <v>14000</v>
      </c>
      <c r="X27" s="12">
        <f t="shared" si="36"/>
        <v>14000</v>
      </c>
      <c r="Y27" s="12">
        <f t="shared" si="36"/>
        <v>14000</v>
      </c>
      <c r="Z27" s="12">
        <f t="shared" si="36"/>
        <v>14000</v>
      </c>
      <c r="AA27" s="12">
        <f t="shared" si="36"/>
        <v>14000</v>
      </c>
      <c r="AB27" s="12">
        <f t="shared" si="36"/>
        <v>14000</v>
      </c>
      <c r="AC27" s="12">
        <f t="shared" si="36"/>
        <v>14000</v>
      </c>
    </row>
    <row r="28" spans="1:29" hidden="1">
      <c r="A28" s="48"/>
      <c r="B28" s="49" t="s">
        <v>67</v>
      </c>
      <c r="E28" s="13">
        <f t="shared" ref="E28:J28" si="37">E27/1000000</f>
        <v>2E-3</v>
      </c>
      <c r="F28" s="13">
        <f t="shared" si="37"/>
        <v>4.0000000000000001E-3</v>
      </c>
      <c r="G28" s="13">
        <f t="shared" si="37"/>
        <v>6.0000000000000001E-3</v>
      </c>
      <c r="H28" s="13">
        <f t="shared" si="37"/>
        <v>8.0000000000000002E-3</v>
      </c>
      <c r="I28" s="13">
        <f t="shared" si="37"/>
        <v>0.01</v>
      </c>
      <c r="J28" s="13">
        <f t="shared" si="37"/>
        <v>1.4E-2</v>
      </c>
      <c r="K28" s="12">
        <f>J28</f>
        <v>1.4E-2</v>
      </c>
      <c r="L28" s="12">
        <f t="shared" ref="L28:S28" si="38">K28</f>
        <v>1.4E-2</v>
      </c>
      <c r="M28" s="12">
        <f t="shared" si="38"/>
        <v>1.4E-2</v>
      </c>
      <c r="N28" s="12">
        <f t="shared" si="38"/>
        <v>1.4E-2</v>
      </c>
      <c r="O28" s="12">
        <f t="shared" si="38"/>
        <v>1.4E-2</v>
      </c>
      <c r="P28" s="12">
        <f t="shared" si="38"/>
        <v>1.4E-2</v>
      </c>
      <c r="Q28" s="12">
        <f t="shared" si="38"/>
        <v>1.4E-2</v>
      </c>
      <c r="R28" s="12">
        <f t="shared" si="38"/>
        <v>1.4E-2</v>
      </c>
      <c r="S28" s="12">
        <f t="shared" si="38"/>
        <v>1.4E-2</v>
      </c>
      <c r="T28" s="12">
        <f t="shared" si="36"/>
        <v>1.4E-2</v>
      </c>
      <c r="U28" s="12">
        <f t="shared" si="36"/>
        <v>1.4E-2</v>
      </c>
      <c r="V28" s="12">
        <f t="shared" si="36"/>
        <v>1.4E-2</v>
      </c>
      <c r="W28" s="12">
        <f t="shared" si="36"/>
        <v>1.4E-2</v>
      </c>
      <c r="X28" s="12">
        <f t="shared" si="36"/>
        <v>1.4E-2</v>
      </c>
      <c r="Y28" s="12">
        <f t="shared" si="36"/>
        <v>1.4E-2</v>
      </c>
      <c r="Z28" s="12">
        <f t="shared" si="36"/>
        <v>1.4E-2</v>
      </c>
      <c r="AA28" s="12">
        <f t="shared" si="36"/>
        <v>1.4E-2</v>
      </c>
      <c r="AB28" s="12">
        <f t="shared" si="36"/>
        <v>1.4E-2</v>
      </c>
      <c r="AC28" s="12">
        <f t="shared" si="36"/>
        <v>1.4E-2</v>
      </c>
    </row>
    <row r="29" spans="1:29" hidden="1">
      <c r="A29" s="48"/>
      <c r="B29" s="49" t="s">
        <v>68</v>
      </c>
      <c r="E29" s="13">
        <v>1</v>
      </c>
      <c r="F29" s="13">
        <v>1</v>
      </c>
      <c r="G29" s="13">
        <v>1</v>
      </c>
      <c r="H29" s="13">
        <v>1</v>
      </c>
      <c r="I29" s="13">
        <v>1</v>
      </c>
      <c r="J29" s="13">
        <v>1</v>
      </c>
      <c r="K29" s="12">
        <f>J29</f>
        <v>1</v>
      </c>
      <c r="L29" s="12">
        <f t="shared" ref="L29:S30" si="39">K29</f>
        <v>1</v>
      </c>
      <c r="M29" s="12">
        <f t="shared" si="39"/>
        <v>1</v>
      </c>
      <c r="N29" s="12">
        <f t="shared" si="39"/>
        <v>1</v>
      </c>
      <c r="O29" s="12">
        <f t="shared" si="39"/>
        <v>1</v>
      </c>
      <c r="P29" s="12">
        <f t="shared" si="39"/>
        <v>1</v>
      </c>
      <c r="Q29" s="12">
        <f t="shared" si="39"/>
        <v>1</v>
      </c>
      <c r="R29" s="12">
        <f t="shared" si="39"/>
        <v>1</v>
      </c>
      <c r="S29" s="12">
        <f t="shared" si="39"/>
        <v>1</v>
      </c>
      <c r="T29" s="12">
        <f t="shared" si="36"/>
        <v>1</v>
      </c>
      <c r="U29" s="12">
        <f t="shared" si="36"/>
        <v>1</v>
      </c>
      <c r="V29" s="12">
        <f t="shared" si="36"/>
        <v>1</v>
      </c>
      <c r="W29" s="12">
        <f t="shared" si="36"/>
        <v>1</v>
      </c>
      <c r="X29" s="12">
        <f t="shared" si="36"/>
        <v>1</v>
      </c>
      <c r="Y29" s="12">
        <f t="shared" si="36"/>
        <v>1</v>
      </c>
      <c r="Z29" s="12">
        <f t="shared" si="36"/>
        <v>1</v>
      </c>
      <c r="AA29" s="12">
        <f t="shared" si="36"/>
        <v>1</v>
      </c>
      <c r="AB29" s="12">
        <f t="shared" si="36"/>
        <v>1</v>
      </c>
      <c r="AC29" s="12">
        <f t="shared" si="36"/>
        <v>1</v>
      </c>
    </row>
    <row r="30" spans="1:29" ht="13.5" hidden="1">
      <c r="A30" s="48"/>
      <c r="B30" s="51" t="s">
        <v>59</v>
      </c>
      <c r="E30" s="20">
        <f t="shared" ref="E30:J30" si="40">E28*E29/10</f>
        <v>2.0000000000000001E-4</v>
      </c>
      <c r="F30" s="20">
        <f t="shared" si="40"/>
        <v>4.0000000000000002E-4</v>
      </c>
      <c r="G30" s="20">
        <f t="shared" si="40"/>
        <v>6.0000000000000006E-4</v>
      </c>
      <c r="H30" s="20">
        <f t="shared" si="40"/>
        <v>8.0000000000000004E-4</v>
      </c>
      <c r="I30" s="20">
        <f t="shared" si="40"/>
        <v>1E-3</v>
      </c>
      <c r="J30" s="20">
        <f t="shared" si="40"/>
        <v>1.4E-3</v>
      </c>
      <c r="K30" s="59">
        <f>J30</f>
        <v>1.4E-3</v>
      </c>
      <c r="L30" s="11">
        <f t="shared" si="39"/>
        <v>1.4E-3</v>
      </c>
      <c r="M30" s="11">
        <f t="shared" si="39"/>
        <v>1.4E-3</v>
      </c>
      <c r="N30" s="11">
        <f t="shared" si="39"/>
        <v>1.4E-3</v>
      </c>
      <c r="O30" s="11">
        <f t="shared" si="39"/>
        <v>1.4E-3</v>
      </c>
      <c r="P30" s="11">
        <f t="shared" si="39"/>
        <v>1.4E-3</v>
      </c>
      <c r="Q30" s="11">
        <f t="shared" si="39"/>
        <v>1.4E-3</v>
      </c>
      <c r="R30" s="11">
        <f t="shared" si="39"/>
        <v>1.4E-3</v>
      </c>
      <c r="S30" s="11">
        <f t="shared" si="39"/>
        <v>1.4E-3</v>
      </c>
      <c r="T30" s="11">
        <f t="shared" si="36"/>
        <v>1.4E-3</v>
      </c>
      <c r="U30" s="11">
        <f t="shared" si="36"/>
        <v>1.4E-3</v>
      </c>
      <c r="V30" s="11">
        <f t="shared" si="36"/>
        <v>1.4E-3</v>
      </c>
      <c r="W30" s="11">
        <f t="shared" si="36"/>
        <v>1.4E-3</v>
      </c>
      <c r="X30" s="11">
        <f t="shared" si="36"/>
        <v>1.4E-3</v>
      </c>
      <c r="Y30" s="11">
        <f t="shared" si="36"/>
        <v>1.4E-3</v>
      </c>
      <c r="Z30" s="11">
        <f t="shared" si="36"/>
        <v>1.4E-3</v>
      </c>
      <c r="AA30" s="11">
        <f t="shared" si="36"/>
        <v>1.4E-3</v>
      </c>
      <c r="AB30" s="11">
        <f t="shared" si="36"/>
        <v>1.4E-3</v>
      </c>
      <c r="AC30" s="11">
        <f t="shared" si="36"/>
        <v>1.4E-3</v>
      </c>
    </row>
    <row r="31" spans="1:29" ht="13.5" hidden="1">
      <c r="A31" s="48"/>
      <c r="B31" s="51" t="s">
        <v>91</v>
      </c>
      <c r="E31" s="20">
        <f>E30*1000</f>
        <v>0.2</v>
      </c>
      <c r="F31" s="20">
        <f t="shared" ref="F31:S31" si="41">F30*1000</f>
        <v>0.4</v>
      </c>
      <c r="G31" s="20">
        <f t="shared" si="41"/>
        <v>0.60000000000000009</v>
      </c>
      <c r="H31" s="20">
        <f t="shared" si="41"/>
        <v>0.8</v>
      </c>
      <c r="I31" s="20">
        <f t="shared" si="41"/>
        <v>1</v>
      </c>
      <c r="J31" s="20">
        <f t="shared" si="41"/>
        <v>1.4</v>
      </c>
      <c r="K31" s="20">
        <f t="shared" si="41"/>
        <v>1.4</v>
      </c>
      <c r="L31" s="20">
        <f t="shared" si="41"/>
        <v>1.4</v>
      </c>
      <c r="M31" s="20">
        <f t="shared" si="41"/>
        <v>1.4</v>
      </c>
      <c r="N31" s="20">
        <f t="shared" si="41"/>
        <v>1.4</v>
      </c>
      <c r="O31" s="20">
        <f t="shared" si="41"/>
        <v>1.4</v>
      </c>
      <c r="P31" s="20">
        <f t="shared" si="41"/>
        <v>1.4</v>
      </c>
      <c r="Q31" s="20">
        <f t="shared" si="41"/>
        <v>1.4</v>
      </c>
      <c r="R31" s="20">
        <f t="shared" si="41"/>
        <v>1.4</v>
      </c>
      <c r="S31" s="20">
        <f t="shared" si="41"/>
        <v>1.4</v>
      </c>
      <c r="T31" s="11">
        <f t="shared" si="36"/>
        <v>1.4</v>
      </c>
      <c r="U31" s="11">
        <f t="shared" si="36"/>
        <v>1.4</v>
      </c>
      <c r="V31" s="11">
        <f t="shared" si="36"/>
        <v>1.4</v>
      </c>
      <c r="W31" s="11">
        <f t="shared" si="36"/>
        <v>1.4</v>
      </c>
      <c r="X31" s="11">
        <f t="shared" si="36"/>
        <v>1.4</v>
      </c>
      <c r="Y31" s="11">
        <f t="shared" si="36"/>
        <v>1.4</v>
      </c>
      <c r="Z31" s="11">
        <f t="shared" si="36"/>
        <v>1.4</v>
      </c>
      <c r="AA31" s="11">
        <f t="shared" si="36"/>
        <v>1.4</v>
      </c>
      <c r="AB31" s="11">
        <f t="shared" si="36"/>
        <v>1.4</v>
      </c>
      <c r="AC31" s="11">
        <f t="shared" si="36"/>
        <v>1.4</v>
      </c>
    </row>
    <row r="32" spans="1:29" hidden="1">
      <c r="A32" s="48" t="s">
        <v>148</v>
      </c>
      <c r="B32" s="106" t="s">
        <v>72</v>
      </c>
      <c r="E32" s="12">
        <v>20000</v>
      </c>
      <c r="F32" s="12">
        <v>40000</v>
      </c>
      <c r="G32" s="12">
        <v>60000</v>
      </c>
      <c r="H32" s="12">
        <v>80000</v>
      </c>
      <c r="I32" s="12">
        <v>100000</v>
      </c>
      <c r="J32" s="12">
        <v>140000</v>
      </c>
      <c r="K32" s="12">
        <f>J32</f>
        <v>140000</v>
      </c>
      <c r="L32" s="12">
        <f t="shared" ref="L32:S36" si="42">K32</f>
        <v>140000</v>
      </c>
      <c r="M32" s="12">
        <f t="shared" si="42"/>
        <v>140000</v>
      </c>
      <c r="N32" s="12">
        <f t="shared" si="42"/>
        <v>140000</v>
      </c>
      <c r="O32" s="12">
        <f t="shared" si="42"/>
        <v>140000</v>
      </c>
      <c r="P32" s="12">
        <f t="shared" si="42"/>
        <v>140000</v>
      </c>
      <c r="Q32" s="12">
        <f t="shared" si="42"/>
        <v>140000</v>
      </c>
      <c r="R32" s="12">
        <f t="shared" si="42"/>
        <v>140000</v>
      </c>
      <c r="S32" s="12">
        <f t="shared" si="42"/>
        <v>140000</v>
      </c>
      <c r="T32" s="12">
        <f t="shared" si="36"/>
        <v>140000</v>
      </c>
      <c r="U32" s="12">
        <f t="shared" si="36"/>
        <v>140000</v>
      </c>
      <c r="V32" s="12">
        <f t="shared" si="36"/>
        <v>140000</v>
      </c>
      <c r="W32" s="12">
        <f t="shared" si="36"/>
        <v>140000</v>
      </c>
      <c r="X32" s="12">
        <f t="shared" si="36"/>
        <v>140000</v>
      </c>
      <c r="Y32" s="12">
        <f t="shared" si="36"/>
        <v>140000</v>
      </c>
      <c r="Z32" s="12">
        <f t="shared" si="36"/>
        <v>140000</v>
      </c>
      <c r="AA32" s="12">
        <f t="shared" si="36"/>
        <v>140000</v>
      </c>
      <c r="AB32" s="12">
        <f t="shared" si="36"/>
        <v>140000</v>
      </c>
      <c r="AC32" s="12">
        <f t="shared" si="36"/>
        <v>140000</v>
      </c>
    </row>
    <row r="33" spans="1:29" hidden="1">
      <c r="A33" s="48"/>
      <c r="B33" s="55" t="s">
        <v>73</v>
      </c>
      <c r="E33" s="12">
        <f t="shared" ref="E33:J33" si="43">E32/4</f>
        <v>5000</v>
      </c>
      <c r="F33" s="12">
        <f t="shared" si="43"/>
        <v>10000</v>
      </c>
      <c r="G33" s="12">
        <f t="shared" si="43"/>
        <v>15000</v>
      </c>
      <c r="H33" s="12">
        <f t="shared" si="43"/>
        <v>20000</v>
      </c>
      <c r="I33" s="12">
        <f t="shared" si="43"/>
        <v>25000</v>
      </c>
      <c r="J33" s="12">
        <f t="shared" si="43"/>
        <v>35000</v>
      </c>
      <c r="K33" s="12">
        <f>J33</f>
        <v>35000</v>
      </c>
      <c r="L33" s="12">
        <f t="shared" si="42"/>
        <v>35000</v>
      </c>
      <c r="M33" s="12">
        <f t="shared" si="42"/>
        <v>35000</v>
      </c>
      <c r="N33" s="12">
        <f t="shared" si="42"/>
        <v>35000</v>
      </c>
      <c r="O33" s="12">
        <f t="shared" si="42"/>
        <v>35000</v>
      </c>
      <c r="P33" s="12">
        <f t="shared" si="42"/>
        <v>35000</v>
      </c>
      <c r="Q33" s="12">
        <f t="shared" si="42"/>
        <v>35000</v>
      </c>
      <c r="R33" s="12">
        <f t="shared" si="42"/>
        <v>35000</v>
      </c>
      <c r="S33" s="12">
        <f t="shared" si="42"/>
        <v>35000</v>
      </c>
      <c r="T33" s="12">
        <f t="shared" si="36"/>
        <v>35000</v>
      </c>
      <c r="U33" s="12">
        <f t="shared" si="36"/>
        <v>35000</v>
      </c>
      <c r="V33" s="12">
        <f t="shared" si="36"/>
        <v>35000</v>
      </c>
      <c r="W33" s="12">
        <f t="shared" si="36"/>
        <v>35000</v>
      </c>
      <c r="X33" s="12">
        <f t="shared" si="36"/>
        <v>35000</v>
      </c>
      <c r="Y33" s="12">
        <f t="shared" si="36"/>
        <v>35000</v>
      </c>
      <c r="Z33" s="12">
        <f t="shared" si="36"/>
        <v>35000</v>
      </c>
      <c r="AA33" s="12">
        <f t="shared" si="36"/>
        <v>35000</v>
      </c>
      <c r="AB33" s="12">
        <f t="shared" si="36"/>
        <v>35000</v>
      </c>
      <c r="AC33" s="12">
        <f t="shared" si="36"/>
        <v>35000</v>
      </c>
    </row>
    <row r="34" spans="1:29" hidden="1">
      <c r="A34" s="48"/>
      <c r="B34" s="55" t="s">
        <v>73</v>
      </c>
      <c r="E34" s="12">
        <f t="shared" ref="E34:J34" si="44">E32/10</f>
        <v>2000</v>
      </c>
      <c r="F34" s="12">
        <f t="shared" si="44"/>
        <v>4000</v>
      </c>
      <c r="G34" s="12">
        <f t="shared" si="44"/>
        <v>6000</v>
      </c>
      <c r="H34" s="12">
        <f t="shared" si="44"/>
        <v>8000</v>
      </c>
      <c r="I34" s="12">
        <f t="shared" si="44"/>
        <v>10000</v>
      </c>
      <c r="J34" s="12">
        <f t="shared" si="44"/>
        <v>14000</v>
      </c>
      <c r="K34" s="12">
        <f>J34</f>
        <v>14000</v>
      </c>
      <c r="L34" s="12">
        <f t="shared" si="42"/>
        <v>14000</v>
      </c>
      <c r="M34" s="12">
        <f t="shared" si="42"/>
        <v>14000</v>
      </c>
      <c r="N34" s="12">
        <f t="shared" si="42"/>
        <v>14000</v>
      </c>
      <c r="O34" s="12">
        <f t="shared" si="42"/>
        <v>14000</v>
      </c>
      <c r="P34" s="12">
        <f t="shared" si="42"/>
        <v>14000</v>
      </c>
      <c r="Q34" s="12">
        <f t="shared" si="42"/>
        <v>14000</v>
      </c>
      <c r="R34" s="12">
        <f t="shared" si="42"/>
        <v>14000</v>
      </c>
      <c r="S34" s="12">
        <f t="shared" si="42"/>
        <v>14000</v>
      </c>
      <c r="T34" s="12">
        <f t="shared" si="36"/>
        <v>14000</v>
      </c>
      <c r="U34" s="12">
        <f t="shared" si="36"/>
        <v>14000</v>
      </c>
      <c r="V34" s="12">
        <f t="shared" si="36"/>
        <v>14000</v>
      </c>
      <c r="W34" s="12">
        <f t="shared" si="36"/>
        <v>14000</v>
      </c>
      <c r="X34" s="12">
        <f t="shared" si="36"/>
        <v>14000</v>
      </c>
      <c r="Y34" s="12">
        <f t="shared" si="36"/>
        <v>14000</v>
      </c>
      <c r="Z34" s="12">
        <f t="shared" si="36"/>
        <v>14000</v>
      </c>
      <c r="AA34" s="12">
        <f t="shared" si="36"/>
        <v>14000</v>
      </c>
      <c r="AB34" s="12">
        <f t="shared" si="36"/>
        <v>14000</v>
      </c>
      <c r="AC34" s="12">
        <f t="shared" si="36"/>
        <v>14000</v>
      </c>
    </row>
    <row r="35" spans="1:29" hidden="1">
      <c r="A35" s="48"/>
      <c r="B35" s="49" t="s">
        <v>66</v>
      </c>
      <c r="C35" s="13"/>
      <c r="D35" s="13"/>
      <c r="E35" s="13">
        <v>40</v>
      </c>
      <c r="F35" s="13">
        <v>40</v>
      </c>
      <c r="G35" s="13">
        <v>40</v>
      </c>
      <c r="H35" s="13">
        <v>40</v>
      </c>
      <c r="I35" s="13">
        <v>40</v>
      </c>
      <c r="J35" s="13">
        <v>40</v>
      </c>
      <c r="K35" s="13">
        <v>40</v>
      </c>
      <c r="L35" s="12">
        <f>K35</f>
        <v>40</v>
      </c>
      <c r="M35" s="12">
        <f t="shared" si="42"/>
        <v>40</v>
      </c>
      <c r="N35" s="12">
        <f t="shared" si="42"/>
        <v>40</v>
      </c>
      <c r="O35" s="12">
        <f t="shared" si="42"/>
        <v>40</v>
      </c>
      <c r="P35" s="12">
        <f t="shared" si="42"/>
        <v>40</v>
      </c>
      <c r="Q35" s="12">
        <f t="shared" si="42"/>
        <v>40</v>
      </c>
      <c r="R35" s="12">
        <f t="shared" si="42"/>
        <v>40</v>
      </c>
      <c r="S35" s="12">
        <f t="shared" si="42"/>
        <v>40</v>
      </c>
      <c r="T35" s="12">
        <f t="shared" si="36"/>
        <v>40</v>
      </c>
      <c r="U35" s="12">
        <f t="shared" si="36"/>
        <v>40</v>
      </c>
      <c r="V35" s="12">
        <f t="shared" si="36"/>
        <v>40</v>
      </c>
      <c r="W35" s="12">
        <f t="shared" si="36"/>
        <v>40</v>
      </c>
      <c r="X35" s="12">
        <f t="shared" si="36"/>
        <v>40</v>
      </c>
      <c r="Y35" s="12">
        <f t="shared" si="36"/>
        <v>40</v>
      </c>
      <c r="Z35" s="12">
        <f t="shared" si="36"/>
        <v>40</v>
      </c>
      <c r="AA35" s="12">
        <f t="shared" si="36"/>
        <v>40</v>
      </c>
      <c r="AB35" s="12">
        <f t="shared" si="36"/>
        <v>40</v>
      </c>
      <c r="AC35" s="12">
        <f t="shared" si="36"/>
        <v>40</v>
      </c>
    </row>
    <row r="36" spans="1:29" ht="15" hidden="1">
      <c r="A36" s="48"/>
      <c r="B36" s="49" t="s">
        <v>67</v>
      </c>
      <c r="E36" s="21">
        <f>E34*E35/1000000</f>
        <v>0.08</v>
      </c>
      <c r="F36" s="21">
        <f t="shared" ref="F36:K36" si="45">F34*F35/1000000</f>
        <v>0.16</v>
      </c>
      <c r="G36" s="21">
        <f t="shared" si="45"/>
        <v>0.24</v>
      </c>
      <c r="H36" s="21">
        <f t="shared" si="45"/>
        <v>0.32</v>
      </c>
      <c r="I36" s="21">
        <f t="shared" si="45"/>
        <v>0.4</v>
      </c>
      <c r="J36" s="21">
        <f t="shared" si="45"/>
        <v>0.56000000000000005</v>
      </c>
      <c r="K36" s="22">
        <f t="shared" si="45"/>
        <v>0.56000000000000005</v>
      </c>
      <c r="L36" s="29">
        <f>K36</f>
        <v>0.56000000000000005</v>
      </c>
      <c r="M36" s="12">
        <f t="shared" si="42"/>
        <v>0.56000000000000005</v>
      </c>
      <c r="N36" s="12">
        <f t="shared" si="42"/>
        <v>0.56000000000000005</v>
      </c>
      <c r="O36" s="12">
        <f t="shared" si="42"/>
        <v>0.56000000000000005</v>
      </c>
      <c r="P36" s="12">
        <f t="shared" si="42"/>
        <v>0.56000000000000005</v>
      </c>
      <c r="Q36" s="12">
        <f t="shared" si="42"/>
        <v>0.56000000000000005</v>
      </c>
      <c r="R36" s="12">
        <f t="shared" si="42"/>
        <v>0.56000000000000005</v>
      </c>
      <c r="S36" s="12">
        <f t="shared" si="42"/>
        <v>0.56000000000000005</v>
      </c>
      <c r="T36" s="12">
        <f t="shared" si="36"/>
        <v>0.56000000000000005</v>
      </c>
      <c r="U36" s="12">
        <f t="shared" si="36"/>
        <v>0.56000000000000005</v>
      </c>
      <c r="V36" s="12">
        <f t="shared" si="36"/>
        <v>0.56000000000000005</v>
      </c>
      <c r="W36" s="12">
        <f t="shared" si="36"/>
        <v>0.56000000000000005</v>
      </c>
      <c r="X36" s="12">
        <f t="shared" si="36"/>
        <v>0.56000000000000005</v>
      </c>
      <c r="Y36" s="12">
        <f t="shared" si="36"/>
        <v>0.56000000000000005</v>
      </c>
      <c r="Z36" s="12">
        <f t="shared" si="36"/>
        <v>0.56000000000000005</v>
      </c>
      <c r="AA36" s="12">
        <f t="shared" si="36"/>
        <v>0.56000000000000005</v>
      </c>
      <c r="AB36" s="12">
        <f t="shared" si="36"/>
        <v>0.56000000000000005</v>
      </c>
      <c r="AC36" s="12">
        <f t="shared" si="36"/>
        <v>0.56000000000000005</v>
      </c>
    </row>
    <row r="37" spans="1:29" hidden="1">
      <c r="A37" s="48"/>
      <c r="B37" s="49" t="s">
        <v>68</v>
      </c>
      <c r="E37" s="13">
        <v>1</v>
      </c>
      <c r="F37" s="13">
        <v>1</v>
      </c>
      <c r="G37" s="13">
        <v>1</v>
      </c>
      <c r="H37" s="13">
        <v>1</v>
      </c>
      <c r="I37" s="13">
        <v>1</v>
      </c>
      <c r="J37" s="13">
        <v>1</v>
      </c>
      <c r="K37" s="12">
        <f>J37</f>
        <v>1</v>
      </c>
      <c r="L37" s="12">
        <f t="shared" ref="L37:S37" si="46">K37</f>
        <v>1</v>
      </c>
      <c r="M37" s="12">
        <f t="shared" si="46"/>
        <v>1</v>
      </c>
      <c r="N37" s="12">
        <f t="shared" si="46"/>
        <v>1</v>
      </c>
      <c r="O37" s="12">
        <f t="shared" si="46"/>
        <v>1</v>
      </c>
      <c r="P37" s="12">
        <f t="shared" si="46"/>
        <v>1</v>
      </c>
      <c r="Q37" s="12">
        <f t="shared" si="46"/>
        <v>1</v>
      </c>
      <c r="R37" s="12">
        <f t="shared" si="46"/>
        <v>1</v>
      </c>
      <c r="S37" s="12">
        <f t="shared" si="46"/>
        <v>1</v>
      </c>
      <c r="T37" s="12">
        <f t="shared" si="36"/>
        <v>1</v>
      </c>
      <c r="U37" s="12">
        <f t="shared" si="36"/>
        <v>1</v>
      </c>
      <c r="V37" s="12">
        <f t="shared" si="36"/>
        <v>1</v>
      </c>
      <c r="W37" s="12">
        <f t="shared" si="36"/>
        <v>1</v>
      </c>
      <c r="X37" s="12">
        <f t="shared" si="36"/>
        <v>1</v>
      </c>
      <c r="Y37" s="12">
        <f t="shared" si="36"/>
        <v>1</v>
      </c>
      <c r="Z37" s="12">
        <f t="shared" si="36"/>
        <v>1</v>
      </c>
      <c r="AA37" s="12">
        <f t="shared" si="36"/>
        <v>1</v>
      </c>
      <c r="AB37" s="12">
        <f t="shared" si="36"/>
        <v>1</v>
      </c>
      <c r="AC37" s="12">
        <f t="shared" si="36"/>
        <v>1</v>
      </c>
    </row>
    <row r="38" spans="1:29" ht="13.5" hidden="1">
      <c r="A38" s="48"/>
      <c r="B38" s="51" t="s">
        <v>59</v>
      </c>
      <c r="E38" s="18">
        <f t="shared" ref="E38:J38" si="47">E36*E37/10</f>
        <v>8.0000000000000002E-3</v>
      </c>
      <c r="F38" s="18">
        <f t="shared" si="47"/>
        <v>1.6E-2</v>
      </c>
      <c r="G38" s="18">
        <f t="shared" si="47"/>
        <v>2.4E-2</v>
      </c>
      <c r="H38" s="18">
        <f t="shared" si="47"/>
        <v>3.2000000000000001E-2</v>
      </c>
      <c r="I38" s="18">
        <f t="shared" si="47"/>
        <v>0.04</v>
      </c>
      <c r="J38" s="18">
        <f t="shared" si="47"/>
        <v>5.6000000000000008E-2</v>
      </c>
      <c r="K38" s="19">
        <f>J38</f>
        <v>5.6000000000000008E-2</v>
      </c>
      <c r="L38" s="19">
        <f t="shared" ref="L38:S38" si="48">K38</f>
        <v>5.6000000000000008E-2</v>
      </c>
      <c r="M38" s="19">
        <f t="shared" si="48"/>
        <v>5.6000000000000008E-2</v>
      </c>
      <c r="N38" s="19">
        <f t="shared" si="48"/>
        <v>5.6000000000000008E-2</v>
      </c>
      <c r="O38" s="19">
        <f t="shared" si="48"/>
        <v>5.6000000000000008E-2</v>
      </c>
      <c r="P38" s="19">
        <f t="shared" si="48"/>
        <v>5.6000000000000008E-2</v>
      </c>
      <c r="Q38" s="19">
        <f t="shared" si="48"/>
        <v>5.6000000000000008E-2</v>
      </c>
      <c r="R38" s="19">
        <f t="shared" si="48"/>
        <v>5.6000000000000008E-2</v>
      </c>
      <c r="S38" s="19">
        <f t="shared" si="48"/>
        <v>5.6000000000000008E-2</v>
      </c>
      <c r="T38" s="11">
        <f t="shared" si="36"/>
        <v>5.6000000000000008E-2</v>
      </c>
      <c r="U38" s="11">
        <f t="shared" si="36"/>
        <v>5.6000000000000008E-2</v>
      </c>
      <c r="V38" s="11">
        <f t="shared" si="36"/>
        <v>5.6000000000000008E-2</v>
      </c>
      <c r="W38" s="11">
        <f t="shared" si="36"/>
        <v>5.6000000000000008E-2</v>
      </c>
      <c r="X38" s="11">
        <f t="shared" si="36"/>
        <v>5.6000000000000008E-2</v>
      </c>
      <c r="Y38" s="11">
        <f t="shared" si="36"/>
        <v>5.6000000000000008E-2</v>
      </c>
      <c r="Z38" s="11">
        <f t="shared" si="36"/>
        <v>5.6000000000000008E-2</v>
      </c>
      <c r="AA38" s="11">
        <f t="shared" si="36"/>
        <v>5.6000000000000008E-2</v>
      </c>
      <c r="AB38" s="11">
        <f t="shared" si="36"/>
        <v>5.6000000000000008E-2</v>
      </c>
      <c r="AC38" s="11">
        <f t="shared" si="36"/>
        <v>5.6000000000000008E-2</v>
      </c>
    </row>
    <row r="39" spans="1:29" ht="13.5" hidden="1">
      <c r="A39" s="48"/>
      <c r="B39" s="51" t="s">
        <v>91</v>
      </c>
      <c r="E39" s="18">
        <f>E38*1000</f>
        <v>8</v>
      </c>
      <c r="F39" s="18">
        <f t="shared" ref="F39:S39" si="49">F38*1000</f>
        <v>16</v>
      </c>
      <c r="G39" s="18">
        <f t="shared" si="49"/>
        <v>24</v>
      </c>
      <c r="H39" s="18">
        <f t="shared" si="49"/>
        <v>32</v>
      </c>
      <c r="I39" s="18">
        <f t="shared" si="49"/>
        <v>40</v>
      </c>
      <c r="J39" s="18">
        <f t="shared" si="49"/>
        <v>56.000000000000007</v>
      </c>
      <c r="K39" s="18">
        <f t="shared" si="49"/>
        <v>56.000000000000007</v>
      </c>
      <c r="L39" s="18">
        <f t="shared" si="49"/>
        <v>56.000000000000007</v>
      </c>
      <c r="M39" s="18">
        <f t="shared" si="49"/>
        <v>56.000000000000007</v>
      </c>
      <c r="N39" s="18">
        <f t="shared" si="49"/>
        <v>56.000000000000007</v>
      </c>
      <c r="O39" s="18">
        <f t="shared" si="49"/>
        <v>56.000000000000007</v>
      </c>
      <c r="P39" s="18">
        <f t="shared" si="49"/>
        <v>56.000000000000007</v>
      </c>
      <c r="Q39" s="18">
        <f t="shared" si="49"/>
        <v>56.000000000000007</v>
      </c>
      <c r="R39" s="18">
        <f t="shared" si="49"/>
        <v>56.000000000000007</v>
      </c>
      <c r="S39" s="18">
        <f t="shared" si="49"/>
        <v>56.000000000000007</v>
      </c>
      <c r="T39" s="11">
        <f t="shared" si="36"/>
        <v>56.000000000000007</v>
      </c>
      <c r="U39" s="11">
        <f t="shared" si="36"/>
        <v>56.000000000000007</v>
      </c>
      <c r="V39" s="11">
        <f t="shared" si="36"/>
        <v>56.000000000000007</v>
      </c>
      <c r="W39" s="11">
        <f t="shared" si="36"/>
        <v>56.000000000000007</v>
      </c>
      <c r="X39" s="11">
        <f t="shared" si="36"/>
        <v>56.000000000000007</v>
      </c>
      <c r="Y39" s="11">
        <f t="shared" si="36"/>
        <v>56.000000000000007</v>
      </c>
      <c r="Z39" s="11">
        <f t="shared" si="36"/>
        <v>56.000000000000007</v>
      </c>
      <c r="AA39" s="11">
        <f t="shared" si="36"/>
        <v>56.000000000000007</v>
      </c>
      <c r="AB39" s="11">
        <f t="shared" si="36"/>
        <v>56.000000000000007</v>
      </c>
      <c r="AC39" s="11">
        <f t="shared" si="36"/>
        <v>56.000000000000007</v>
      </c>
    </row>
    <row r="40" spans="1:29" hidden="1">
      <c r="A40" s="48"/>
      <c r="B40" s="49"/>
    </row>
    <row r="41" spans="1:29">
      <c r="A41" s="48"/>
      <c r="B41" s="48" t="s">
        <v>254</v>
      </c>
      <c r="C41" s="153">
        <f>+C59*1.03</f>
        <v>4.6587414999999996</v>
      </c>
      <c r="D41" s="182"/>
    </row>
    <row r="42" spans="1:29">
      <c r="A42" s="48"/>
      <c r="B42" s="48" t="s">
        <v>261</v>
      </c>
      <c r="C42" s="156">
        <f>+C41*E59</f>
        <v>0.46587414999999999</v>
      </c>
      <c r="D42" s="182"/>
    </row>
    <row r="43" spans="1:29" s="163" customFormat="1" ht="15">
      <c r="A43" s="160"/>
      <c r="B43" s="161" t="s">
        <v>253</v>
      </c>
      <c r="C43" s="161" t="s">
        <v>271</v>
      </c>
      <c r="D43" s="161"/>
      <c r="E43" s="162">
        <v>0</v>
      </c>
      <c r="F43" s="162">
        <f>$C$42*E6*365/1000000000</f>
        <v>6.2236127698500003E-2</v>
      </c>
      <c r="G43" s="162">
        <f t="shared" ref="G43:AC43" si="50">$C$42*F6*365/1000000000</f>
        <v>0.12600265197975</v>
      </c>
      <c r="H43" s="162">
        <f t="shared" si="50"/>
        <v>0.20201234892300002</v>
      </c>
      <c r="I43" s="162">
        <f t="shared" si="50"/>
        <v>0.30914010971549999</v>
      </c>
      <c r="J43" s="162">
        <f t="shared" si="50"/>
        <v>0.40688143813379996</v>
      </c>
      <c r="K43" s="162">
        <f t="shared" si="50"/>
        <v>0.46238382086820001</v>
      </c>
      <c r="L43" s="162">
        <f t="shared" si="50"/>
        <v>0.46238382086820001</v>
      </c>
      <c r="M43" s="162">
        <f t="shared" si="50"/>
        <v>0.46238382086820001</v>
      </c>
      <c r="N43" s="162">
        <f t="shared" si="50"/>
        <v>0.46238382086820001</v>
      </c>
      <c r="O43" s="162">
        <f t="shared" si="50"/>
        <v>0.46238382086820001</v>
      </c>
      <c r="P43" s="162">
        <f t="shared" si="50"/>
        <v>0.46238382086820001</v>
      </c>
      <c r="Q43" s="162">
        <f t="shared" si="50"/>
        <v>0.46238382086820001</v>
      </c>
      <c r="R43" s="162">
        <f t="shared" si="50"/>
        <v>0.46238382086820001</v>
      </c>
      <c r="S43" s="162">
        <f t="shared" si="50"/>
        <v>0.46238382086820001</v>
      </c>
      <c r="T43" s="162">
        <f t="shared" si="50"/>
        <v>0.46238382086820001</v>
      </c>
      <c r="U43" s="162">
        <f t="shared" si="50"/>
        <v>0.46238382086820001</v>
      </c>
      <c r="V43" s="162">
        <f t="shared" si="50"/>
        <v>0.46238382086820001</v>
      </c>
      <c r="W43" s="162">
        <f t="shared" si="50"/>
        <v>0.46238382086820001</v>
      </c>
      <c r="X43" s="162">
        <f t="shared" si="50"/>
        <v>0.46238382086820001</v>
      </c>
      <c r="Y43" s="162">
        <f t="shared" si="50"/>
        <v>0.46238382086820001</v>
      </c>
      <c r="Z43" s="162">
        <f t="shared" si="50"/>
        <v>0.46238382086820001</v>
      </c>
      <c r="AA43" s="162">
        <f t="shared" si="50"/>
        <v>0.46238382086820001</v>
      </c>
      <c r="AB43" s="162">
        <f t="shared" si="50"/>
        <v>0.46238382086820001</v>
      </c>
      <c r="AC43" s="162">
        <f t="shared" si="50"/>
        <v>0.46238382086820001</v>
      </c>
    </row>
    <row r="44" spans="1:29" hidden="1">
      <c r="A44" s="48"/>
      <c r="B44" s="49" t="s">
        <v>94</v>
      </c>
      <c r="C44" s="28">
        <f>'Feed and Fodder'!S4</f>
        <v>2.5000000000000001E-3</v>
      </c>
      <c r="D44" s="28"/>
      <c r="E44" s="31">
        <f>$C$44*E43</f>
        <v>0</v>
      </c>
      <c r="F44" s="31">
        <f t="shared" ref="F44:AC44" si="51">$C$44*F43</f>
        <v>1.5559031924625001E-4</v>
      </c>
      <c r="G44" s="31">
        <f t="shared" si="51"/>
        <v>3.15006629949375E-4</v>
      </c>
      <c r="H44" s="31">
        <f t="shared" si="51"/>
        <v>5.0503087230750006E-4</v>
      </c>
      <c r="I44" s="31">
        <f t="shared" si="51"/>
        <v>7.7285027428874997E-4</v>
      </c>
      <c r="J44" s="31">
        <f t="shared" si="51"/>
        <v>1.0172035953345E-3</v>
      </c>
      <c r="K44" s="31">
        <f t="shared" si="51"/>
        <v>1.1559595521705001E-3</v>
      </c>
      <c r="L44" s="31">
        <f t="shared" si="51"/>
        <v>1.1559595521705001E-3</v>
      </c>
      <c r="M44" s="31">
        <f t="shared" si="51"/>
        <v>1.1559595521705001E-3</v>
      </c>
      <c r="N44" s="31">
        <f t="shared" si="51"/>
        <v>1.1559595521705001E-3</v>
      </c>
      <c r="O44" s="31">
        <f t="shared" si="51"/>
        <v>1.1559595521705001E-3</v>
      </c>
      <c r="P44" s="31">
        <f t="shared" si="51"/>
        <v>1.1559595521705001E-3</v>
      </c>
      <c r="Q44" s="31">
        <f t="shared" si="51"/>
        <v>1.1559595521705001E-3</v>
      </c>
      <c r="R44" s="31">
        <f t="shared" si="51"/>
        <v>1.1559595521705001E-3</v>
      </c>
      <c r="S44" s="31">
        <f t="shared" si="51"/>
        <v>1.1559595521705001E-3</v>
      </c>
      <c r="T44" s="31">
        <f t="shared" si="51"/>
        <v>1.1559595521705001E-3</v>
      </c>
      <c r="U44" s="31">
        <f t="shared" si="51"/>
        <v>1.1559595521705001E-3</v>
      </c>
      <c r="V44" s="31">
        <f t="shared" si="51"/>
        <v>1.1559595521705001E-3</v>
      </c>
      <c r="W44" s="31">
        <f t="shared" si="51"/>
        <v>1.1559595521705001E-3</v>
      </c>
      <c r="X44" s="31">
        <f t="shared" si="51"/>
        <v>1.1559595521705001E-3</v>
      </c>
      <c r="Y44" s="31">
        <f t="shared" si="51"/>
        <v>1.1559595521705001E-3</v>
      </c>
      <c r="Z44" s="31">
        <f t="shared" si="51"/>
        <v>1.1559595521705001E-3</v>
      </c>
      <c r="AA44" s="31">
        <f t="shared" si="51"/>
        <v>1.1559595521705001E-3</v>
      </c>
      <c r="AB44" s="31">
        <f t="shared" si="51"/>
        <v>1.1559595521705001E-3</v>
      </c>
      <c r="AC44" s="31">
        <f t="shared" si="51"/>
        <v>1.1559595521705001E-3</v>
      </c>
    </row>
    <row r="45" spans="1:29" ht="15">
      <c r="A45" s="48"/>
      <c r="B45" s="169" t="s">
        <v>92</v>
      </c>
      <c r="C45" s="170" t="s">
        <v>100</v>
      </c>
      <c r="D45" s="170"/>
      <c r="E45" s="171">
        <v>0</v>
      </c>
      <c r="F45" s="171">
        <f>+$C$71*$C$41*E6*365/1000000</f>
        <v>359.69481648702617</v>
      </c>
      <c r="G45" s="171">
        <f t="shared" ref="G45:AC45" si="52">+$C$71*$C$41*F6*365/1000000</f>
        <v>728.23458747783161</v>
      </c>
      <c r="H45" s="171">
        <f t="shared" si="52"/>
        <v>1167.5339944988718</v>
      </c>
      <c r="I45" s="171">
        <f t="shared" si="52"/>
        <v>1786.680809763425</v>
      </c>
      <c r="J45" s="171">
        <f t="shared" si="52"/>
        <v>2351.5785707381315</v>
      </c>
      <c r="K45" s="171">
        <f t="shared" si="52"/>
        <v>2672.3555874085282</v>
      </c>
      <c r="L45" s="171">
        <f t="shared" si="52"/>
        <v>2672.3555874085282</v>
      </c>
      <c r="M45" s="171">
        <f t="shared" si="52"/>
        <v>2672.3555874085282</v>
      </c>
      <c r="N45" s="171">
        <f t="shared" si="52"/>
        <v>2672.3555874085282</v>
      </c>
      <c r="O45" s="171">
        <f t="shared" si="52"/>
        <v>2672.3555874085282</v>
      </c>
      <c r="P45" s="171">
        <f t="shared" si="52"/>
        <v>2672.3555874085282</v>
      </c>
      <c r="Q45" s="171">
        <f t="shared" si="52"/>
        <v>2672.3555874085282</v>
      </c>
      <c r="R45" s="171">
        <f t="shared" si="52"/>
        <v>2672.3555874085282</v>
      </c>
      <c r="S45" s="171">
        <f t="shared" si="52"/>
        <v>2672.3555874085282</v>
      </c>
      <c r="T45" s="171">
        <f t="shared" si="52"/>
        <v>2672.3555874085282</v>
      </c>
      <c r="U45" s="171">
        <f t="shared" si="52"/>
        <v>2672.3555874085282</v>
      </c>
      <c r="V45" s="171">
        <f t="shared" si="52"/>
        <v>2672.3555874085282</v>
      </c>
      <c r="W45" s="171">
        <f t="shared" si="52"/>
        <v>2672.3555874085282</v>
      </c>
      <c r="X45" s="171">
        <f t="shared" si="52"/>
        <v>2672.3555874085282</v>
      </c>
      <c r="Y45" s="171">
        <f t="shared" si="52"/>
        <v>2672.3555874085282</v>
      </c>
      <c r="Z45" s="171">
        <f t="shared" si="52"/>
        <v>2672.3555874085282</v>
      </c>
      <c r="AA45" s="171">
        <f t="shared" si="52"/>
        <v>2672.3555874085282</v>
      </c>
      <c r="AB45" s="171">
        <f t="shared" si="52"/>
        <v>2672.3555874085282</v>
      </c>
      <c r="AC45" s="171">
        <f t="shared" si="52"/>
        <v>2672.3555874085282</v>
      </c>
    </row>
    <row r="46" spans="1:29" ht="13.5" thickBot="1"/>
    <row r="47" spans="1:29" ht="13.5" thickBot="1">
      <c r="B47" s="166" t="s">
        <v>132</v>
      </c>
      <c r="C47" s="168">
        <f>'Feed and Fodder'!D33</f>
        <v>0.16453421250000003</v>
      </c>
      <c r="D47" s="183"/>
      <c r="E47" s="167">
        <v>0</v>
      </c>
      <c r="F47" s="135">
        <f>$C$47*E6</f>
        <v>60219.521775000008</v>
      </c>
      <c r="G47" s="135">
        <f t="shared" ref="G47:AC47" si="53">$C$47*F6</f>
        <v>121919.85146250002</v>
      </c>
      <c r="H47" s="135">
        <f t="shared" si="53"/>
        <v>195466.64445000002</v>
      </c>
      <c r="I47" s="135">
        <f t="shared" si="53"/>
        <v>299123.19832500006</v>
      </c>
      <c r="J47" s="135">
        <f t="shared" si="53"/>
        <v>393697.46367000008</v>
      </c>
      <c r="K47" s="135">
        <f t="shared" si="53"/>
        <v>447401.43063000008</v>
      </c>
      <c r="L47" s="135">
        <f t="shared" si="53"/>
        <v>447401.43063000008</v>
      </c>
      <c r="M47" s="135">
        <f t="shared" si="53"/>
        <v>447401.43063000008</v>
      </c>
      <c r="N47" s="135">
        <f t="shared" si="53"/>
        <v>447401.43063000008</v>
      </c>
      <c r="O47" s="135">
        <f t="shared" si="53"/>
        <v>447401.43063000008</v>
      </c>
      <c r="P47" s="135">
        <f t="shared" si="53"/>
        <v>447401.43063000008</v>
      </c>
      <c r="Q47" s="135">
        <f t="shared" si="53"/>
        <v>447401.43063000008</v>
      </c>
      <c r="R47" s="135">
        <f t="shared" si="53"/>
        <v>447401.43063000008</v>
      </c>
      <c r="S47" s="135">
        <f t="shared" si="53"/>
        <v>447401.43063000008</v>
      </c>
      <c r="T47" s="135">
        <f t="shared" si="53"/>
        <v>447401.43063000008</v>
      </c>
      <c r="U47" s="135">
        <f t="shared" si="53"/>
        <v>447401.43063000008</v>
      </c>
      <c r="V47" s="135">
        <f t="shared" si="53"/>
        <v>447401.43063000008</v>
      </c>
      <c r="W47" s="135">
        <f t="shared" si="53"/>
        <v>447401.43063000008</v>
      </c>
      <c r="X47" s="135">
        <f t="shared" si="53"/>
        <v>447401.43063000008</v>
      </c>
      <c r="Y47" s="135">
        <f t="shared" si="53"/>
        <v>447401.43063000008</v>
      </c>
      <c r="Z47" s="135">
        <f t="shared" si="53"/>
        <v>447401.43063000008</v>
      </c>
      <c r="AA47" s="135">
        <f t="shared" si="53"/>
        <v>447401.43063000008</v>
      </c>
      <c r="AB47" s="135">
        <f t="shared" si="53"/>
        <v>447401.43063000008</v>
      </c>
      <c r="AC47" s="135">
        <f t="shared" si="53"/>
        <v>447401.43063000008</v>
      </c>
    </row>
    <row r="48" spans="1:29" ht="15">
      <c r="B48" s="169" t="s">
        <v>133</v>
      </c>
      <c r="C48" s="172">
        <f>'Feed and Fodder'!C34</f>
        <v>740</v>
      </c>
      <c r="D48" s="172"/>
      <c r="E48" s="171">
        <f>E47*$C$48/1000000</f>
        <v>0</v>
      </c>
      <c r="F48" s="171">
        <f t="shared" ref="F48:H48" si="54">F47*$C$48/1000000</f>
        <v>44.562446113500009</v>
      </c>
      <c r="G48" s="171">
        <f t="shared" si="54"/>
        <v>90.220690082250016</v>
      </c>
      <c r="H48" s="171">
        <f t="shared" si="54"/>
        <v>144.645316893</v>
      </c>
      <c r="I48" s="171">
        <f>I47*$C$48/1000000</f>
        <v>221.35116676050004</v>
      </c>
      <c r="J48" s="171">
        <f t="shared" ref="J48" si="55">J47*$C$48/1000000</f>
        <v>291.33612311580009</v>
      </c>
      <c r="K48" s="171">
        <f t="shared" ref="K48" si="56">K47*$C$48/1000000</f>
        <v>331.07705866620006</v>
      </c>
      <c r="L48" s="171">
        <f t="shared" ref="L48:M48" si="57">L47*$C$48/1000000</f>
        <v>331.07705866620006</v>
      </c>
      <c r="M48" s="171">
        <f t="shared" si="57"/>
        <v>331.07705866620006</v>
      </c>
      <c r="N48" s="171">
        <f t="shared" ref="N48" si="58">N47*$C$48/1000000</f>
        <v>331.07705866620006</v>
      </c>
      <c r="O48" s="171">
        <f t="shared" ref="O48" si="59">O47*$C$48/1000000</f>
        <v>331.07705866620006</v>
      </c>
      <c r="P48" s="171">
        <f t="shared" ref="P48:Q48" si="60">P47*$C$48/1000000</f>
        <v>331.07705866620006</v>
      </c>
      <c r="Q48" s="171">
        <f t="shared" si="60"/>
        <v>331.07705866620006</v>
      </c>
      <c r="R48" s="171">
        <f t="shared" ref="R48" si="61">R47*$C$48/1000000</f>
        <v>331.07705866620006</v>
      </c>
      <c r="S48" s="171">
        <f t="shared" ref="S48" si="62">S47*$C$48/1000000</f>
        <v>331.07705866620006</v>
      </c>
      <c r="T48" s="171">
        <f t="shared" ref="T48:U48" si="63">T47*$C$48/1000000</f>
        <v>331.07705866620006</v>
      </c>
      <c r="U48" s="171">
        <f t="shared" si="63"/>
        <v>331.07705866620006</v>
      </c>
      <c r="V48" s="171">
        <f t="shared" ref="V48" si="64">V47*$C$48/1000000</f>
        <v>331.07705866620006</v>
      </c>
      <c r="W48" s="171">
        <f t="shared" ref="W48" si="65">W47*$C$48/1000000</f>
        <v>331.07705866620006</v>
      </c>
      <c r="X48" s="171">
        <f t="shared" ref="X48:Y48" si="66">X47*$C$48/1000000</f>
        <v>331.07705866620006</v>
      </c>
      <c r="Y48" s="171">
        <f t="shared" si="66"/>
        <v>331.07705866620006</v>
      </c>
      <c r="Z48" s="171">
        <f t="shared" ref="Z48" si="67">Z47*$C$48/1000000</f>
        <v>331.07705866620006</v>
      </c>
      <c r="AA48" s="171">
        <f t="shared" ref="AA48" si="68">AA47*$C$48/1000000</f>
        <v>331.07705866620006</v>
      </c>
      <c r="AB48" s="171">
        <f t="shared" ref="AB48:AC48" si="69">AB47*$C$48/1000000</f>
        <v>331.07705866620006</v>
      </c>
      <c r="AC48" s="171">
        <f t="shared" si="69"/>
        <v>331.07705866620006</v>
      </c>
    </row>
    <row r="50" spans="2:30" ht="15">
      <c r="B50" s="169" t="s">
        <v>249</v>
      </c>
      <c r="C50" s="170"/>
      <c r="D50" s="170"/>
      <c r="E50" s="171">
        <f>+E43*$G$62</f>
        <v>0</v>
      </c>
      <c r="F50" s="171">
        <f t="shared" ref="F50:AC50" si="70">+F43*$G$62</f>
        <v>190.70142241534666</v>
      </c>
      <c r="G50" s="171">
        <f t="shared" si="70"/>
        <v>386.09222407041489</v>
      </c>
      <c r="H50" s="171">
        <f t="shared" si="70"/>
        <v>618.9980596432564</v>
      </c>
      <c r="I50" s="171">
        <f t="shared" si="70"/>
        <v>947.25460642377095</v>
      </c>
      <c r="J50" s="171">
        <f t="shared" si="70"/>
        <v>1246.7496272006595</v>
      </c>
      <c r="K50" s="171">
        <f t="shared" si="70"/>
        <v>1416.8177809612312</v>
      </c>
      <c r="L50" s="171">
        <f t="shared" si="70"/>
        <v>1416.8177809612312</v>
      </c>
      <c r="M50" s="171">
        <f t="shared" si="70"/>
        <v>1416.8177809612312</v>
      </c>
      <c r="N50" s="171">
        <f t="shared" si="70"/>
        <v>1416.8177809612312</v>
      </c>
      <c r="O50" s="171">
        <f t="shared" si="70"/>
        <v>1416.8177809612312</v>
      </c>
      <c r="P50" s="171">
        <f t="shared" si="70"/>
        <v>1416.8177809612312</v>
      </c>
      <c r="Q50" s="171">
        <f t="shared" si="70"/>
        <v>1416.8177809612312</v>
      </c>
      <c r="R50" s="171">
        <f t="shared" si="70"/>
        <v>1416.8177809612312</v>
      </c>
      <c r="S50" s="171">
        <f t="shared" si="70"/>
        <v>1416.8177809612312</v>
      </c>
      <c r="T50" s="171">
        <f t="shared" si="70"/>
        <v>1416.8177809612312</v>
      </c>
      <c r="U50" s="171">
        <f t="shared" si="70"/>
        <v>1416.8177809612312</v>
      </c>
      <c r="V50" s="171">
        <f t="shared" si="70"/>
        <v>1416.8177809612312</v>
      </c>
      <c r="W50" s="171">
        <f t="shared" si="70"/>
        <v>1416.8177809612312</v>
      </c>
      <c r="X50" s="171">
        <f t="shared" si="70"/>
        <v>1416.8177809612312</v>
      </c>
      <c r="Y50" s="171">
        <f t="shared" si="70"/>
        <v>1416.8177809612312</v>
      </c>
      <c r="Z50" s="171">
        <f t="shared" si="70"/>
        <v>1416.8177809612312</v>
      </c>
      <c r="AA50" s="171">
        <f t="shared" si="70"/>
        <v>1416.8177809612312</v>
      </c>
      <c r="AB50" s="171">
        <f t="shared" si="70"/>
        <v>1416.8177809612312</v>
      </c>
      <c r="AC50" s="171">
        <f t="shared" si="70"/>
        <v>1416.8177809612312</v>
      </c>
    </row>
    <row r="51" spans="2:30">
      <c r="B51" s="11"/>
    </row>
    <row r="52" spans="2:30">
      <c r="B52" s="136" t="s">
        <v>250</v>
      </c>
      <c r="C52" s="136"/>
      <c r="D52" s="136"/>
      <c r="E52" s="137">
        <f>+SUM(E45,E48,E50)</f>
        <v>0</v>
      </c>
      <c r="F52" s="137">
        <f>+SUM(F45,F48,F50)</f>
        <v>594.95868501587279</v>
      </c>
      <c r="G52" s="137">
        <f t="shared" ref="G52:AC52" si="71">+SUM(G45,G48,G50)</f>
        <v>1204.5475016304965</v>
      </c>
      <c r="H52" s="137">
        <f t="shared" si="71"/>
        <v>1931.1773710351281</v>
      </c>
      <c r="I52" s="137">
        <f t="shared" si="71"/>
        <v>2955.2865829476959</v>
      </c>
      <c r="J52" s="137">
        <f t="shared" si="71"/>
        <v>3889.6643210545908</v>
      </c>
      <c r="K52" s="137">
        <f t="shared" si="71"/>
        <v>4420.2504270359595</v>
      </c>
      <c r="L52" s="137">
        <f t="shared" si="71"/>
        <v>4420.2504270359595</v>
      </c>
      <c r="M52" s="137">
        <f t="shared" si="71"/>
        <v>4420.2504270359595</v>
      </c>
      <c r="N52" s="137">
        <f t="shared" si="71"/>
        <v>4420.2504270359595</v>
      </c>
      <c r="O52" s="137">
        <f t="shared" si="71"/>
        <v>4420.2504270359595</v>
      </c>
      <c r="P52" s="137">
        <f t="shared" si="71"/>
        <v>4420.2504270359595</v>
      </c>
      <c r="Q52" s="137">
        <f t="shared" si="71"/>
        <v>4420.2504270359595</v>
      </c>
      <c r="R52" s="137">
        <f t="shared" si="71"/>
        <v>4420.2504270359595</v>
      </c>
      <c r="S52" s="137">
        <f t="shared" si="71"/>
        <v>4420.2504270359595</v>
      </c>
      <c r="T52" s="137">
        <f t="shared" si="71"/>
        <v>4420.2504270359595</v>
      </c>
      <c r="U52" s="137">
        <f t="shared" si="71"/>
        <v>4420.2504270359595</v>
      </c>
      <c r="V52" s="137">
        <f t="shared" si="71"/>
        <v>4420.2504270359595</v>
      </c>
      <c r="W52" s="137">
        <f t="shared" si="71"/>
        <v>4420.2504270359595</v>
      </c>
      <c r="X52" s="137">
        <f t="shared" si="71"/>
        <v>4420.2504270359595</v>
      </c>
      <c r="Y52" s="137">
        <f t="shared" si="71"/>
        <v>4420.2504270359595</v>
      </c>
      <c r="Z52" s="137">
        <f t="shared" si="71"/>
        <v>4420.2504270359595</v>
      </c>
      <c r="AA52" s="137">
        <f t="shared" si="71"/>
        <v>4420.2504270359595</v>
      </c>
      <c r="AB52" s="137">
        <f t="shared" si="71"/>
        <v>4420.2504270359595</v>
      </c>
      <c r="AC52" s="137">
        <f t="shared" si="71"/>
        <v>4420.2504270359595</v>
      </c>
    </row>
    <row r="54" spans="2:30">
      <c r="B54" s="157"/>
      <c r="C54" s="157"/>
      <c r="D54" s="157"/>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c r="AD54" s="157"/>
    </row>
    <row r="55" spans="2:30">
      <c r="B55" s="11" t="s">
        <v>177</v>
      </c>
    </row>
    <row r="56" spans="2:30">
      <c r="J56" s="12">
        <f>+C57*C42</f>
        <v>170.04406474999999</v>
      </c>
    </row>
    <row r="57" spans="2:30">
      <c r="B57" s="142" t="s">
        <v>176</v>
      </c>
      <c r="C57" s="142">
        <v>365</v>
      </c>
      <c r="D57" s="48"/>
      <c r="G57" s="12" t="s">
        <v>262</v>
      </c>
      <c r="J57" s="12">
        <f>+J56*1.03</f>
        <v>175.14538669249998</v>
      </c>
      <c r="K57" s="12">
        <f>+J57/1000</f>
        <v>0.17514538669249999</v>
      </c>
    </row>
    <row r="58" spans="2:30" ht="13.5" thickBot="1">
      <c r="G58" s="12" t="s">
        <v>263</v>
      </c>
      <c r="J58" s="12">
        <f>+J57*J6</f>
        <v>476255335.49424595</v>
      </c>
      <c r="K58" s="12">
        <f>+K57*2.94</f>
        <v>0.51492743687595</v>
      </c>
    </row>
    <row r="59" spans="2:30" ht="13.5" thickBot="1">
      <c r="B59" s="142" t="s">
        <v>265</v>
      </c>
      <c r="C59" s="197">
        <f>+SUMPRODUCT(C61:C63,E61:E63)</f>
        <v>4.5230499999999996</v>
      </c>
      <c r="D59" s="184"/>
      <c r="E59" s="155">
        <f>'Feed and Fodder (F) Zone.1'!$E$59</f>
        <v>0.1</v>
      </c>
      <c r="G59" s="152">
        <f>+C59*C57*E59</f>
        <v>165.09132499999998</v>
      </c>
    </row>
    <row r="60" spans="2:30" ht="25.5">
      <c r="B60" s="144"/>
      <c r="C60" s="150" t="s">
        <v>264</v>
      </c>
      <c r="D60" s="185"/>
      <c r="E60" s="154" t="s">
        <v>181</v>
      </c>
    </row>
    <row r="61" spans="2:30" ht="13.5" thickBot="1">
      <c r="B61" s="144" t="s">
        <v>179</v>
      </c>
      <c r="C61" s="149">
        <v>2.1360000000000001</v>
      </c>
      <c r="D61" s="149"/>
      <c r="E61" s="145">
        <v>0.35</v>
      </c>
      <c r="G61" s="12" t="s">
        <v>266</v>
      </c>
      <c r="I61" s="12" t="s">
        <v>99</v>
      </c>
    </row>
    <row r="62" spans="2:30" ht="13.5" thickBot="1">
      <c r="B62" s="144" t="s">
        <v>178</v>
      </c>
      <c r="C62" s="149">
        <v>6.8689999999999998</v>
      </c>
      <c r="D62" s="149"/>
      <c r="E62" s="145">
        <v>0.35</v>
      </c>
      <c r="G62" s="152">
        <v>3064.1595077892816</v>
      </c>
    </row>
    <row r="63" spans="2:30">
      <c r="B63" s="144" t="s">
        <v>180</v>
      </c>
      <c r="C63" s="149">
        <v>4.5709999999999997</v>
      </c>
      <c r="D63" s="149"/>
      <c r="E63" s="145">
        <f>'Feed and Fodder'!C25</f>
        <v>0.3</v>
      </c>
    </row>
    <row r="65" spans="2:30" ht="13.5" thickBot="1">
      <c r="G65" s="12" t="s">
        <v>267</v>
      </c>
      <c r="I65" s="12" t="s">
        <v>93</v>
      </c>
    </row>
    <row r="66" spans="2:30" ht="13.5" thickBot="1">
      <c r="B66" s="142" t="s">
        <v>268</v>
      </c>
      <c r="C66" s="146">
        <f>+G66</f>
        <v>16.512908397126818</v>
      </c>
      <c r="D66" s="186"/>
      <c r="G66" s="159">
        <v>16.512908397126818</v>
      </c>
    </row>
    <row r="67" spans="2:30">
      <c r="B67" s="142" t="s">
        <v>251</v>
      </c>
      <c r="C67" s="143">
        <v>0.7</v>
      </c>
      <c r="D67" s="187"/>
    </row>
    <row r="68" spans="2:30">
      <c r="B68" s="142" t="s">
        <v>269</v>
      </c>
      <c r="C68" s="146">
        <f>+C66*C67</f>
        <v>11.559035877988771</v>
      </c>
      <c r="D68" s="186"/>
    </row>
    <row r="70" spans="2:30">
      <c r="B70" s="142" t="s">
        <v>252</v>
      </c>
      <c r="C70" s="143">
        <v>0.05</v>
      </c>
      <c r="D70" s="187"/>
    </row>
    <row r="71" spans="2:30">
      <c r="B71" s="142" t="s">
        <v>270</v>
      </c>
      <c r="C71" s="146">
        <f>+C68*C70</f>
        <v>0.57795179389943863</v>
      </c>
      <c r="D71" s="186"/>
    </row>
    <row r="75" spans="2:30" ht="15">
      <c r="B75" s="1"/>
      <c r="C75" s="65">
        <v>1</v>
      </c>
      <c r="D75" s="1"/>
      <c r="E75" s="3" t="s">
        <v>226</v>
      </c>
      <c r="F75" s="3" t="s">
        <v>227</v>
      </c>
      <c r="G75" s="3" t="s">
        <v>228</v>
      </c>
      <c r="H75" s="3" t="s">
        <v>229</v>
      </c>
      <c r="I75" s="3" t="s">
        <v>230</v>
      </c>
      <c r="J75" s="3" t="s">
        <v>231</v>
      </c>
      <c r="K75" s="3" t="s">
        <v>232</v>
      </c>
      <c r="L75" s="3" t="s">
        <v>233</v>
      </c>
      <c r="M75" s="3" t="s">
        <v>234</v>
      </c>
      <c r="N75" s="3" t="s">
        <v>235</v>
      </c>
      <c r="O75" s="3" t="s">
        <v>236</v>
      </c>
      <c r="P75" s="3" t="s">
        <v>237</v>
      </c>
      <c r="Q75" s="3" t="s">
        <v>238</v>
      </c>
      <c r="R75" s="3" t="s">
        <v>239</v>
      </c>
      <c r="S75" s="3" t="s">
        <v>240</v>
      </c>
      <c r="T75" s="3" t="s">
        <v>241</v>
      </c>
      <c r="U75" s="3" t="s">
        <v>242</v>
      </c>
      <c r="V75" s="3" t="s">
        <v>243</v>
      </c>
      <c r="W75" s="3" t="s">
        <v>244</v>
      </c>
      <c r="X75" s="3" t="s">
        <v>245</v>
      </c>
      <c r="Y75" s="3" t="s">
        <v>288</v>
      </c>
      <c r="Z75" s="3" t="s">
        <v>289</v>
      </c>
      <c r="AA75" s="3" t="s">
        <v>290</v>
      </c>
      <c r="AB75" s="3" t="s">
        <v>291</v>
      </c>
      <c r="AC75" s="3" t="s">
        <v>292</v>
      </c>
      <c r="AD75" s="3" t="s">
        <v>293</v>
      </c>
    </row>
    <row r="76" spans="2:30" ht="15">
      <c r="B76" s="188" t="s">
        <v>284</v>
      </c>
      <c r="C76" s="1" t="s">
        <v>285</v>
      </c>
      <c r="E76" s="1">
        <v>0</v>
      </c>
      <c r="F76" s="1">
        <v>0</v>
      </c>
      <c r="G76" s="1">
        <v>0.25</v>
      </c>
      <c r="H76" s="1">
        <v>0.5</v>
      </c>
      <c r="I76" s="1">
        <v>0.75</v>
      </c>
      <c r="J76" s="1">
        <v>1</v>
      </c>
      <c r="K76" s="1">
        <v>1</v>
      </c>
      <c r="L76" s="1">
        <v>1</v>
      </c>
      <c r="M76" s="1">
        <v>1</v>
      </c>
      <c r="N76" s="1">
        <v>1</v>
      </c>
      <c r="O76" s="1">
        <v>1</v>
      </c>
      <c r="P76" s="1">
        <v>1</v>
      </c>
      <c r="Q76" s="1">
        <v>1</v>
      </c>
      <c r="R76" s="1">
        <v>1</v>
      </c>
      <c r="S76" s="1">
        <v>1</v>
      </c>
      <c r="T76" s="1">
        <v>1</v>
      </c>
      <c r="U76" s="1">
        <v>1</v>
      </c>
      <c r="V76" s="1">
        <v>1</v>
      </c>
      <c r="W76" s="1">
        <v>1</v>
      </c>
      <c r="X76" s="1">
        <v>1</v>
      </c>
      <c r="Y76" s="1">
        <v>1</v>
      </c>
      <c r="Z76" s="1">
        <v>1</v>
      </c>
      <c r="AA76" s="1">
        <v>1</v>
      </c>
      <c r="AB76" s="1">
        <v>1</v>
      </c>
      <c r="AC76" s="1">
        <v>1</v>
      </c>
      <c r="AD76" s="1">
        <v>1</v>
      </c>
    </row>
    <row r="77" spans="2:30" ht="15">
      <c r="B77" s="1"/>
      <c r="C77" s="189">
        <v>0.05</v>
      </c>
      <c r="D77" s="178"/>
      <c r="E77" s="1">
        <f>+$C77*E76*$C$75</f>
        <v>0</v>
      </c>
      <c r="F77" s="1">
        <f>+$C77*F76*$C$75</f>
        <v>0</v>
      </c>
      <c r="G77" s="1">
        <f t="shared" ref="G77:K77" si="72">+$C77*G76*$C$75</f>
        <v>1.2500000000000001E-2</v>
      </c>
      <c r="H77" s="1">
        <f t="shared" si="72"/>
        <v>2.5000000000000001E-2</v>
      </c>
      <c r="I77" s="1">
        <f t="shared" si="72"/>
        <v>3.7500000000000006E-2</v>
      </c>
      <c r="J77" s="1">
        <f t="shared" si="72"/>
        <v>0.05</v>
      </c>
      <c r="K77" s="1">
        <f t="shared" si="72"/>
        <v>0.05</v>
      </c>
      <c r="L77" s="1">
        <f t="shared" ref="L77" si="73">+$C77*L76*$C$75</f>
        <v>0.05</v>
      </c>
      <c r="M77" s="1">
        <f t="shared" ref="M77" si="74">+$C77*M76*$C$75</f>
        <v>0.05</v>
      </c>
      <c r="N77" s="1">
        <f t="shared" ref="N77" si="75">+$C77*N76*$C$75</f>
        <v>0.05</v>
      </c>
      <c r="O77" s="1">
        <f t="shared" ref="O77" si="76">+$C77*O76*$C$75</f>
        <v>0.05</v>
      </c>
      <c r="P77" s="1">
        <f t="shared" ref="P77" si="77">+$C77*P76*$C$75</f>
        <v>0.05</v>
      </c>
      <c r="Q77" s="1">
        <f t="shared" ref="Q77" si="78">+$C77*Q76*$C$75</f>
        <v>0.05</v>
      </c>
      <c r="R77" s="1">
        <f t="shared" ref="R77" si="79">+$C77*R76*$C$75</f>
        <v>0.05</v>
      </c>
      <c r="S77" s="1">
        <f t="shared" ref="S77" si="80">+$C77*S76*$C$75</f>
        <v>0.05</v>
      </c>
      <c r="T77" s="1">
        <f t="shared" ref="T77" si="81">+$C77*T76*$C$75</f>
        <v>0.05</v>
      </c>
      <c r="U77" s="1">
        <f t="shared" ref="U77" si="82">+$C77*U76*$C$75</f>
        <v>0.05</v>
      </c>
      <c r="V77" s="1">
        <f t="shared" ref="V77" si="83">+$C77*V76*$C$75</f>
        <v>0.05</v>
      </c>
      <c r="W77" s="1">
        <f t="shared" ref="W77" si="84">+$C77*W76*$C$75</f>
        <v>0.05</v>
      </c>
      <c r="X77" s="1">
        <f t="shared" ref="X77" si="85">+$C77*X76*$C$75</f>
        <v>0.05</v>
      </c>
      <c r="Y77" s="1">
        <f t="shared" ref="Y77" si="86">+$C77*Y76*$C$75</f>
        <v>0.05</v>
      </c>
      <c r="Z77" s="1">
        <f t="shared" ref="Z77" si="87">+$C77*Z76*$C$75</f>
        <v>0.05</v>
      </c>
      <c r="AA77" s="1">
        <f t="shared" ref="AA77" si="88">+$C77*AA76*$C$75</f>
        <v>0.05</v>
      </c>
      <c r="AB77" s="1">
        <f t="shared" ref="AB77" si="89">+$C77*AB76*$C$75</f>
        <v>0.05</v>
      </c>
      <c r="AC77" s="1">
        <f t="shared" ref="AC77" si="90">+$C77*AC76*$C$75</f>
        <v>0.05</v>
      </c>
      <c r="AD77" s="1">
        <f t="shared" ref="AD77" si="91">+$C77*AD76*$C$75</f>
        <v>0.05</v>
      </c>
    </row>
    <row r="78" spans="2:30" ht="15">
      <c r="B78" s="1"/>
      <c r="C78" s="189">
        <v>0.1</v>
      </c>
      <c r="D78" s="178"/>
      <c r="E78" s="1"/>
      <c r="F78" s="1">
        <f>+$C78*E76*$C$75</f>
        <v>0</v>
      </c>
      <c r="G78" s="1">
        <f t="shared" ref="G78:K78" si="92">+$C78*F76*$C$75</f>
        <v>0</v>
      </c>
      <c r="H78" s="1">
        <f t="shared" si="92"/>
        <v>2.5000000000000001E-2</v>
      </c>
      <c r="I78" s="1">
        <f t="shared" si="92"/>
        <v>0.05</v>
      </c>
      <c r="J78" s="1">
        <f t="shared" si="92"/>
        <v>7.5000000000000011E-2</v>
      </c>
      <c r="K78" s="1">
        <f t="shared" si="92"/>
        <v>0.1</v>
      </c>
      <c r="L78" s="1">
        <f t="shared" ref="L78:AD78" si="93">+$C78*K76*$C$75</f>
        <v>0.1</v>
      </c>
      <c r="M78" s="1">
        <f t="shared" si="93"/>
        <v>0.1</v>
      </c>
      <c r="N78" s="1">
        <f t="shared" si="93"/>
        <v>0.1</v>
      </c>
      <c r="O78" s="1">
        <f t="shared" si="93"/>
        <v>0.1</v>
      </c>
      <c r="P78" s="1">
        <f t="shared" si="93"/>
        <v>0.1</v>
      </c>
      <c r="Q78" s="1">
        <f t="shared" si="93"/>
        <v>0.1</v>
      </c>
      <c r="R78" s="1">
        <f t="shared" si="93"/>
        <v>0.1</v>
      </c>
      <c r="S78" s="1">
        <f t="shared" si="93"/>
        <v>0.1</v>
      </c>
      <c r="T78" s="1">
        <f t="shared" si="93"/>
        <v>0.1</v>
      </c>
      <c r="U78" s="1">
        <f t="shared" si="93"/>
        <v>0.1</v>
      </c>
      <c r="V78" s="1">
        <f t="shared" si="93"/>
        <v>0.1</v>
      </c>
      <c r="W78" s="1">
        <f t="shared" si="93"/>
        <v>0.1</v>
      </c>
      <c r="X78" s="1">
        <f t="shared" si="93"/>
        <v>0.1</v>
      </c>
      <c r="Y78" s="1">
        <f t="shared" si="93"/>
        <v>0.1</v>
      </c>
      <c r="Z78" s="1">
        <f t="shared" si="93"/>
        <v>0.1</v>
      </c>
      <c r="AA78" s="1">
        <f t="shared" si="93"/>
        <v>0.1</v>
      </c>
      <c r="AB78" s="1">
        <f t="shared" si="93"/>
        <v>0.1</v>
      </c>
      <c r="AC78" s="1">
        <f t="shared" si="93"/>
        <v>0.1</v>
      </c>
      <c r="AD78" s="1">
        <f t="shared" si="93"/>
        <v>0.1</v>
      </c>
    </row>
    <row r="79" spans="2:30" ht="15">
      <c r="B79" s="1"/>
      <c r="C79" s="189">
        <v>0.2</v>
      </c>
      <c r="D79" s="178"/>
      <c r="E79" s="1"/>
      <c r="F79" s="1"/>
      <c r="G79" s="1">
        <f>+$C79*E76*$C$75</f>
        <v>0</v>
      </c>
      <c r="H79" s="1">
        <f t="shared" ref="H79:K79" si="94">+$C79*F76*$C$75</f>
        <v>0</v>
      </c>
      <c r="I79" s="1">
        <f t="shared" si="94"/>
        <v>0.05</v>
      </c>
      <c r="J79" s="1">
        <f t="shared" si="94"/>
        <v>0.1</v>
      </c>
      <c r="K79" s="1">
        <f t="shared" si="94"/>
        <v>0.15000000000000002</v>
      </c>
      <c r="L79" s="1">
        <f t="shared" ref="L79" si="95">+$C79*J76*$C$75</f>
        <v>0.2</v>
      </c>
      <c r="M79" s="1">
        <f t="shared" ref="M79" si="96">+$C79*K76*$C$75</f>
        <v>0.2</v>
      </c>
      <c r="N79" s="1">
        <f t="shared" ref="N79" si="97">+$C79*L76*$C$75</f>
        <v>0.2</v>
      </c>
      <c r="O79" s="1">
        <f t="shared" ref="O79" si="98">+$C79*M76*$C$75</f>
        <v>0.2</v>
      </c>
      <c r="P79" s="1">
        <f t="shared" ref="P79" si="99">+$C79*N76*$C$75</f>
        <v>0.2</v>
      </c>
      <c r="Q79" s="1">
        <f t="shared" ref="Q79" si="100">+$C79*O76*$C$75</f>
        <v>0.2</v>
      </c>
      <c r="R79" s="1">
        <f t="shared" ref="R79" si="101">+$C79*P76*$C$75</f>
        <v>0.2</v>
      </c>
      <c r="S79" s="1">
        <f t="shared" ref="S79" si="102">+$C79*Q76*$C$75</f>
        <v>0.2</v>
      </c>
      <c r="T79" s="1">
        <f t="shared" ref="T79" si="103">+$C79*R76*$C$75</f>
        <v>0.2</v>
      </c>
      <c r="U79" s="1">
        <f t="shared" ref="U79" si="104">+$C79*S76*$C$75</f>
        <v>0.2</v>
      </c>
      <c r="V79" s="1">
        <f t="shared" ref="V79" si="105">+$C79*T76*$C$75</f>
        <v>0.2</v>
      </c>
      <c r="W79" s="1">
        <f t="shared" ref="W79" si="106">+$C79*U76*$C$75</f>
        <v>0.2</v>
      </c>
      <c r="X79" s="1">
        <f t="shared" ref="X79" si="107">+$C79*V76*$C$75</f>
        <v>0.2</v>
      </c>
      <c r="Y79" s="1">
        <f t="shared" ref="Y79" si="108">+$C79*W76*$C$75</f>
        <v>0.2</v>
      </c>
      <c r="Z79" s="1">
        <f t="shared" ref="Z79" si="109">+$C79*X76*$C$75</f>
        <v>0.2</v>
      </c>
      <c r="AA79" s="1">
        <f t="shared" ref="AA79" si="110">+$C79*Y76*$C$75</f>
        <v>0.2</v>
      </c>
      <c r="AB79" s="1">
        <f t="shared" ref="AB79" si="111">+$C79*Z76*$C$75</f>
        <v>0.2</v>
      </c>
      <c r="AC79" s="1">
        <f t="shared" ref="AC79" si="112">+$C79*AA76*$C$75</f>
        <v>0.2</v>
      </c>
      <c r="AD79" s="1">
        <f t="shared" ref="AD79" si="113">+$C79*AB76*$C$75</f>
        <v>0.2</v>
      </c>
    </row>
    <row r="80" spans="2:30" ht="15">
      <c r="B80" s="1"/>
      <c r="C80" s="189">
        <v>0.25</v>
      </c>
      <c r="D80" s="178"/>
      <c r="E80" s="1"/>
      <c r="F80" s="1"/>
      <c r="G80" s="1"/>
      <c r="H80" s="1">
        <f>+$C80*E76*$C$75</f>
        <v>0</v>
      </c>
      <c r="I80" s="1">
        <f t="shared" ref="I80:K80" si="114">+$C80*F76*$C$75</f>
        <v>0</v>
      </c>
      <c r="J80" s="1">
        <f t="shared" si="114"/>
        <v>6.25E-2</v>
      </c>
      <c r="K80" s="1">
        <f t="shared" si="114"/>
        <v>0.125</v>
      </c>
      <c r="L80" s="1">
        <f t="shared" ref="L80" si="115">+$C80*I76*$C$75</f>
        <v>0.1875</v>
      </c>
      <c r="M80" s="1">
        <f t="shared" ref="M80" si="116">+$C80*J76*$C$75</f>
        <v>0.25</v>
      </c>
      <c r="N80" s="1">
        <f t="shared" ref="N80" si="117">+$C80*K76*$C$75</f>
        <v>0.25</v>
      </c>
      <c r="O80" s="1">
        <f t="shared" ref="O80" si="118">+$C80*L76*$C$75</f>
        <v>0.25</v>
      </c>
      <c r="P80" s="1">
        <f t="shared" ref="P80" si="119">+$C80*M76*$C$75</f>
        <v>0.25</v>
      </c>
      <c r="Q80" s="1">
        <f t="shared" ref="Q80" si="120">+$C80*N76*$C$75</f>
        <v>0.25</v>
      </c>
      <c r="R80" s="1">
        <f t="shared" ref="R80" si="121">+$C80*O76*$C$75</f>
        <v>0.25</v>
      </c>
      <c r="S80" s="1">
        <f t="shared" ref="S80" si="122">+$C80*P76*$C$75</f>
        <v>0.25</v>
      </c>
      <c r="T80" s="1">
        <f t="shared" ref="T80" si="123">+$C80*Q76*$C$75</f>
        <v>0.25</v>
      </c>
      <c r="U80" s="1">
        <f t="shared" ref="U80" si="124">+$C80*R76*$C$75</f>
        <v>0.25</v>
      </c>
      <c r="V80" s="1">
        <f t="shared" ref="V80" si="125">+$C80*S76*$C$75</f>
        <v>0.25</v>
      </c>
      <c r="W80" s="1">
        <f t="shared" ref="W80" si="126">+$C80*T76*$C$75</f>
        <v>0.25</v>
      </c>
      <c r="X80" s="1">
        <f t="shared" ref="X80" si="127">+$C80*U76*$C$75</f>
        <v>0.25</v>
      </c>
      <c r="Y80" s="1">
        <f t="shared" ref="Y80" si="128">+$C80*V76*$C$75</f>
        <v>0.25</v>
      </c>
      <c r="Z80" s="1">
        <f t="shared" ref="Z80" si="129">+$C80*W76*$C$75</f>
        <v>0.25</v>
      </c>
      <c r="AA80" s="1">
        <f t="shared" ref="AA80" si="130">+$C80*X76*$C$75</f>
        <v>0.25</v>
      </c>
      <c r="AB80" s="1">
        <f t="shared" ref="AB80" si="131">+$C80*Y76*$C$75</f>
        <v>0.25</v>
      </c>
      <c r="AC80" s="1">
        <f t="shared" ref="AC80" si="132">+$C80*Z76*$C$75</f>
        <v>0.25</v>
      </c>
      <c r="AD80" s="1">
        <f t="shared" ref="AD80" si="133">+$C80*AA76*$C$75</f>
        <v>0.25</v>
      </c>
    </row>
    <row r="81" spans="2:32" ht="15">
      <c r="B81" s="1"/>
      <c r="C81" s="189">
        <v>0.3</v>
      </c>
      <c r="D81" s="178"/>
      <c r="E81" s="1"/>
      <c r="F81" s="1"/>
      <c r="G81" s="1"/>
      <c r="H81" s="1"/>
      <c r="I81" s="1">
        <f>+$C81*E76*$C$75</f>
        <v>0</v>
      </c>
      <c r="J81" s="1">
        <f t="shared" ref="J81:K81" si="134">+$C81*F76*$C$75</f>
        <v>0</v>
      </c>
      <c r="K81" s="1">
        <f t="shared" si="134"/>
        <v>7.4999999999999997E-2</v>
      </c>
      <c r="L81" s="1">
        <f t="shared" ref="L81" si="135">+$C81*H76*$C$75</f>
        <v>0.15</v>
      </c>
      <c r="M81" s="1">
        <f t="shared" ref="M81" si="136">+$C81*I76*$C$75</f>
        <v>0.22499999999999998</v>
      </c>
      <c r="N81" s="1">
        <f t="shared" ref="N81" si="137">+$C81*J76*$C$75</f>
        <v>0.3</v>
      </c>
      <c r="O81" s="1">
        <f t="shared" ref="O81" si="138">+$C81*K76*$C$75</f>
        <v>0.3</v>
      </c>
      <c r="P81" s="1">
        <f t="shared" ref="P81" si="139">+$C81*L76*$C$75</f>
        <v>0.3</v>
      </c>
      <c r="Q81" s="1">
        <f t="shared" ref="Q81" si="140">+$C81*M76*$C$75</f>
        <v>0.3</v>
      </c>
      <c r="R81" s="1">
        <f t="shared" ref="R81" si="141">+$C81*N76*$C$75</f>
        <v>0.3</v>
      </c>
      <c r="S81" s="1">
        <f t="shared" ref="S81" si="142">+$C81*O76*$C$75</f>
        <v>0.3</v>
      </c>
      <c r="T81" s="1">
        <f t="shared" ref="T81" si="143">+$C81*P76*$C$75</f>
        <v>0.3</v>
      </c>
      <c r="U81" s="1">
        <f t="shared" ref="U81" si="144">+$C81*Q76*$C$75</f>
        <v>0.3</v>
      </c>
      <c r="V81" s="1">
        <f t="shared" ref="V81" si="145">+$C81*R76*$C$75</f>
        <v>0.3</v>
      </c>
      <c r="W81" s="1">
        <f t="shared" ref="W81" si="146">+$C81*S76*$C$75</f>
        <v>0.3</v>
      </c>
      <c r="X81" s="1">
        <f t="shared" ref="X81" si="147">+$C81*T76*$C$75</f>
        <v>0.3</v>
      </c>
      <c r="Y81" s="1">
        <f t="shared" ref="Y81" si="148">+$C81*U76*$C$75</f>
        <v>0.3</v>
      </c>
      <c r="Z81" s="1">
        <f t="shared" ref="Z81" si="149">+$C81*V76*$C$75</f>
        <v>0.3</v>
      </c>
      <c r="AA81" s="1">
        <f t="shared" ref="AA81" si="150">+$C81*W76*$C$75</f>
        <v>0.3</v>
      </c>
      <c r="AB81" s="1">
        <f t="shared" ref="AB81" si="151">+$C81*X76*$C$75</f>
        <v>0.3</v>
      </c>
      <c r="AC81" s="1">
        <f t="shared" ref="AC81" si="152">+$C81*Y76*$C$75</f>
        <v>0.3</v>
      </c>
      <c r="AD81" s="1">
        <f t="shared" ref="AD81" si="153">+$C81*Z76*$C$75</f>
        <v>0.3</v>
      </c>
    </row>
    <row r="82" spans="2:32" ht="15">
      <c r="B82" s="1"/>
      <c r="C82" s="178">
        <v>0.1</v>
      </c>
      <c r="D82" s="178"/>
      <c r="E82" s="1"/>
      <c r="F82" s="1"/>
      <c r="G82" s="1"/>
      <c r="H82" s="1"/>
      <c r="I82" s="1"/>
      <c r="J82" s="1">
        <f>+$C82*E76*$C$75</f>
        <v>0</v>
      </c>
      <c r="K82" s="1">
        <f>+$C82*F76*$C$75</f>
        <v>0</v>
      </c>
      <c r="L82" s="1">
        <f t="shared" ref="L82:AD82" si="154">+$C82*G76*$C$75</f>
        <v>2.5000000000000001E-2</v>
      </c>
      <c r="M82" s="1">
        <f t="shared" si="154"/>
        <v>0.05</v>
      </c>
      <c r="N82" s="1">
        <f t="shared" si="154"/>
        <v>7.5000000000000011E-2</v>
      </c>
      <c r="O82" s="1">
        <f t="shared" si="154"/>
        <v>0.1</v>
      </c>
      <c r="P82" s="1">
        <f t="shared" si="154"/>
        <v>0.1</v>
      </c>
      <c r="Q82" s="1">
        <f t="shared" si="154"/>
        <v>0.1</v>
      </c>
      <c r="R82" s="1">
        <f t="shared" si="154"/>
        <v>0.1</v>
      </c>
      <c r="S82" s="1">
        <f t="shared" si="154"/>
        <v>0.1</v>
      </c>
      <c r="T82" s="1">
        <f t="shared" si="154"/>
        <v>0.1</v>
      </c>
      <c r="U82" s="1">
        <f t="shared" si="154"/>
        <v>0.1</v>
      </c>
      <c r="V82" s="1">
        <f t="shared" si="154"/>
        <v>0.1</v>
      </c>
      <c r="W82" s="1">
        <f t="shared" si="154"/>
        <v>0.1</v>
      </c>
      <c r="X82" s="1">
        <f t="shared" si="154"/>
        <v>0.1</v>
      </c>
      <c r="Y82" s="1">
        <f t="shared" si="154"/>
        <v>0.1</v>
      </c>
      <c r="Z82" s="1">
        <f t="shared" si="154"/>
        <v>0.1</v>
      </c>
      <c r="AA82" s="1">
        <f t="shared" si="154"/>
        <v>0.1</v>
      </c>
      <c r="AB82" s="1">
        <f t="shared" si="154"/>
        <v>0.1</v>
      </c>
      <c r="AC82" s="1">
        <f t="shared" si="154"/>
        <v>0.1</v>
      </c>
      <c r="AD82" s="1">
        <f t="shared" si="154"/>
        <v>0.1</v>
      </c>
    </row>
    <row r="83" spans="2:32" ht="15">
      <c r="B83" s="1"/>
      <c r="C83" s="178">
        <f>+SUM(C77:C82)</f>
        <v>1.0000000000000002</v>
      </c>
      <c r="D83" s="178"/>
      <c r="E83" s="80">
        <f>SUM(E77:E82)</f>
        <v>0</v>
      </c>
      <c r="F83" s="80">
        <f t="shared" ref="F83:AD83" si="155">SUM(F77:F82)</f>
        <v>0</v>
      </c>
      <c r="G83" s="80">
        <f t="shared" si="155"/>
        <v>1.2500000000000001E-2</v>
      </c>
      <c r="H83" s="80">
        <f t="shared" si="155"/>
        <v>0.05</v>
      </c>
      <c r="I83" s="80">
        <f t="shared" si="155"/>
        <v>0.13750000000000001</v>
      </c>
      <c r="J83" s="80">
        <f t="shared" si="155"/>
        <v>0.28749999999999998</v>
      </c>
      <c r="K83" s="80">
        <f t="shared" si="155"/>
        <v>0.5</v>
      </c>
      <c r="L83" s="80">
        <f t="shared" si="155"/>
        <v>0.71250000000000013</v>
      </c>
      <c r="M83" s="80">
        <f t="shared" si="155"/>
        <v>0.87500000000000011</v>
      </c>
      <c r="N83" s="80">
        <f t="shared" si="155"/>
        <v>0.97500000000000009</v>
      </c>
      <c r="O83" s="80">
        <f t="shared" si="155"/>
        <v>1.0000000000000002</v>
      </c>
      <c r="P83" s="80">
        <f t="shared" si="155"/>
        <v>1.0000000000000002</v>
      </c>
      <c r="Q83" s="80">
        <f t="shared" si="155"/>
        <v>1.0000000000000002</v>
      </c>
      <c r="R83" s="80">
        <f t="shared" si="155"/>
        <v>1.0000000000000002</v>
      </c>
      <c r="S83" s="80">
        <f t="shared" si="155"/>
        <v>1.0000000000000002</v>
      </c>
      <c r="T83" s="80">
        <f t="shared" si="155"/>
        <v>1.0000000000000002</v>
      </c>
      <c r="U83" s="80">
        <f t="shared" si="155"/>
        <v>1.0000000000000002</v>
      </c>
      <c r="V83" s="80">
        <f t="shared" si="155"/>
        <v>1.0000000000000002</v>
      </c>
      <c r="W83" s="80">
        <f t="shared" si="155"/>
        <v>1.0000000000000002</v>
      </c>
      <c r="X83" s="80">
        <f t="shared" si="155"/>
        <v>1.0000000000000002</v>
      </c>
      <c r="Y83" s="80">
        <f t="shared" si="155"/>
        <v>1.0000000000000002</v>
      </c>
      <c r="Z83" s="80">
        <f t="shared" si="155"/>
        <v>1.0000000000000002</v>
      </c>
      <c r="AA83" s="80">
        <f t="shared" si="155"/>
        <v>1.0000000000000002</v>
      </c>
      <c r="AB83" s="80">
        <f t="shared" si="155"/>
        <v>1.0000000000000002</v>
      </c>
      <c r="AC83" s="80">
        <f t="shared" si="155"/>
        <v>1.0000000000000002</v>
      </c>
      <c r="AD83" s="80">
        <f t="shared" si="155"/>
        <v>1.0000000000000002</v>
      </c>
    </row>
    <row r="84" spans="2:32" ht="13.5" thickBot="1">
      <c r="B84" s="12" t="s">
        <v>302</v>
      </c>
    </row>
    <row r="85" spans="2:32" ht="13.5" thickBot="1">
      <c r="C85" s="198">
        <v>0.5</v>
      </c>
    </row>
    <row r="86" spans="2:32" ht="15">
      <c r="B86" s="169" t="str">
        <f>+B45</f>
        <v>Reduction in Feeding Cost</v>
      </c>
      <c r="E86" s="171">
        <f>+E$83*E45*$C$85</f>
        <v>0</v>
      </c>
      <c r="F86" s="171">
        <f t="shared" ref="F86:AD86" si="156">+F$83*F45*$C$85</f>
        <v>0</v>
      </c>
      <c r="G86" s="171">
        <f t="shared" si="156"/>
        <v>4.5514661717364477</v>
      </c>
      <c r="H86" s="171">
        <f t="shared" si="156"/>
        <v>29.188349862471796</v>
      </c>
      <c r="I86" s="171">
        <f t="shared" si="156"/>
        <v>122.83430567123548</v>
      </c>
      <c r="J86" s="171">
        <f t="shared" si="156"/>
        <v>338.03941954360636</v>
      </c>
      <c r="K86" s="171">
        <f t="shared" si="156"/>
        <v>668.08889685213205</v>
      </c>
      <c r="L86" s="171">
        <f t="shared" si="156"/>
        <v>952.02667801428834</v>
      </c>
      <c r="M86" s="171">
        <f t="shared" si="156"/>
        <v>1169.1555694912313</v>
      </c>
      <c r="N86" s="171">
        <f t="shared" si="156"/>
        <v>1302.7733488616577</v>
      </c>
      <c r="O86" s="171">
        <f t="shared" si="156"/>
        <v>1336.1777937042643</v>
      </c>
      <c r="P86" s="171">
        <f t="shared" si="156"/>
        <v>1336.1777937042643</v>
      </c>
      <c r="Q86" s="171">
        <f t="shared" si="156"/>
        <v>1336.1777937042643</v>
      </c>
      <c r="R86" s="171">
        <f t="shared" si="156"/>
        <v>1336.1777937042643</v>
      </c>
      <c r="S86" s="171">
        <f t="shared" si="156"/>
        <v>1336.1777937042643</v>
      </c>
      <c r="T86" s="171">
        <f t="shared" si="156"/>
        <v>1336.1777937042643</v>
      </c>
      <c r="U86" s="171">
        <f t="shared" si="156"/>
        <v>1336.1777937042643</v>
      </c>
      <c r="V86" s="171">
        <f t="shared" si="156"/>
        <v>1336.1777937042643</v>
      </c>
      <c r="W86" s="171">
        <f t="shared" si="156"/>
        <v>1336.1777937042643</v>
      </c>
      <c r="X86" s="171">
        <f t="shared" si="156"/>
        <v>1336.1777937042643</v>
      </c>
      <c r="Y86" s="171">
        <f t="shared" si="156"/>
        <v>1336.1777937042643</v>
      </c>
      <c r="Z86" s="171">
        <f t="shared" si="156"/>
        <v>1336.1777937042643</v>
      </c>
      <c r="AA86" s="171">
        <f t="shared" si="156"/>
        <v>1336.1777937042643</v>
      </c>
      <c r="AB86" s="171">
        <f t="shared" si="156"/>
        <v>1336.1777937042643</v>
      </c>
      <c r="AC86" s="171">
        <f t="shared" si="156"/>
        <v>1336.1777937042643</v>
      </c>
      <c r="AD86" s="171">
        <f t="shared" si="156"/>
        <v>0</v>
      </c>
      <c r="AF86" s="189">
        <f>+AC86/SUM($AC$86:$AC$90)</f>
        <v>0.60457108291045425</v>
      </c>
    </row>
    <row r="87" spans="2:32">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c r="AF87" s="189"/>
    </row>
    <row r="88" spans="2:32" ht="15">
      <c r="B88" s="169" t="str">
        <f>+B48</f>
        <v>Benefit due to reduction in Methane Emissions ( Rs million per annum)</v>
      </c>
      <c r="E88" s="171">
        <f>+E$83*E48*$C$85</f>
        <v>0</v>
      </c>
      <c r="F88" s="171">
        <f t="shared" ref="F88:AD88" si="157">+F$83*F48*$C$85</f>
        <v>0</v>
      </c>
      <c r="G88" s="171">
        <f t="shared" si="157"/>
        <v>0.56387931301406258</v>
      </c>
      <c r="H88" s="171">
        <f t="shared" si="157"/>
        <v>3.6161329223250003</v>
      </c>
      <c r="I88" s="171">
        <f t="shared" si="157"/>
        <v>15.217892714784378</v>
      </c>
      <c r="J88" s="171">
        <f t="shared" si="157"/>
        <v>41.879567697896263</v>
      </c>
      <c r="K88" s="171">
        <f t="shared" si="157"/>
        <v>82.769264666550015</v>
      </c>
      <c r="L88" s="171">
        <f t="shared" si="157"/>
        <v>117.94620214983379</v>
      </c>
      <c r="M88" s="171">
        <f t="shared" si="157"/>
        <v>144.84621316646255</v>
      </c>
      <c r="N88" s="171">
        <f t="shared" si="157"/>
        <v>161.40006609977254</v>
      </c>
      <c r="O88" s="171">
        <f t="shared" si="157"/>
        <v>165.53852933310006</v>
      </c>
      <c r="P88" s="171">
        <f t="shared" si="157"/>
        <v>165.53852933310006</v>
      </c>
      <c r="Q88" s="171">
        <f t="shared" si="157"/>
        <v>165.53852933310006</v>
      </c>
      <c r="R88" s="171">
        <f t="shared" si="157"/>
        <v>165.53852933310006</v>
      </c>
      <c r="S88" s="171">
        <f t="shared" si="157"/>
        <v>165.53852933310006</v>
      </c>
      <c r="T88" s="171">
        <f t="shared" si="157"/>
        <v>165.53852933310006</v>
      </c>
      <c r="U88" s="171">
        <f t="shared" si="157"/>
        <v>165.53852933310006</v>
      </c>
      <c r="V88" s="171">
        <f t="shared" si="157"/>
        <v>165.53852933310006</v>
      </c>
      <c r="W88" s="171">
        <f t="shared" si="157"/>
        <v>165.53852933310006</v>
      </c>
      <c r="X88" s="171">
        <f t="shared" si="157"/>
        <v>165.53852933310006</v>
      </c>
      <c r="Y88" s="171">
        <f t="shared" si="157"/>
        <v>165.53852933310006</v>
      </c>
      <c r="Z88" s="171">
        <f t="shared" si="157"/>
        <v>165.53852933310006</v>
      </c>
      <c r="AA88" s="171">
        <f t="shared" si="157"/>
        <v>165.53852933310006</v>
      </c>
      <c r="AB88" s="171">
        <f t="shared" si="157"/>
        <v>165.53852933310006</v>
      </c>
      <c r="AC88" s="171">
        <f t="shared" si="157"/>
        <v>165.53852933310006</v>
      </c>
      <c r="AD88" s="171">
        <f t="shared" si="157"/>
        <v>0</v>
      </c>
      <c r="AF88" s="189">
        <f>+AC88/SUM($AC$86:$AC$90)</f>
        <v>7.4900068249799792E-2</v>
      </c>
    </row>
    <row r="89" spans="2:32">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F89" s="189"/>
    </row>
    <row r="90" spans="2:32" ht="15">
      <c r="B90" s="169" t="str">
        <f>+B50</f>
        <v>Benefit due to increase in milk productivity (Rs Million pe annum)</v>
      </c>
      <c r="E90" s="171">
        <f>+E$83*E50*$C$85</f>
        <v>0</v>
      </c>
      <c r="F90" s="171">
        <f t="shared" ref="F90:AD90" si="158">+F$83*F50*$C$85</f>
        <v>0</v>
      </c>
      <c r="G90" s="171">
        <f t="shared" si="158"/>
        <v>2.4130764004400933</v>
      </c>
      <c r="H90" s="171">
        <f t="shared" si="158"/>
        <v>15.474951491081411</v>
      </c>
      <c r="I90" s="171">
        <f t="shared" si="158"/>
        <v>65.123754191634262</v>
      </c>
      <c r="J90" s="171">
        <f t="shared" si="158"/>
        <v>179.22025891009477</v>
      </c>
      <c r="K90" s="171">
        <f t="shared" si="158"/>
        <v>354.20444524030779</v>
      </c>
      <c r="L90" s="171">
        <f t="shared" si="158"/>
        <v>504.74133446743872</v>
      </c>
      <c r="M90" s="171">
        <f t="shared" si="158"/>
        <v>619.85777917053872</v>
      </c>
      <c r="N90" s="171">
        <f t="shared" si="158"/>
        <v>690.69866821860023</v>
      </c>
      <c r="O90" s="171">
        <f t="shared" si="158"/>
        <v>708.4088904806157</v>
      </c>
      <c r="P90" s="171">
        <f t="shared" si="158"/>
        <v>708.4088904806157</v>
      </c>
      <c r="Q90" s="171">
        <f t="shared" si="158"/>
        <v>708.4088904806157</v>
      </c>
      <c r="R90" s="171">
        <f t="shared" si="158"/>
        <v>708.4088904806157</v>
      </c>
      <c r="S90" s="171">
        <f t="shared" si="158"/>
        <v>708.4088904806157</v>
      </c>
      <c r="T90" s="171">
        <f t="shared" si="158"/>
        <v>708.4088904806157</v>
      </c>
      <c r="U90" s="171">
        <f t="shared" si="158"/>
        <v>708.4088904806157</v>
      </c>
      <c r="V90" s="171">
        <f t="shared" si="158"/>
        <v>708.4088904806157</v>
      </c>
      <c r="W90" s="171">
        <f t="shared" si="158"/>
        <v>708.4088904806157</v>
      </c>
      <c r="X90" s="171">
        <f t="shared" si="158"/>
        <v>708.4088904806157</v>
      </c>
      <c r="Y90" s="171">
        <f t="shared" si="158"/>
        <v>708.4088904806157</v>
      </c>
      <c r="Z90" s="171">
        <f t="shared" si="158"/>
        <v>708.4088904806157</v>
      </c>
      <c r="AA90" s="171">
        <f t="shared" si="158"/>
        <v>708.4088904806157</v>
      </c>
      <c r="AB90" s="171">
        <f t="shared" si="158"/>
        <v>708.4088904806157</v>
      </c>
      <c r="AC90" s="171">
        <f t="shared" si="158"/>
        <v>708.4088904806157</v>
      </c>
      <c r="AD90" s="171">
        <f t="shared" si="158"/>
        <v>0</v>
      </c>
      <c r="AF90" s="189">
        <f>+AC90/SUM($AC$86:$AC$90)</f>
        <v>0.32052884883974586</v>
      </c>
    </row>
    <row r="92" spans="2:32">
      <c r="AC92" s="151">
        <f>+SUM(AC86:AC90)</f>
        <v>2210.1252135179802</v>
      </c>
    </row>
  </sheetData>
  <pageMargins left="0.75" right="0.75" top="1" bottom="1" header="0.5" footer="0.5"/>
  <pageSetup orientation="portrait"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dimension ref="A1:AF90"/>
  <sheetViews>
    <sheetView workbookViewId="0">
      <pane xSplit="2" ySplit="4" topLeftCell="C49" activePane="bottomRight" state="frozen"/>
      <selection pane="topRight" activeCell="C1" sqref="C1"/>
      <selection pane="bottomLeft" activeCell="A5" sqref="A5"/>
      <selection pane="bottomRight" activeCell="C61" sqref="C61:C63"/>
    </sheetView>
  </sheetViews>
  <sheetFormatPr defaultRowHeight="12.75"/>
  <cols>
    <col min="1" max="1" width="2.7109375" style="12" customWidth="1"/>
    <col min="2" max="2" width="68.85546875" style="12" customWidth="1"/>
    <col min="3" max="4" width="13.7109375" style="12" customWidth="1"/>
    <col min="5" max="5" width="13" style="12" customWidth="1"/>
    <col min="6" max="6" width="10.140625" style="12" bestFit="1" customWidth="1"/>
    <col min="7" max="19" width="10" style="12" bestFit="1" customWidth="1"/>
    <col min="20" max="29" width="10.5703125" style="12" bestFit="1" customWidth="1"/>
    <col min="30" max="257" width="9.140625" style="12"/>
    <col min="258" max="258" width="2.7109375" style="12" customWidth="1"/>
    <col min="259" max="259" width="63.85546875" style="12" customWidth="1"/>
    <col min="260" max="260" width="8.42578125" style="12" customWidth="1"/>
    <col min="261" max="261" width="7.85546875" style="12" customWidth="1"/>
    <col min="262" max="262" width="10" style="12" bestFit="1" customWidth="1"/>
    <col min="263" max="513" width="9.140625" style="12"/>
    <col min="514" max="514" width="2.7109375" style="12" customWidth="1"/>
    <col min="515" max="515" width="63.85546875" style="12" customWidth="1"/>
    <col min="516" max="516" width="8.42578125" style="12" customWidth="1"/>
    <col min="517" max="517" width="7.85546875" style="12" customWidth="1"/>
    <col min="518" max="518" width="10" style="12" bestFit="1" customWidth="1"/>
    <col min="519" max="769" width="9.140625" style="12"/>
    <col min="770" max="770" width="2.7109375" style="12" customWidth="1"/>
    <col min="771" max="771" width="63.85546875" style="12" customWidth="1"/>
    <col min="772" max="772" width="8.42578125" style="12" customWidth="1"/>
    <col min="773" max="773" width="7.85546875" style="12" customWidth="1"/>
    <col min="774" max="774" width="10" style="12" bestFit="1" customWidth="1"/>
    <col min="775" max="1025" width="9.140625" style="12"/>
    <col min="1026" max="1026" width="2.7109375" style="12" customWidth="1"/>
    <col min="1027" max="1027" width="63.85546875" style="12" customWidth="1"/>
    <col min="1028" max="1028" width="8.42578125" style="12" customWidth="1"/>
    <col min="1029" max="1029" width="7.85546875" style="12" customWidth="1"/>
    <col min="1030" max="1030" width="10" style="12" bestFit="1" customWidth="1"/>
    <col min="1031" max="1281" width="9.140625" style="12"/>
    <col min="1282" max="1282" width="2.7109375" style="12" customWidth="1"/>
    <col min="1283" max="1283" width="63.85546875" style="12" customWidth="1"/>
    <col min="1284" max="1284" width="8.42578125" style="12" customWidth="1"/>
    <col min="1285" max="1285" width="7.85546875" style="12" customWidth="1"/>
    <col min="1286" max="1286" width="10" style="12" bestFit="1" customWidth="1"/>
    <col min="1287" max="1537" width="9.140625" style="12"/>
    <col min="1538" max="1538" width="2.7109375" style="12" customWidth="1"/>
    <col min="1539" max="1539" width="63.85546875" style="12" customWidth="1"/>
    <col min="1540" max="1540" width="8.42578125" style="12" customWidth="1"/>
    <col min="1541" max="1541" width="7.85546875" style="12" customWidth="1"/>
    <col min="1542" max="1542" width="10" style="12" bestFit="1" customWidth="1"/>
    <col min="1543" max="1793" width="9.140625" style="12"/>
    <col min="1794" max="1794" width="2.7109375" style="12" customWidth="1"/>
    <col min="1795" max="1795" width="63.85546875" style="12" customWidth="1"/>
    <col min="1796" max="1796" width="8.42578125" style="12" customWidth="1"/>
    <col min="1797" max="1797" width="7.85546875" style="12" customWidth="1"/>
    <col min="1798" max="1798" width="10" style="12" bestFit="1" customWidth="1"/>
    <col min="1799" max="2049" width="9.140625" style="12"/>
    <col min="2050" max="2050" width="2.7109375" style="12" customWidth="1"/>
    <col min="2051" max="2051" width="63.85546875" style="12" customWidth="1"/>
    <col min="2052" max="2052" width="8.42578125" style="12" customWidth="1"/>
    <col min="2053" max="2053" width="7.85546875" style="12" customWidth="1"/>
    <col min="2054" max="2054" width="10" style="12" bestFit="1" customWidth="1"/>
    <col min="2055" max="2305" width="9.140625" style="12"/>
    <col min="2306" max="2306" width="2.7109375" style="12" customWidth="1"/>
    <col min="2307" max="2307" width="63.85546875" style="12" customWidth="1"/>
    <col min="2308" max="2308" width="8.42578125" style="12" customWidth="1"/>
    <col min="2309" max="2309" width="7.85546875" style="12" customWidth="1"/>
    <col min="2310" max="2310" width="10" style="12" bestFit="1" customWidth="1"/>
    <col min="2311" max="2561" width="9.140625" style="12"/>
    <col min="2562" max="2562" width="2.7109375" style="12" customWidth="1"/>
    <col min="2563" max="2563" width="63.85546875" style="12" customWidth="1"/>
    <col min="2564" max="2564" width="8.42578125" style="12" customWidth="1"/>
    <col min="2565" max="2565" width="7.85546875" style="12" customWidth="1"/>
    <col min="2566" max="2566" width="10" style="12" bestFit="1" customWidth="1"/>
    <col min="2567" max="2817" width="9.140625" style="12"/>
    <col min="2818" max="2818" width="2.7109375" style="12" customWidth="1"/>
    <col min="2819" max="2819" width="63.85546875" style="12" customWidth="1"/>
    <col min="2820" max="2820" width="8.42578125" style="12" customWidth="1"/>
    <col min="2821" max="2821" width="7.85546875" style="12" customWidth="1"/>
    <col min="2822" max="2822" width="10" style="12" bestFit="1" customWidth="1"/>
    <col min="2823" max="3073" width="9.140625" style="12"/>
    <col min="3074" max="3074" width="2.7109375" style="12" customWidth="1"/>
    <col min="3075" max="3075" width="63.85546875" style="12" customWidth="1"/>
    <col min="3076" max="3076" width="8.42578125" style="12" customWidth="1"/>
    <col min="3077" max="3077" width="7.85546875" style="12" customWidth="1"/>
    <col min="3078" max="3078" width="10" style="12" bestFit="1" customWidth="1"/>
    <col min="3079" max="3329" width="9.140625" style="12"/>
    <col min="3330" max="3330" width="2.7109375" style="12" customWidth="1"/>
    <col min="3331" max="3331" width="63.85546875" style="12" customWidth="1"/>
    <col min="3332" max="3332" width="8.42578125" style="12" customWidth="1"/>
    <col min="3333" max="3333" width="7.85546875" style="12" customWidth="1"/>
    <col min="3334" max="3334" width="10" style="12" bestFit="1" customWidth="1"/>
    <col min="3335" max="3585" width="9.140625" style="12"/>
    <col min="3586" max="3586" width="2.7109375" style="12" customWidth="1"/>
    <col min="3587" max="3587" width="63.85546875" style="12" customWidth="1"/>
    <col min="3588" max="3588" width="8.42578125" style="12" customWidth="1"/>
    <col min="3589" max="3589" width="7.85546875" style="12" customWidth="1"/>
    <col min="3590" max="3590" width="10" style="12" bestFit="1" customWidth="1"/>
    <col min="3591" max="3841" width="9.140625" style="12"/>
    <col min="3842" max="3842" width="2.7109375" style="12" customWidth="1"/>
    <col min="3843" max="3843" width="63.85546875" style="12" customWidth="1"/>
    <col min="3844" max="3844" width="8.42578125" style="12" customWidth="1"/>
    <col min="3845" max="3845" width="7.85546875" style="12" customWidth="1"/>
    <col min="3846" max="3846" width="10" style="12" bestFit="1" customWidth="1"/>
    <col min="3847" max="4097" width="9.140625" style="12"/>
    <col min="4098" max="4098" width="2.7109375" style="12" customWidth="1"/>
    <col min="4099" max="4099" width="63.85546875" style="12" customWidth="1"/>
    <col min="4100" max="4100" width="8.42578125" style="12" customWidth="1"/>
    <col min="4101" max="4101" width="7.85546875" style="12" customWidth="1"/>
    <col min="4102" max="4102" width="10" style="12" bestFit="1" customWidth="1"/>
    <col min="4103" max="4353" width="9.140625" style="12"/>
    <col min="4354" max="4354" width="2.7109375" style="12" customWidth="1"/>
    <col min="4355" max="4355" width="63.85546875" style="12" customWidth="1"/>
    <col min="4356" max="4356" width="8.42578125" style="12" customWidth="1"/>
    <col min="4357" max="4357" width="7.85546875" style="12" customWidth="1"/>
    <col min="4358" max="4358" width="10" style="12" bestFit="1" customWidth="1"/>
    <col min="4359" max="4609" width="9.140625" style="12"/>
    <col min="4610" max="4610" width="2.7109375" style="12" customWidth="1"/>
    <col min="4611" max="4611" width="63.85546875" style="12" customWidth="1"/>
    <col min="4612" max="4612" width="8.42578125" style="12" customWidth="1"/>
    <col min="4613" max="4613" width="7.85546875" style="12" customWidth="1"/>
    <col min="4614" max="4614" width="10" style="12" bestFit="1" customWidth="1"/>
    <col min="4615" max="4865" width="9.140625" style="12"/>
    <col min="4866" max="4866" width="2.7109375" style="12" customWidth="1"/>
    <col min="4867" max="4867" width="63.85546875" style="12" customWidth="1"/>
    <col min="4868" max="4868" width="8.42578125" style="12" customWidth="1"/>
    <col min="4869" max="4869" width="7.85546875" style="12" customWidth="1"/>
    <col min="4870" max="4870" width="10" style="12" bestFit="1" customWidth="1"/>
    <col min="4871" max="5121" width="9.140625" style="12"/>
    <col min="5122" max="5122" width="2.7109375" style="12" customWidth="1"/>
    <col min="5123" max="5123" width="63.85546875" style="12" customWidth="1"/>
    <col min="5124" max="5124" width="8.42578125" style="12" customWidth="1"/>
    <col min="5125" max="5125" width="7.85546875" style="12" customWidth="1"/>
    <col min="5126" max="5126" width="10" style="12" bestFit="1" customWidth="1"/>
    <col min="5127" max="5377" width="9.140625" style="12"/>
    <col min="5378" max="5378" width="2.7109375" style="12" customWidth="1"/>
    <col min="5379" max="5379" width="63.85546875" style="12" customWidth="1"/>
    <col min="5380" max="5380" width="8.42578125" style="12" customWidth="1"/>
    <col min="5381" max="5381" width="7.85546875" style="12" customWidth="1"/>
    <col min="5382" max="5382" width="10" style="12" bestFit="1" customWidth="1"/>
    <col min="5383" max="5633" width="9.140625" style="12"/>
    <col min="5634" max="5634" width="2.7109375" style="12" customWidth="1"/>
    <col min="5635" max="5635" width="63.85546875" style="12" customWidth="1"/>
    <col min="5636" max="5636" width="8.42578125" style="12" customWidth="1"/>
    <col min="5637" max="5637" width="7.85546875" style="12" customWidth="1"/>
    <col min="5638" max="5638" width="10" style="12" bestFit="1" customWidth="1"/>
    <col min="5639" max="5889" width="9.140625" style="12"/>
    <col min="5890" max="5890" width="2.7109375" style="12" customWidth="1"/>
    <col min="5891" max="5891" width="63.85546875" style="12" customWidth="1"/>
    <col min="5892" max="5892" width="8.42578125" style="12" customWidth="1"/>
    <col min="5893" max="5893" width="7.85546875" style="12" customWidth="1"/>
    <col min="5894" max="5894" width="10" style="12" bestFit="1" customWidth="1"/>
    <col min="5895" max="6145" width="9.140625" style="12"/>
    <col min="6146" max="6146" width="2.7109375" style="12" customWidth="1"/>
    <col min="6147" max="6147" width="63.85546875" style="12" customWidth="1"/>
    <col min="6148" max="6148" width="8.42578125" style="12" customWidth="1"/>
    <col min="6149" max="6149" width="7.85546875" style="12" customWidth="1"/>
    <col min="6150" max="6150" width="10" style="12" bestFit="1" customWidth="1"/>
    <col min="6151" max="6401" width="9.140625" style="12"/>
    <col min="6402" max="6402" width="2.7109375" style="12" customWidth="1"/>
    <col min="6403" max="6403" width="63.85546875" style="12" customWidth="1"/>
    <col min="6404" max="6404" width="8.42578125" style="12" customWidth="1"/>
    <col min="6405" max="6405" width="7.85546875" style="12" customWidth="1"/>
    <col min="6406" max="6406" width="10" style="12" bestFit="1" customWidth="1"/>
    <col min="6407" max="6657" width="9.140625" style="12"/>
    <col min="6658" max="6658" width="2.7109375" style="12" customWidth="1"/>
    <col min="6659" max="6659" width="63.85546875" style="12" customWidth="1"/>
    <col min="6660" max="6660" width="8.42578125" style="12" customWidth="1"/>
    <col min="6661" max="6661" width="7.85546875" style="12" customWidth="1"/>
    <col min="6662" max="6662" width="10" style="12" bestFit="1" customWidth="1"/>
    <col min="6663" max="6913" width="9.140625" style="12"/>
    <col min="6914" max="6914" width="2.7109375" style="12" customWidth="1"/>
    <col min="6915" max="6915" width="63.85546875" style="12" customWidth="1"/>
    <col min="6916" max="6916" width="8.42578125" style="12" customWidth="1"/>
    <col min="6917" max="6917" width="7.85546875" style="12" customWidth="1"/>
    <col min="6918" max="6918" width="10" style="12" bestFit="1" customWidth="1"/>
    <col min="6919" max="7169" width="9.140625" style="12"/>
    <col min="7170" max="7170" width="2.7109375" style="12" customWidth="1"/>
    <col min="7171" max="7171" width="63.85546875" style="12" customWidth="1"/>
    <col min="7172" max="7172" width="8.42578125" style="12" customWidth="1"/>
    <col min="7173" max="7173" width="7.85546875" style="12" customWidth="1"/>
    <col min="7174" max="7174" width="10" style="12" bestFit="1" customWidth="1"/>
    <col min="7175" max="7425" width="9.140625" style="12"/>
    <col min="7426" max="7426" width="2.7109375" style="12" customWidth="1"/>
    <col min="7427" max="7427" width="63.85546875" style="12" customWidth="1"/>
    <col min="7428" max="7428" width="8.42578125" style="12" customWidth="1"/>
    <col min="7429" max="7429" width="7.85546875" style="12" customWidth="1"/>
    <col min="7430" max="7430" width="10" style="12" bestFit="1" customWidth="1"/>
    <col min="7431" max="7681" width="9.140625" style="12"/>
    <col min="7682" max="7682" width="2.7109375" style="12" customWidth="1"/>
    <col min="7683" max="7683" width="63.85546875" style="12" customWidth="1"/>
    <col min="7684" max="7684" width="8.42578125" style="12" customWidth="1"/>
    <col min="7685" max="7685" width="7.85546875" style="12" customWidth="1"/>
    <col min="7686" max="7686" width="10" style="12" bestFit="1" customWidth="1"/>
    <col min="7687" max="7937" width="9.140625" style="12"/>
    <col min="7938" max="7938" width="2.7109375" style="12" customWidth="1"/>
    <col min="7939" max="7939" width="63.85546875" style="12" customWidth="1"/>
    <col min="7940" max="7940" width="8.42578125" style="12" customWidth="1"/>
    <col min="7941" max="7941" width="7.85546875" style="12" customWidth="1"/>
    <col min="7942" max="7942" width="10" style="12" bestFit="1" customWidth="1"/>
    <col min="7943" max="8193" width="9.140625" style="12"/>
    <col min="8194" max="8194" width="2.7109375" style="12" customWidth="1"/>
    <col min="8195" max="8195" width="63.85546875" style="12" customWidth="1"/>
    <col min="8196" max="8196" width="8.42578125" style="12" customWidth="1"/>
    <col min="8197" max="8197" width="7.85546875" style="12" customWidth="1"/>
    <col min="8198" max="8198" width="10" style="12" bestFit="1" customWidth="1"/>
    <col min="8199" max="8449" width="9.140625" style="12"/>
    <col min="8450" max="8450" width="2.7109375" style="12" customWidth="1"/>
    <col min="8451" max="8451" width="63.85546875" style="12" customWidth="1"/>
    <col min="8452" max="8452" width="8.42578125" style="12" customWidth="1"/>
    <col min="8453" max="8453" width="7.85546875" style="12" customWidth="1"/>
    <col min="8454" max="8454" width="10" style="12" bestFit="1" customWidth="1"/>
    <col min="8455" max="8705" width="9.140625" style="12"/>
    <col min="8706" max="8706" width="2.7109375" style="12" customWidth="1"/>
    <col min="8707" max="8707" width="63.85546875" style="12" customWidth="1"/>
    <col min="8708" max="8708" width="8.42578125" style="12" customWidth="1"/>
    <col min="8709" max="8709" width="7.85546875" style="12" customWidth="1"/>
    <col min="8710" max="8710" width="10" style="12" bestFit="1" customWidth="1"/>
    <col min="8711" max="8961" width="9.140625" style="12"/>
    <col min="8962" max="8962" width="2.7109375" style="12" customWidth="1"/>
    <col min="8963" max="8963" width="63.85546875" style="12" customWidth="1"/>
    <col min="8964" max="8964" width="8.42578125" style="12" customWidth="1"/>
    <col min="8965" max="8965" width="7.85546875" style="12" customWidth="1"/>
    <col min="8966" max="8966" width="10" style="12" bestFit="1" customWidth="1"/>
    <col min="8967" max="9217" width="9.140625" style="12"/>
    <col min="9218" max="9218" width="2.7109375" style="12" customWidth="1"/>
    <col min="9219" max="9219" width="63.85546875" style="12" customWidth="1"/>
    <col min="9220" max="9220" width="8.42578125" style="12" customWidth="1"/>
    <col min="9221" max="9221" width="7.85546875" style="12" customWidth="1"/>
    <col min="9222" max="9222" width="10" style="12" bestFit="1" customWidth="1"/>
    <col min="9223" max="9473" width="9.140625" style="12"/>
    <col min="9474" max="9474" width="2.7109375" style="12" customWidth="1"/>
    <col min="9475" max="9475" width="63.85546875" style="12" customWidth="1"/>
    <col min="9476" max="9476" width="8.42578125" style="12" customWidth="1"/>
    <col min="9477" max="9477" width="7.85546875" style="12" customWidth="1"/>
    <col min="9478" max="9478" width="10" style="12" bestFit="1" customWidth="1"/>
    <col min="9479" max="9729" width="9.140625" style="12"/>
    <col min="9730" max="9730" width="2.7109375" style="12" customWidth="1"/>
    <col min="9731" max="9731" width="63.85546875" style="12" customWidth="1"/>
    <col min="9732" max="9732" width="8.42578125" style="12" customWidth="1"/>
    <col min="9733" max="9733" width="7.85546875" style="12" customWidth="1"/>
    <col min="9734" max="9734" width="10" style="12" bestFit="1" customWidth="1"/>
    <col min="9735" max="9985" width="9.140625" style="12"/>
    <col min="9986" max="9986" width="2.7109375" style="12" customWidth="1"/>
    <col min="9987" max="9987" width="63.85546875" style="12" customWidth="1"/>
    <col min="9988" max="9988" width="8.42578125" style="12" customWidth="1"/>
    <col min="9989" max="9989" width="7.85546875" style="12" customWidth="1"/>
    <col min="9990" max="9990" width="10" style="12" bestFit="1" customWidth="1"/>
    <col min="9991" max="10241" width="9.140625" style="12"/>
    <col min="10242" max="10242" width="2.7109375" style="12" customWidth="1"/>
    <col min="10243" max="10243" width="63.85546875" style="12" customWidth="1"/>
    <col min="10244" max="10244" width="8.42578125" style="12" customWidth="1"/>
    <col min="10245" max="10245" width="7.85546875" style="12" customWidth="1"/>
    <col min="10246" max="10246" width="10" style="12" bestFit="1" customWidth="1"/>
    <col min="10247" max="10497" width="9.140625" style="12"/>
    <col min="10498" max="10498" width="2.7109375" style="12" customWidth="1"/>
    <col min="10499" max="10499" width="63.85546875" style="12" customWidth="1"/>
    <col min="10500" max="10500" width="8.42578125" style="12" customWidth="1"/>
    <col min="10501" max="10501" width="7.85546875" style="12" customWidth="1"/>
    <col min="10502" max="10502" width="10" style="12" bestFit="1" customWidth="1"/>
    <col min="10503" max="10753" width="9.140625" style="12"/>
    <col min="10754" max="10754" width="2.7109375" style="12" customWidth="1"/>
    <col min="10755" max="10755" width="63.85546875" style="12" customWidth="1"/>
    <col min="10756" max="10756" width="8.42578125" style="12" customWidth="1"/>
    <col min="10757" max="10757" width="7.85546875" style="12" customWidth="1"/>
    <col min="10758" max="10758" width="10" style="12" bestFit="1" customWidth="1"/>
    <col min="10759" max="11009" width="9.140625" style="12"/>
    <col min="11010" max="11010" width="2.7109375" style="12" customWidth="1"/>
    <col min="11011" max="11011" width="63.85546875" style="12" customWidth="1"/>
    <col min="11012" max="11012" width="8.42578125" style="12" customWidth="1"/>
    <col min="11013" max="11013" width="7.85546875" style="12" customWidth="1"/>
    <col min="11014" max="11014" width="10" style="12" bestFit="1" customWidth="1"/>
    <col min="11015" max="11265" width="9.140625" style="12"/>
    <col min="11266" max="11266" width="2.7109375" style="12" customWidth="1"/>
    <col min="11267" max="11267" width="63.85546875" style="12" customWidth="1"/>
    <col min="11268" max="11268" width="8.42578125" style="12" customWidth="1"/>
    <col min="11269" max="11269" width="7.85546875" style="12" customWidth="1"/>
    <col min="11270" max="11270" width="10" style="12" bestFit="1" customWidth="1"/>
    <col min="11271" max="11521" width="9.140625" style="12"/>
    <col min="11522" max="11522" width="2.7109375" style="12" customWidth="1"/>
    <col min="11523" max="11523" width="63.85546875" style="12" customWidth="1"/>
    <col min="11524" max="11524" width="8.42578125" style="12" customWidth="1"/>
    <col min="11525" max="11525" width="7.85546875" style="12" customWidth="1"/>
    <col min="11526" max="11526" width="10" style="12" bestFit="1" customWidth="1"/>
    <col min="11527" max="11777" width="9.140625" style="12"/>
    <col min="11778" max="11778" width="2.7109375" style="12" customWidth="1"/>
    <col min="11779" max="11779" width="63.85546875" style="12" customWidth="1"/>
    <col min="11780" max="11780" width="8.42578125" style="12" customWidth="1"/>
    <col min="11781" max="11781" width="7.85546875" style="12" customWidth="1"/>
    <col min="11782" max="11782" width="10" style="12" bestFit="1" customWidth="1"/>
    <col min="11783" max="12033" width="9.140625" style="12"/>
    <col min="12034" max="12034" width="2.7109375" style="12" customWidth="1"/>
    <col min="12035" max="12035" width="63.85546875" style="12" customWidth="1"/>
    <col min="12036" max="12036" width="8.42578125" style="12" customWidth="1"/>
    <col min="12037" max="12037" width="7.85546875" style="12" customWidth="1"/>
    <col min="12038" max="12038" width="10" style="12" bestFit="1" customWidth="1"/>
    <col min="12039" max="12289" width="9.140625" style="12"/>
    <col min="12290" max="12290" width="2.7109375" style="12" customWidth="1"/>
    <col min="12291" max="12291" width="63.85546875" style="12" customWidth="1"/>
    <col min="12292" max="12292" width="8.42578125" style="12" customWidth="1"/>
    <col min="12293" max="12293" width="7.85546875" style="12" customWidth="1"/>
    <col min="12294" max="12294" width="10" style="12" bestFit="1" customWidth="1"/>
    <col min="12295" max="12545" width="9.140625" style="12"/>
    <col min="12546" max="12546" width="2.7109375" style="12" customWidth="1"/>
    <col min="12547" max="12547" width="63.85546875" style="12" customWidth="1"/>
    <col min="12548" max="12548" width="8.42578125" style="12" customWidth="1"/>
    <col min="12549" max="12549" width="7.85546875" style="12" customWidth="1"/>
    <col min="12550" max="12550" width="10" style="12" bestFit="1" customWidth="1"/>
    <col min="12551" max="12801" width="9.140625" style="12"/>
    <col min="12802" max="12802" width="2.7109375" style="12" customWidth="1"/>
    <col min="12803" max="12803" width="63.85546875" style="12" customWidth="1"/>
    <col min="12804" max="12804" width="8.42578125" style="12" customWidth="1"/>
    <col min="12805" max="12805" width="7.85546875" style="12" customWidth="1"/>
    <col min="12806" max="12806" width="10" style="12" bestFit="1" customWidth="1"/>
    <col min="12807" max="13057" width="9.140625" style="12"/>
    <col min="13058" max="13058" width="2.7109375" style="12" customWidth="1"/>
    <col min="13059" max="13059" width="63.85546875" style="12" customWidth="1"/>
    <col min="13060" max="13060" width="8.42578125" style="12" customWidth="1"/>
    <col min="13061" max="13061" width="7.85546875" style="12" customWidth="1"/>
    <col min="13062" max="13062" width="10" style="12" bestFit="1" customWidth="1"/>
    <col min="13063" max="13313" width="9.140625" style="12"/>
    <col min="13314" max="13314" width="2.7109375" style="12" customWidth="1"/>
    <col min="13315" max="13315" width="63.85546875" style="12" customWidth="1"/>
    <col min="13316" max="13316" width="8.42578125" style="12" customWidth="1"/>
    <col min="13317" max="13317" width="7.85546875" style="12" customWidth="1"/>
    <col min="13318" max="13318" width="10" style="12" bestFit="1" customWidth="1"/>
    <col min="13319" max="13569" width="9.140625" style="12"/>
    <col min="13570" max="13570" width="2.7109375" style="12" customWidth="1"/>
    <col min="13571" max="13571" width="63.85546875" style="12" customWidth="1"/>
    <col min="13572" max="13572" width="8.42578125" style="12" customWidth="1"/>
    <col min="13573" max="13573" width="7.85546875" style="12" customWidth="1"/>
    <col min="13574" max="13574" width="10" style="12" bestFit="1" customWidth="1"/>
    <col min="13575" max="13825" width="9.140625" style="12"/>
    <col min="13826" max="13826" width="2.7109375" style="12" customWidth="1"/>
    <col min="13827" max="13827" width="63.85546875" style="12" customWidth="1"/>
    <col min="13828" max="13828" width="8.42578125" style="12" customWidth="1"/>
    <col min="13829" max="13829" width="7.85546875" style="12" customWidth="1"/>
    <col min="13830" max="13830" width="10" style="12" bestFit="1" customWidth="1"/>
    <col min="13831" max="14081" width="9.140625" style="12"/>
    <col min="14082" max="14082" width="2.7109375" style="12" customWidth="1"/>
    <col min="14083" max="14083" width="63.85546875" style="12" customWidth="1"/>
    <col min="14084" max="14084" width="8.42578125" style="12" customWidth="1"/>
    <col min="14085" max="14085" width="7.85546875" style="12" customWidth="1"/>
    <col min="14086" max="14086" width="10" style="12" bestFit="1" customWidth="1"/>
    <col min="14087" max="14337" width="9.140625" style="12"/>
    <col min="14338" max="14338" width="2.7109375" style="12" customWidth="1"/>
    <col min="14339" max="14339" width="63.85546875" style="12" customWidth="1"/>
    <col min="14340" max="14340" width="8.42578125" style="12" customWidth="1"/>
    <col min="14341" max="14341" width="7.85546875" style="12" customWidth="1"/>
    <col min="14342" max="14342" width="10" style="12" bestFit="1" customWidth="1"/>
    <col min="14343" max="14593" width="9.140625" style="12"/>
    <col min="14594" max="14594" width="2.7109375" style="12" customWidth="1"/>
    <col min="14595" max="14595" width="63.85546875" style="12" customWidth="1"/>
    <col min="14596" max="14596" width="8.42578125" style="12" customWidth="1"/>
    <col min="14597" max="14597" width="7.85546875" style="12" customWidth="1"/>
    <col min="14598" max="14598" width="10" style="12" bestFit="1" customWidth="1"/>
    <col min="14599" max="14849" width="9.140625" style="12"/>
    <col min="14850" max="14850" width="2.7109375" style="12" customWidth="1"/>
    <col min="14851" max="14851" width="63.85546875" style="12" customWidth="1"/>
    <col min="14852" max="14852" width="8.42578125" style="12" customWidth="1"/>
    <col min="14853" max="14853" width="7.85546875" style="12" customWidth="1"/>
    <col min="14854" max="14854" width="10" style="12" bestFit="1" customWidth="1"/>
    <col min="14855" max="15105" width="9.140625" style="12"/>
    <col min="15106" max="15106" width="2.7109375" style="12" customWidth="1"/>
    <col min="15107" max="15107" width="63.85546875" style="12" customWidth="1"/>
    <col min="15108" max="15108" width="8.42578125" style="12" customWidth="1"/>
    <col min="15109" max="15109" width="7.85546875" style="12" customWidth="1"/>
    <col min="15110" max="15110" width="10" style="12" bestFit="1" customWidth="1"/>
    <col min="15111" max="15361" width="9.140625" style="12"/>
    <col min="15362" max="15362" width="2.7109375" style="12" customWidth="1"/>
    <col min="15363" max="15363" width="63.85546875" style="12" customWidth="1"/>
    <col min="15364" max="15364" width="8.42578125" style="12" customWidth="1"/>
    <col min="15365" max="15365" width="7.85546875" style="12" customWidth="1"/>
    <col min="15366" max="15366" width="10" style="12" bestFit="1" customWidth="1"/>
    <col min="15367" max="15617" width="9.140625" style="12"/>
    <col min="15618" max="15618" width="2.7109375" style="12" customWidth="1"/>
    <col min="15619" max="15619" width="63.85546875" style="12" customWidth="1"/>
    <col min="15620" max="15620" width="8.42578125" style="12" customWidth="1"/>
    <col min="15621" max="15621" width="7.85546875" style="12" customWidth="1"/>
    <col min="15622" max="15622" width="10" style="12" bestFit="1" customWidth="1"/>
    <col min="15623" max="15873" width="9.140625" style="12"/>
    <col min="15874" max="15874" width="2.7109375" style="12" customWidth="1"/>
    <col min="15875" max="15875" width="63.85546875" style="12" customWidth="1"/>
    <col min="15876" max="15876" width="8.42578125" style="12" customWidth="1"/>
    <col min="15877" max="15877" width="7.85546875" style="12" customWidth="1"/>
    <col min="15878" max="15878" width="10" style="12" bestFit="1" customWidth="1"/>
    <col min="15879" max="16129" width="9.140625" style="12"/>
    <col min="16130" max="16130" width="2.7109375" style="12" customWidth="1"/>
    <col min="16131" max="16131" width="63.85546875" style="12" customWidth="1"/>
    <col min="16132" max="16132" width="8.42578125" style="12" customWidth="1"/>
    <col min="16133" max="16133" width="7.85546875" style="12" customWidth="1"/>
    <col min="16134" max="16134" width="10" style="12" bestFit="1" customWidth="1"/>
    <col min="16135" max="16384" width="9.140625" style="12"/>
  </cols>
  <sheetData>
    <row r="1" spans="1:31">
      <c r="A1" s="11" t="s">
        <v>48</v>
      </c>
      <c r="B1" s="11"/>
      <c r="C1" s="11"/>
      <c r="D1" s="11"/>
    </row>
    <row r="2" spans="1:31">
      <c r="A2" s="11"/>
      <c r="B2" s="47"/>
      <c r="C2" s="11" t="s">
        <v>51</v>
      </c>
      <c r="D2" s="11"/>
      <c r="E2" s="11" t="s">
        <v>33</v>
      </c>
      <c r="F2" s="11" t="s">
        <v>34</v>
      </c>
      <c r="G2" s="11" t="s">
        <v>35</v>
      </c>
      <c r="H2" s="11" t="s">
        <v>36</v>
      </c>
      <c r="I2" s="11" t="s">
        <v>37</v>
      </c>
      <c r="J2" s="138" t="s">
        <v>38</v>
      </c>
      <c r="K2" s="11" t="s">
        <v>39</v>
      </c>
      <c r="L2" s="11" t="s">
        <v>40</v>
      </c>
      <c r="M2" s="11" t="s">
        <v>41</v>
      </c>
      <c r="N2" s="11" t="s">
        <v>42</v>
      </c>
      <c r="O2" s="11" t="s">
        <v>43</v>
      </c>
      <c r="P2" s="11" t="s">
        <v>52</v>
      </c>
      <c r="Q2" s="11" t="s">
        <v>53</v>
      </c>
      <c r="R2" s="11" t="s">
        <v>54</v>
      </c>
      <c r="S2" s="11" t="s">
        <v>55</v>
      </c>
      <c r="T2" s="11" t="s">
        <v>110</v>
      </c>
      <c r="U2" s="11" t="s">
        <v>111</v>
      </c>
      <c r="V2" s="11" t="s">
        <v>112</v>
      </c>
      <c r="W2" s="11" t="s">
        <v>113</v>
      </c>
      <c r="X2" s="11" t="s">
        <v>114</v>
      </c>
      <c r="Y2" s="11" t="s">
        <v>115</v>
      </c>
      <c r="Z2" s="11" t="s">
        <v>116</v>
      </c>
      <c r="AA2" s="11" t="s">
        <v>117</v>
      </c>
      <c r="AB2" s="11" t="s">
        <v>118</v>
      </c>
      <c r="AC2" s="11" t="s">
        <v>119</v>
      </c>
      <c r="AD2" s="11"/>
      <c r="AE2" s="11"/>
    </row>
    <row r="3" spans="1:31">
      <c r="A3" s="46" t="s">
        <v>49</v>
      </c>
      <c r="B3" s="47" t="s">
        <v>50</v>
      </c>
    </row>
    <row r="4" spans="1:31" ht="12.75" hidden="1" customHeight="1">
      <c r="A4" s="48"/>
      <c r="B4" s="49" t="s">
        <v>56</v>
      </c>
      <c r="C4" s="13">
        <v>25</v>
      </c>
      <c r="D4" s="13"/>
      <c r="E4" s="13">
        <v>830</v>
      </c>
      <c r="F4" s="13">
        <v>1270</v>
      </c>
      <c r="G4" s="13">
        <v>730</v>
      </c>
      <c r="H4" s="13">
        <v>730</v>
      </c>
      <c r="I4" s="13">
        <v>1630</v>
      </c>
      <c r="J4" s="13">
        <v>2010</v>
      </c>
      <c r="K4" s="13">
        <f>J4</f>
        <v>2010</v>
      </c>
      <c r="L4" s="13">
        <f t="shared" ref="L4:S7" si="0">K4</f>
        <v>2010</v>
      </c>
      <c r="M4" s="13">
        <f t="shared" si="0"/>
        <v>2010</v>
      </c>
      <c r="N4" s="13">
        <f t="shared" si="0"/>
        <v>2010</v>
      </c>
      <c r="O4" s="13">
        <f t="shared" si="0"/>
        <v>2010</v>
      </c>
      <c r="P4" s="13">
        <f t="shared" si="0"/>
        <v>2010</v>
      </c>
      <c r="Q4" s="13">
        <f t="shared" si="0"/>
        <v>2010</v>
      </c>
      <c r="R4" s="13">
        <f t="shared" si="0"/>
        <v>2010</v>
      </c>
      <c r="S4" s="13">
        <f t="shared" si="0"/>
        <v>2010</v>
      </c>
    </row>
    <row r="5" spans="1:31">
      <c r="A5" s="48"/>
      <c r="B5" s="49" t="s">
        <v>57</v>
      </c>
      <c r="C5" s="13"/>
      <c r="D5" s="13"/>
      <c r="E5" s="13">
        <v>5500</v>
      </c>
      <c r="F5" s="13">
        <v>11100</v>
      </c>
      <c r="G5" s="13">
        <v>17700</v>
      </c>
      <c r="H5" s="13">
        <v>27300</v>
      </c>
      <c r="I5" s="13">
        <v>35880</v>
      </c>
      <c r="J5" s="13">
        <v>40320</v>
      </c>
      <c r="K5" s="13">
        <v>40320</v>
      </c>
      <c r="L5" s="13">
        <v>40320</v>
      </c>
      <c r="M5" s="13">
        <v>40320</v>
      </c>
      <c r="N5" s="13">
        <v>40320</v>
      </c>
      <c r="O5" s="13">
        <v>40320</v>
      </c>
      <c r="P5" s="13">
        <v>40320</v>
      </c>
      <c r="Q5" s="13">
        <v>40320</v>
      </c>
      <c r="R5" s="13">
        <v>40320</v>
      </c>
      <c r="S5" s="13">
        <v>40320</v>
      </c>
      <c r="T5" s="13">
        <v>40320</v>
      </c>
      <c r="U5" s="13">
        <v>40320</v>
      </c>
      <c r="V5" s="13">
        <v>40320</v>
      </c>
      <c r="W5" s="13">
        <v>40320</v>
      </c>
      <c r="X5" s="13">
        <v>40320</v>
      </c>
      <c r="Y5" s="13">
        <v>40320</v>
      </c>
      <c r="Z5" s="13">
        <v>40320</v>
      </c>
      <c r="AA5" s="13">
        <v>40320</v>
      </c>
      <c r="AB5" s="13">
        <v>40320</v>
      </c>
      <c r="AC5" s="13">
        <v>40320</v>
      </c>
    </row>
    <row r="6" spans="1:31" ht="13.5" thickBot="1">
      <c r="A6" s="48"/>
      <c r="B6" s="49" t="s">
        <v>58</v>
      </c>
      <c r="C6" s="13"/>
      <c r="D6" s="13"/>
      <c r="E6" s="141">
        <v>366000</v>
      </c>
      <c r="F6" s="141">
        <v>741000</v>
      </c>
      <c r="G6" s="141">
        <v>1188000</v>
      </c>
      <c r="H6" s="141">
        <v>1818000</v>
      </c>
      <c r="I6" s="141">
        <v>2392800</v>
      </c>
      <c r="J6" s="141">
        <v>2719200</v>
      </c>
      <c r="K6" s="141">
        <v>2719200</v>
      </c>
      <c r="L6" s="141">
        <v>2719200</v>
      </c>
      <c r="M6" s="141">
        <v>2719200</v>
      </c>
      <c r="N6" s="141">
        <v>2719200</v>
      </c>
      <c r="O6" s="141">
        <v>2719200</v>
      </c>
      <c r="P6" s="141">
        <v>2719200</v>
      </c>
      <c r="Q6" s="141">
        <v>2719200</v>
      </c>
      <c r="R6" s="141">
        <v>2719200</v>
      </c>
      <c r="S6" s="141">
        <v>2719200</v>
      </c>
      <c r="T6" s="141">
        <v>2719200</v>
      </c>
      <c r="U6" s="141">
        <v>2719200</v>
      </c>
      <c r="V6" s="141">
        <v>2719200</v>
      </c>
      <c r="W6" s="141">
        <v>2719200</v>
      </c>
      <c r="X6" s="141">
        <v>2719200</v>
      </c>
      <c r="Y6" s="141">
        <v>2719200</v>
      </c>
      <c r="Z6" s="141">
        <v>2719200</v>
      </c>
      <c r="AA6" s="141">
        <v>2719200</v>
      </c>
      <c r="AB6" s="141">
        <v>2719200</v>
      </c>
      <c r="AC6" s="141">
        <v>2719200</v>
      </c>
    </row>
    <row r="7" spans="1:31" ht="18" hidden="1" customHeight="1">
      <c r="A7" s="48"/>
      <c r="B7" s="50" t="s">
        <v>98</v>
      </c>
      <c r="C7" s="15"/>
      <c r="D7" s="15"/>
      <c r="E7" s="15">
        <f>'Feed and Fodder'!S14</f>
        <v>0.5</v>
      </c>
      <c r="F7" s="15">
        <f>E7</f>
        <v>0.5</v>
      </c>
      <c r="G7" s="15">
        <f t="shared" ref="G7:K7" si="1">F7</f>
        <v>0.5</v>
      </c>
      <c r="H7" s="15">
        <f t="shared" si="1"/>
        <v>0.5</v>
      </c>
      <c r="I7" s="15">
        <f t="shared" si="1"/>
        <v>0.5</v>
      </c>
      <c r="J7" s="15">
        <f t="shared" si="1"/>
        <v>0.5</v>
      </c>
      <c r="K7" s="15">
        <f t="shared" si="1"/>
        <v>0.5</v>
      </c>
      <c r="L7" s="15">
        <f t="shared" si="0"/>
        <v>0.5</v>
      </c>
      <c r="M7" s="15">
        <f t="shared" si="0"/>
        <v>0.5</v>
      </c>
      <c r="N7" s="15">
        <f t="shared" si="0"/>
        <v>0.5</v>
      </c>
      <c r="O7" s="15">
        <f t="shared" si="0"/>
        <v>0.5</v>
      </c>
      <c r="P7" s="15">
        <f t="shared" si="0"/>
        <v>0.5</v>
      </c>
      <c r="Q7" s="15">
        <f t="shared" si="0"/>
        <v>0.5</v>
      </c>
      <c r="R7" s="15">
        <f t="shared" si="0"/>
        <v>0.5</v>
      </c>
      <c r="S7" s="15">
        <f t="shared" si="0"/>
        <v>0.5</v>
      </c>
      <c r="T7" s="15">
        <f t="shared" ref="T7:AC7" si="2">S7</f>
        <v>0.5</v>
      </c>
      <c r="U7" s="15">
        <f t="shared" si="2"/>
        <v>0.5</v>
      </c>
      <c r="V7" s="15">
        <f t="shared" si="2"/>
        <v>0.5</v>
      </c>
      <c r="W7" s="15">
        <f t="shared" si="2"/>
        <v>0.5</v>
      </c>
      <c r="X7" s="15">
        <f t="shared" si="2"/>
        <v>0.5</v>
      </c>
      <c r="Y7" s="15">
        <f t="shared" si="2"/>
        <v>0.5</v>
      </c>
      <c r="Z7" s="15">
        <f t="shared" si="2"/>
        <v>0.5</v>
      </c>
      <c r="AA7" s="15">
        <f t="shared" si="2"/>
        <v>0.5</v>
      </c>
      <c r="AB7" s="15">
        <f t="shared" si="2"/>
        <v>0.5</v>
      </c>
      <c r="AC7" s="15">
        <f t="shared" si="2"/>
        <v>0.5</v>
      </c>
    </row>
    <row r="8" spans="1:31" ht="13.5" hidden="1">
      <c r="A8" s="48"/>
      <c r="B8" s="51" t="s">
        <v>135</v>
      </c>
      <c r="C8" s="76"/>
      <c r="D8" s="76"/>
      <c r="E8" s="76">
        <f>E6*E7*365/1000000000</f>
        <v>6.6794999999999993E-2</v>
      </c>
      <c r="F8" s="76">
        <f t="shared" ref="F8:AC8" si="3">F6*F7*365/1000000000</f>
        <v>0.13523250000000001</v>
      </c>
      <c r="G8" s="76">
        <f t="shared" si="3"/>
        <v>0.21681</v>
      </c>
      <c r="H8" s="76">
        <f t="shared" si="3"/>
        <v>0.331785</v>
      </c>
      <c r="I8" s="76">
        <f t="shared" si="3"/>
        <v>0.43668600000000002</v>
      </c>
      <c r="J8" s="76">
        <f t="shared" si="3"/>
        <v>0.49625399999999997</v>
      </c>
      <c r="K8" s="76">
        <f t="shared" si="3"/>
        <v>0.49625399999999997</v>
      </c>
      <c r="L8" s="76">
        <f t="shared" si="3"/>
        <v>0.49625399999999997</v>
      </c>
      <c r="M8" s="76">
        <f t="shared" si="3"/>
        <v>0.49625399999999997</v>
      </c>
      <c r="N8" s="76">
        <f t="shared" si="3"/>
        <v>0.49625399999999997</v>
      </c>
      <c r="O8" s="76">
        <f t="shared" si="3"/>
        <v>0.49625399999999997</v>
      </c>
      <c r="P8" s="76">
        <f t="shared" si="3"/>
        <v>0.49625399999999997</v>
      </c>
      <c r="Q8" s="76">
        <f t="shared" si="3"/>
        <v>0.49625399999999997</v>
      </c>
      <c r="R8" s="76">
        <f t="shared" si="3"/>
        <v>0.49625399999999997</v>
      </c>
      <c r="S8" s="76">
        <f t="shared" si="3"/>
        <v>0.49625399999999997</v>
      </c>
      <c r="T8" s="76">
        <f t="shared" si="3"/>
        <v>0.49625399999999997</v>
      </c>
      <c r="U8" s="76">
        <f t="shared" si="3"/>
        <v>0.49625399999999997</v>
      </c>
      <c r="V8" s="76">
        <f t="shared" si="3"/>
        <v>0.49625399999999997</v>
      </c>
      <c r="W8" s="76">
        <f t="shared" si="3"/>
        <v>0.49625399999999997</v>
      </c>
      <c r="X8" s="76">
        <f t="shared" si="3"/>
        <v>0.49625399999999997</v>
      </c>
      <c r="Y8" s="76">
        <f t="shared" si="3"/>
        <v>0.49625399999999997</v>
      </c>
      <c r="Z8" s="76">
        <f t="shared" si="3"/>
        <v>0.49625399999999997</v>
      </c>
      <c r="AA8" s="76">
        <f t="shared" si="3"/>
        <v>0.49625399999999997</v>
      </c>
      <c r="AB8" s="76">
        <f t="shared" si="3"/>
        <v>0.49625399999999997</v>
      </c>
      <c r="AC8" s="76">
        <f t="shared" si="3"/>
        <v>0.49625399999999997</v>
      </c>
    </row>
    <row r="9" spans="1:31" ht="13.5" hidden="1">
      <c r="A9" s="48"/>
      <c r="B9" s="77"/>
      <c r="C9" s="16"/>
      <c r="D9" s="16"/>
      <c r="E9" s="16"/>
      <c r="F9" s="16"/>
      <c r="G9" s="16"/>
      <c r="H9" s="16"/>
      <c r="I9" s="16"/>
      <c r="J9" s="16"/>
      <c r="K9" s="16"/>
      <c r="L9" s="16"/>
      <c r="M9" s="16"/>
      <c r="N9" s="16"/>
      <c r="O9" s="16"/>
      <c r="P9" s="16"/>
      <c r="Q9" s="16"/>
      <c r="R9" s="16"/>
      <c r="S9" s="16"/>
      <c r="T9" s="23"/>
      <c r="U9" s="23"/>
      <c r="V9" s="23"/>
      <c r="W9" s="23"/>
      <c r="X9" s="23"/>
      <c r="Y9" s="23"/>
      <c r="Z9" s="23"/>
      <c r="AA9" s="23"/>
      <c r="AB9" s="23"/>
      <c r="AC9" s="23"/>
    </row>
    <row r="10" spans="1:31" hidden="1">
      <c r="A10" s="46" t="s">
        <v>146</v>
      </c>
      <c r="B10" s="47" t="s">
        <v>60</v>
      </c>
      <c r="C10" s="13"/>
      <c r="D10" s="13"/>
      <c r="E10" s="13"/>
      <c r="F10" s="13"/>
      <c r="G10" s="13"/>
      <c r="H10" s="13"/>
      <c r="I10" s="13"/>
      <c r="J10" s="13"/>
    </row>
    <row r="11" spans="1:31" hidden="1">
      <c r="A11" s="48"/>
      <c r="B11" s="52" t="s">
        <v>61</v>
      </c>
      <c r="C11" s="13"/>
      <c r="D11" s="13"/>
      <c r="E11" s="13">
        <v>1</v>
      </c>
      <c r="F11" s="13">
        <v>2</v>
      </c>
      <c r="G11" s="13">
        <v>4</v>
      </c>
      <c r="H11" s="13">
        <v>5</v>
      </c>
      <c r="I11" s="13">
        <v>6</v>
      </c>
      <c r="J11" s="13">
        <v>7</v>
      </c>
      <c r="K11" s="13">
        <f>J11</f>
        <v>7</v>
      </c>
      <c r="L11" s="13">
        <f t="shared" ref="L11:S11" si="4">K11</f>
        <v>7</v>
      </c>
      <c r="M11" s="13">
        <f t="shared" si="4"/>
        <v>7</v>
      </c>
      <c r="N11" s="13">
        <f t="shared" si="4"/>
        <v>7</v>
      </c>
      <c r="O11" s="13">
        <f t="shared" si="4"/>
        <v>7</v>
      </c>
      <c r="P11" s="13">
        <f t="shared" si="4"/>
        <v>7</v>
      </c>
      <c r="Q11" s="13">
        <f t="shared" si="4"/>
        <v>7</v>
      </c>
      <c r="R11" s="13">
        <f t="shared" si="4"/>
        <v>7</v>
      </c>
      <c r="S11" s="13">
        <f t="shared" si="4"/>
        <v>7</v>
      </c>
      <c r="T11" s="12">
        <f>S11</f>
        <v>7</v>
      </c>
      <c r="U11" s="12">
        <f t="shared" ref="U11:AC11" si="5">T11</f>
        <v>7</v>
      </c>
      <c r="V11" s="12">
        <f t="shared" si="5"/>
        <v>7</v>
      </c>
      <c r="W11" s="12">
        <f t="shared" si="5"/>
        <v>7</v>
      </c>
      <c r="X11" s="12">
        <f t="shared" si="5"/>
        <v>7</v>
      </c>
      <c r="Y11" s="12">
        <f t="shared" si="5"/>
        <v>7</v>
      </c>
      <c r="Z11" s="12">
        <f t="shared" si="5"/>
        <v>7</v>
      </c>
      <c r="AA11" s="12">
        <f t="shared" si="5"/>
        <v>7</v>
      </c>
      <c r="AB11" s="12">
        <f t="shared" si="5"/>
        <v>7</v>
      </c>
      <c r="AC11" s="12">
        <f t="shared" si="5"/>
        <v>7</v>
      </c>
    </row>
    <row r="12" spans="1:31" hidden="1">
      <c r="A12" s="48"/>
      <c r="B12" s="49" t="s">
        <v>62</v>
      </c>
      <c r="C12" s="13"/>
      <c r="D12" s="13"/>
      <c r="E12" s="13">
        <v>10</v>
      </c>
      <c r="F12" s="13">
        <v>10</v>
      </c>
      <c r="G12" s="13">
        <v>10</v>
      </c>
      <c r="H12" s="13">
        <v>10</v>
      </c>
      <c r="I12" s="13">
        <v>10</v>
      </c>
      <c r="J12" s="13">
        <v>10</v>
      </c>
      <c r="K12" s="13">
        <v>10</v>
      </c>
      <c r="L12" s="13">
        <v>10</v>
      </c>
      <c r="M12" s="13">
        <v>10</v>
      </c>
      <c r="N12" s="13">
        <v>10</v>
      </c>
      <c r="O12" s="13">
        <v>10</v>
      </c>
      <c r="P12" s="13">
        <v>10</v>
      </c>
      <c r="Q12" s="13">
        <v>10</v>
      </c>
      <c r="R12" s="13">
        <v>10</v>
      </c>
      <c r="S12" s="13">
        <v>10</v>
      </c>
      <c r="T12" s="12">
        <f t="shared" ref="T12:AC20" si="6">S12</f>
        <v>10</v>
      </c>
      <c r="U12" s="12">
        <f t="shared" si="6"/>
        <v>10</v>
      </c>
      <c r="V12" s="12">
        <f t="shared" si="6"/>
        <v>10</v>
      </c>
      <c r="W12" s="12">
        <f t="shared" si="6"/>
        <v>10</v>
      </c>
      <c r="X12" s="12">
        <f t="shared" si="6"/>
        <v>10</v>
      </c>
      <c r="Y12" s="12">
        <f t="shared" si="6"/>
        <v>10</v>
      </c>
      <c r="Z12" s="12">
        <f t="shared" si="6"/>
        <v>10</v>
      </c>
      <c r="AA12" s="12">
        <f t="shared" si="6"/>
        <v>10</v>
      </c>
      <c r="AB12" s="12">
        <f t="shared" si="6"/>
        <v>10</v>
      </c>
      <c r="AC12" s="12">
        <f t="shared" si="6"/>
        <v>10</v>
      </c>
    </row>
    <row r="13" spans="1:31" hidden="1">
      <c r="A13" s="48"/>
      <c r="B13" s="49" t="s">
        <v>63</v>
      </c>
      <c r="C13" s="13"/>
      <c r="D13" s="13"/>
      <c r="E13" s="13">
        <v>300</v>
      </c>
      <c r="F13" s="13">
        <v>600</v>
      </c>
      <c r="G13" s="13">
        <v>1200</v>
      </c>
      <c r="H13" s="13">
        <v>1500</v>
      </c>
      <c r="I13" s="13">
        <v>1800</v>
      </c>
      <c r="J13" s="13">
        <v>2100</v>
      </c>
      <c r="K13" s="13">
        <f>J13</f>
        <v>2100</v>
      </c>
      <c r="L13" s="13">
        <f t="shared" ref="L13:AA13" si="7">K13</f>
        <v>2100</v>
      </c>
      <c r="M13" s="13">
        <f t="shared" si="7"/>
        <v>2100</v>
      </c>
      <c r="N13" s="13">
        <f t="shared" si="7"/>
        <v>2100</v>
      </c>
      <c r="O13" s="13">
        <f t="shared" si="7"/>
        <v>2100</v>
      </c>
      <c r="P13" s="13">
        <f t="shared" si="7"/>
        <v>2100</v>
      </c>
      <c r="Q13" s="13">
        <f t="shared" si="7"/>
        <v>2100</v>
      </c>
      <c r="R13" s="13">
        <f t="shared" si="7"/>
        <v>2100</v>
      </c>
      <c r="S13" s="13">
        <f t="shared" si="7"/>
        <v>2100</v>
      </c>
      <c r="T13" s="12">
        <f t="shared" si="7"/>
        <v>2100</v>
      </c>
      <c r="U13" s="12">
        <f t="shared" si="7"/>
        <v>2100</v>
      </c>
      <c r="V13" s="12">
        <f t="shared" si="7"/>
        <v>2100</v>
      </c>
      <c r="W13" s="12">
        <f t="shared" si="7"/>
        <v>2100</v>
      </c>
      <c r="X13" s="12">
        <f t="shared" si="7"/>
        <v>2100</v>
      </c>
      <c r="Y13" s="12">
        <f t="shared" si="7"/>
        <v>2100</v>
      </c>
      <c r="Z13" s="12">
        <f t="shared" si="7"/>
        <v>2100</v>
      </c>
      <c r="AA13" s="12">
        <f t="shared" si="7"/>
        <v>2100</v>
      </c>
      <c r="AB13" s="12">
        <f t="shared" si="6"/>
        <v>2100</v>
      </c>
      <c r="AC13" s="12">
        <f t="shared" si="6"/>
        <v>2100</v>
      </c>
    </row>
    <row r="14" spans="1:31" hidden="1">
      <c r="A14" s="48"/>
      <c r="B14" s="49" t="s">
        <v>64</v>
      </c>
      <c r="C14" s="13"/>
      <c r="D14" s="13"/>
      <c r="E14" s="13">
        <v>50</v>
      </c>
      <c r="F14" s="13">
        <v>50</v>
      </c>
      <c r="G14" s="13">
        <v>50</v>
      </c>
      <c r="H14" s="13">
        <v>50</v>
      </c>
      <c r="I14" s="13">
        <v>50</v>
      </c>
      <c r="J14" s="13">
        <v>50</v>
      </c>
      <c r="K14" s="13">
        <v>50</v>
      </c>
      <c r="L14" s="13">
        <v>50</v>
      </c>
      <c r="M14" s="13">
        <v>50</v>
      </c>
      <c r="N14" s="13">
        <v>50</v>
      </c>
      <c r="O14" s="13">
        <v>50</v>
      </c>
      <c r="P14" s="13">
        <v>50</v>
      </c>
      <c r="Q14" s="13">
        <v>50</v>
      </c>
      <c r="R14" s="13">
        <v>50</v>
      </c>
      <c r="S14" s="13">
        <v>50</v>
      </c>
      <c r="T14" s="12">
        <f t="shared" si="6"/>
        <v>50</v>
      </c>
      <c r="U14" s="12">
        <f t="shared" si="6"/>
        <v>50</v>
      </c>
      <c r="V14" s="12">
        <f t="shared" si="6"/>
        <v>50</v>
      </c>
      <c r="W14" s="12">
        <f t="shared" si="6"/>
        <v>50</v>
      </c>
      <c r="X14" s="12">
        <f t="shared" si="6"/>
        <v>50</v>
      </c>
      <c r="Y14" s="12">
        <f t="shared" si="6"/>
        <v>50</v>
      </c>
      <c r="Z14" s="12">
        <f t="shared" si="6"/>
        <v>50</v>
      </c>
      <c r="AA14" s="12">
        <f t="shared" si="6"/>
        <v>50</v>
      </c>
      <c r="AB14" s="12">
        <f t="shared" si="6"/>
        <v>50</v>
      </c>
      <c r="AC14" s="12">
        <f t="shared" si="6"/>
        <v>50</v>
      </c>
    </row>
    <row r="15" spans="1:31" hidden="1">
      <c r="A15" s="48"/>
      <c r="B15" s="49" t="s">
        <v>65</v>
      </c>
      <c r="C15" s="13"/>
      <c r="D15" s="13"/>
      <c r="E15" s="13">
        <f>E13*1000/E14</f>
        <v>6000</v>
      </c>
      <c r="F15" s="13">
        <f t="shared" ref="F15:S15" si="8">F13*1000/F14</f>
        <v>12000</v>
      </c>
      <c r="G15" s="13">
        <f t="shared" si="8"/>
        <v>24000</v>
      </c>
      <c r="H15" s="13">
        <f t="shared" si="8"/>
        <v>30000</v>
      </c>
      <c r="I15" s="13">
        <f t="shared" si="8"/>
        <v>36000</v>
      </c>
      <c r="J15" s="13">
        <f t="shared" si="8"/>
        <v>42000</v>
      </c>
      <c r="K15" s="13">
        <f t="shared" si="8"/>
        <v>42000</v>
      </c>
      <c r="L15" s="13">
        <f t="shared" si="8"/>
        <v>42000</v>
      </c>
      <c r="M15" s="13">
        <f t="shared" si="8"/>
        <v>42000</v>
      </c>
      <c r="N15" s="13">
        <f t="shared" si="8"/>
        <v>42000</v>
      </c>
      <c r="O15" s="13">
        <f t="shared" si="8"/>
        <v>42000</v>
      </c>
      <c r="P15" s="13">
        <f t="shared" si="8"/>
        <v>42000</v>
      </c>
      <c r="Q15" s="13">
        <f t="shared" si="8"/>
        <v>42000</v>
      </c>
      <c r="R15" s="13">
        <f t="shared" si="8"/>
        <v>42000</v>
      </c>
      <c r="S15" s="13">
        <f t="shared" si="8"/>
        <v>42000</v>
      </c>
      <c r="T15" s="12">
        <f t="shared" si="6"/>
        <v>42000</v>
      </c>
      <c r="U15" s="12">
        <f t="shared" si="6"/>
        <v>42000</v>
      </c>
      <c r="V15" s="12">
        <f t="shared" si="6"/>
        <v>42000</v>
      </c>
      <c r="W15" s="12">
        <f t="shared" si="6"/>
        <v>42000</v>
      </c>
      <c r="X15" s="12">
        <f t="shared" si="6"/>
        <v>42000</v>
      </c>
      <c r="Y15" s="12">
        <f t="shared" si="6"/>
        <v>42000</v>
      </c>
      <c r="Z15" s="12">
        <f t="shared" si="6"/>
        <v>42000</v>
      </c>
      <c r="AA15" s="12">
        <f t="shared" si="6"/>
        <v>42000</v>
      </c>
      <c r="AB15" s="12">
        <f t="shared" si="6"/>
        <v>42000</v>
      </c>
      <c r="AC15" s="12">
        <f t="shared" si="6"/>
        <v>42000</v>
      </c>
    </row>
    <row r="16" spans="1:31" hidden="1">
      <c r="A16" s="48"/>
      <c r="B16" s="49" t="s">
        <v>66</v>
      </c>
      <c r="C16" s="13"/>
      <c r="D16" s="13"/>
      <c r="E16" s="13">
        <v>40</v>
      </c>
      <c r="F16" s="13">
        <v>40</v>
      </c>
      <c r="G16" s="13">
        <v>40</v>
      </c>
      <c r="H16" s="13">
        <v>40</v>
      </c>
      <c r="I16" s="13">
        <v>40</v>
      </c>
      <c r="J16" s="13">
        <v>40</v>
      </c>
      <c r="K16" s="13">
        <v>40</v>
      </c>
      <c r="L16" s="13">
        <v>40</v>
      </c>
      <c r="M16" s="13">
        <v>40</v>
      </c>
      <c r="N16" s="13">
        <v>40</v>
      </c>
      <c r="O16" s="13">
        <v>40</v>
      </c>
      <c r="P16" s="13">
        <v>40</v>
      </c>
      <c r="Q16" s="13">
        <v>40</v>
      </c>
      <c r="R16" s="13">
        <v>40</v>
      </c>
      <c r="S16" s="13">
        <v>40</v>
      </c>
      <c r="T16" s="12">
        <f t="shared" si="6"/>
        <v>40</v>
      </c>
      <c r="U16" s="12">
        <f t="shared" si="6"/>
        <v>40</v>
      </c>
      <c r="V16" s="12">
        <f t="shared" si="6"/>
        <v>40</v>
      </c>
      <c r="W16" s="12">
        <f t="shared" si="6"/>
        <v>40</v>
      </c>
      <c r="X16" s="12">
        <f t="shared" si="6"/>
        <v>40</v>
      </c>
      <c r="Y16" s="12">
        <f t="shared" si="6"/>
        <v>40</v>
      </c>
      <c r="Z16" s="12">
        <f t="shared" si="6"/>
        <v>40</v>
      </c>
      <c r="AA16" s="12">
        <f t="shared" si="6"/>
        <v>40</v>
      </c>
      <c r="AB16" s="12">
        <f t="shared" si="6"/>
        <v>40</v>
      </c>
      <c r="AC16" s="12">
        <f t="shared" si="6"/>
        <v>40</v>
      </c>
    </row>
    <row r="17" spans="1:29" hidden="1">
      <c r="A17" s="48"/>
      <c r="B17" s="49" t="s">
        <v>67</v>
      </c>
      <c r="C17" s="13"/>
      <c r="D17" s="13"/>
      <c r="E17" s="13">
        <f>E15*E16/1000000</f>
        <v>0.24</v>
      </c>
      <c r="F17" s="13">
        <f t="shared" ref="F17:S17" si="9">F15*F16/1000000</f>
        <v>0.48</v>
      </c>
      <c r="G17" s="13">
        <f t="shared" si="9"/>
        <v>0.96</v>
      </c>
      <c r="H17" s="13">
        <f t="shared" si="9"/>
        <v>1.2</v>
      </c>
      <c r="I17" s="13">
        <f t="shared" si="9"/>
        <v>1.44</v>
      </c>
      <c r="J17" s="13">
        <f t="shared" si="9"/>
        <v>1.68</v>
      </c>
      <c r="K17" s="13">
        <f t="shared" si="9"/>
        <v>1.68</v>
      </c>
      <c r="L17" s="13">
        <f t="shared" si="9"/>
        <v>1.68</v>
      </c>
      <c r="M17" s="13">
        <f t="shared" si="9"/>
        <v>1.68</v>
      </c>
      <c r="N17" s="13">
        <f t="shared" si="9"/>
        <v>1.68</v>
      </c>
      <c r="O17" s="13">
        <f t="shared" si="9"/>
        <v>1.68</v>
      </c>
      <c r="P17" s="13">
        <f t="shared" si="9"/>
        <v>1.68</v>
      </c>
      <c r="Q17" s="13">
        <f t="shared" si="9"/>
        <v>1.68</v>
      </c>
      <c r="R17" s="13">
        <f t="shared" si="9"/>
        <v>1.68</v>
      </c>
      <c r="S17" s="13">
        <f t="shared" si="9"/>
        <v>1.68</v>
      </c>
      <c r="T17" s="12">
        <f t="shared" si="6"/>
        <v>1.68</v>
      </c>
      <c r="U17" s="12">
        <f t="shared" si="6"/>
        <v>1.68</v>
      </c>
      <c r="V17" s="12">
        <f t="shared" si="6"/>
        <v>1.68</v>
      </c>
      <c r="W17" s="12">
        <f t="shared" si="6"/>
        <v>1.68</v>
      </c>
      <c r="X17" s="12">
        <f t="shared" si="6"/>
        <v>1.68</v>
      </c>
      <c r="Y17" s="12">
        <f t="shared" si="6"/>
        <v>1.68</v>
      </c>
      <c r="Z17" s="12">
        <f t="shared" si="6"/>
        <v>1.68</v>
      </c>
      <c r="AA17" s="12">
        <f t="shared" si="6"/>
        <v>1.68</v>
      </c>
      <c r="AB17" s="12">
        <f t="shared" si="6"/>
        <v>1.68</v>
      </c>
      <c r="AC17" s="12">
        <f t="shared" si="6"/>
        <v>1.68</v>
      </c>
    </row>
    <row r="18" spans="1:29" hidden="1">
      <c r="A18" s="48"/>
      <c r="B18" s="49" t="s">
        <v>68</v>
      </c>
      <c r="C18" s="13"/>
      <c r="D18" s="13"/>
      <c r="E18" s="13">
        <v>1</v>
      </c>
      <c r="F18" s="13">
        <v>1</v>
      </c>
      <c r="G18" s="13">
        <v>1</v>
      </c>
      <c r="H18" s="13">
        <v>1</v>
      </c>
      <c r="I18" s="13">
        <v>1</v>
      </c>
      <c r="J18" s="13">
        <v>1</v>
      </c>
      <c r="K18" s="13">
        <v>1</v>
      </c>
      <c r="L18" s="13">
        <v>1</v>
      </c>
      <c r="M18" s="13">
        <v>1</v>
      </c>
      <c r="N18" s="13">
        <v>1</v>
      </c>
      <c r="O18" s="13">
        <v>1</v>
      </c>
      <c r="P18" s="13">
        <v>1</v>
      </c>
      <c r="Q18" s="13">
        <v>1</v>
      </c>
      <c r="R18" s="13">
        <v>1</v>
      </c>
      <c r="S18" s="13">
        <v>1</v>
      </c>
      <c r="T18" s="12">
        <f t="shared" si="6"/>
        <v>1</v>
      </c>
      <c r="U18" s="12">
        <f t="shared" si="6"/>
        <v>1</v>
      </c>
      <c r="V18" s="12">
        <f t="shared" si="6"/>
        <v>1</v>
      </c>
      <c r="W18" s="12">
        <f t="shared" si="6"/>
        <v>1</v>
      </c>
      <c r="X18" s="12">
        <f t="shared" si="6"/>
        <v>1</v>
      </c>
      <c r="Y18" s="12">
        <f t="shared" si="6"/>
        <v>1</v>
      </c>
      <c r="Z18" s="12">
        <f t="shared" si="6"/>
        <v>1</v>
      </c>
      <c r="AA18" s="12">
        <f t="shared" si="6"/>
        <v>1</v>
      </c>
      <c r="AB18" s="12">
        <f t="shared" si="6"/>
        <v>1</v>
      </c>
      <c r="AC18" s="12">
        <f t="shared" si="6"/>
        <v>1</v>
      </c>
    </row>
    <row r="19" spans="1:29" ht="13.5" hidden="1">
      <c r="A19" s="48"/>
      <c r="B19" s="51" t="s">
        <v>59</v>
      </c>
      <c r="C19" s="18"/>
      <c r="D19" s="18"/>
      <c r="E19" s="18">
        <f>E17*E18/10</f>
        <v>2.4E-2</v>
      </c>
      <c r="F19" s="18">
        <f t="shared" ref="F19:S19" si="10">F17*F18/10</f>
        <v>4.8000000000000001E-2</v>
      </c>
      <c r="G19" s="18">
        <f t="shared" si="10"/>
        <v>9.6000000000000002E-2</v>
      </c>
      <c r="H19" s="18">
        <f t="shared" si="10"/>
        <v>0.12</v>
      </c>
      <c r="I19" s="18">
        <f t="shared" si="10"/>
        <v>0.14399999999999999</v>
      </c>
      <c r="J19" s="18">
        <f t="shared" si="10"/>
        <v>0.16799999999999998</v>
      </c>
      <c r="K19" s="17">
        <f t="shared" si="10"/>
        <v>0.16799999999999998</v>
      </c>
      <c r="L19" s="17">
        <f t="shared" si="10"/>
        <v>0.16799999999999998</v>
      </c>
      <c r="M19" s="17">
        <f t="shared" si="10"/>
        <v>0.16799999999999998</v>
      </c>
      <c r="N19" s="17">
        <f t="shared" si="10"/>
        <v>0.16799999999999998</v>
      </c>
      <c r="O19" s="17">
        <f t="shared" si="10"/>
        <v>0.16799999999999998</v>
      </c>
      <c r="P19" s="17">
        <f t="shared" si="10"/>
        <v>0.16799999999999998</v>
      </c>
      <c r="Q19" s="17">
        <f t="shared" si="10"/>
        <v>0.16799999999999998</v>
      </c>
      <c r="R19" s="17">
        <f t="shared" si="10"/>
        <v>0.16799999999999998</v>
      </c>
      <c r="S19" s="17">
        <f t="shared" si="10"/>
        <v>0.16799999999999998</v>
      </c>
      <c r="T19" s="12">
        <f t="shared" si="6"/>
        <v>0.16799999999999998</v>
      </c>
      <c r="U19" s="12">
        <f t="shared" si="6"/>
        <v>0.16799999999999998</v>
      </c>
      <c r="V19" s="12">
        <f t="shared" si="6"/>
        <v>0.16799999999999998</v>
      </c>
      <c r="W19" s="12">
        <f t="shared" si="6"/>
        <v>0.16799999999999998</v>
      </c>
      <c r="X19" s="12">
        <f t="shared" si="6"/>
        <v>0.16799999999999998</v>
      </c>
      <c r="Y19" s="12">
        <f t="shared" si="6"/>
        <v>0.16799999999999998</v>
      </c>
      <c r="Z19" s="12">
        <f t="shared" si="6"/>
        <v>0.16799999999999998</v>
      </c>
      <c r="AA19" s="12">
        <f t="shared" si="6"/>
        <v>0.16799999999999998</v>
      </c>
      <c r="AB19" s="12">
        <f t="shared" si="6"/>
        <v>0.16799999999999998</v>
      </c>
      <c r="AC19" s="12">
        <f t="shared" si="6"/>
        <v>0.16799999999999998</v>
      </c>
    </row>
    <row r="20" spans="1:29" ht="13.5" hidden="1">
      <c r="A20" s="48"/>
      <c r="B20" s="51" t="s">
        <v>91</v>
      </c>
      <c r="C20" s="18"/>
      <c r="D20" s="18"/>
      <c r="E20" s="18">
        <f t="shared" ref="E20:S20" si="11">E19*1000</f>
        <v>24</v>
      </c>
      <c r="F20" s="18">
        <f t="shared" si="11"/>
        <v>48</v>
      </c>
      <c r="G20" s="18">
        <f t="shared" si="11"/>
        <v>96</v>
      </c>
      <c r="H20" s="18">
        <f t="shared" si="11"/>
        <v>120</v>
      </c>
      <c r="I20" s="18">
        <f t="shared" si="11"/>
        <v>144</v>
      </c>
      <c r="J20" s="18">
        <f t="shared" si="11"/>
        <v>167.99999999999997</v>
      </c>
      <c r="K20" s="18">
        <f t="shared" si="11"/>
        <v>167.99999999999997</v>
      </c>
      <c r="L20" s="18">
        <f t="shared" si="11"/>
        <v>167.99999999999997</v>
      </c>
      <c r="M20" s="18">
        <f t="shared" si="11"/>
        <v>167.99999999999997</v>
      </c>
      <c r="N20" s="18">
        <f t="shared" si="11"/>
        <v>167.99999999999997</v>
      </c>
      <c r="O20" s="18">
        <f t="shared" si="11"/>
        <v>167.99999999999997</v>
      </c>
      <c r="P20" s="18">
        <f t="shared" si="11"/>
        <v>167.99999999999997</v>
      </c>
      <c r="Q20" s="18">
        <f t="shared" si="11"/>
        <v>167.99999999999997</v>
      </c>
      <c r="R20" s="18">
        <f t="shared" si="11"/>
        <v>167.99999999999997</v>
      </c>
      <c r="S20" s="18">
        <f t="shared" si="11"/>
        <v>167.99999999999997</v>
      </c>
      <c r="T20" s="12">
        <f t="shared" si="6"/>
        <v>167.99999999999997</v>
      </c>
      <c r="U20" s="12">
        <f t="shared" si="6"/>
        <v>167.99999999999997</v>
      </c>
      <c r="V20" s="12">
        <f t="shared" si="6"/>
        <v>167.99999999999997</v>
      </c>
      <c r="W20" s="12">
        <f t="shared" si="6"/>
        <v>167.99999999999997</v>
      </c>
      <c r="X20" s="12">
        <f t="shared" si="6"/>
        <v>167.99999999999997</v>
      </c>
      <c r="Y20" s="12">
        <f t="shared" si="6"/>
        <v>167.99999999999997</v>
      </c>
      <c r="Z20" s="12">
        <f t="shared" si="6"/>
        <v>167.99999999999997</v>
      </c>
      <c r="AA20" s="12">
        <f t="shared" si="6"/>
        <v>167.99999999999997</v>
      </c>
      <c r="AB20" s="12">
        <f t="shared" si="6"/>
        <v>167.99999999999997</v>
      </c>
      <c r="AC20" s="12">
        <f t="shared" si="6"/>
        <v>167.99999999999997</v>
      </c>
    </row>
    <row r="21" spans="1:29" ht="13.5" hidden="1">
      <c r="A21" s="48"/>
      <c r="B21" s="51"/>
      <c r="C21" s="18"/>
      <c r="D21" s="18"/>
      <c r="E21" s="18"/>
      <c r="F21" s="18"/>
      <c r="G21" s="18"/>
      <c r="H21" s="18"/>
      <c r="I21" s="18"/>
      <c r="J21" s="18"/>
      <c r="K21" s="18"/>
      <c r="L21" s="18"/>
      <c r="M21" s="18"/>
      <c r="N21" s="18"/>
      <c r="O21" s="18"/>
      <c r="P21" s="18"/>
      <c r="Q21" s="18"/>
      <c r="R21" s="18"/>
      <c r="S21" s="18"/>
    </row>
    <row r="22" spans="1:29" hidden="1">
      <c r="A22" s="48" t="s">
        <v>147</v>
      </c>
      <c r="B22" s="47" t="s">
        <v>213</v>
      </c>
      <c r="C22" s="124"/>
      <c r="D22" s="124"/>
      <c r="E22" s="125">
        <v>0</v>
      </c>
      <c r="F22" s="125">
        <v>1</v>
      </c>
      <c r="G22" s="125">
        <v>1</v>
      </c>
      <c r="H22" s="125">
        <v>2</v>
      </c>
      <c r="I22" s="125">
        <v>2</v>
      </c>
      <c r="J22" s="125">
        <v>2</v>
      </c>
      <c r="K22" s="125">
        <f>J22</f>
        <v>2</v>
      </c>
      <c r="L22" s="125">
        <f t="shared" ref="L22:AC22" si="12">K22</f>
        <v>2</v>
      </c>
      <c r="M22" s="125">
        <f t="shared" si="12"/>
        <v>2</v>
      </c>
      <c r="N22" s="125">
        <f t="shared" si="12"/>
        <v>2</v>
      </c>
      <c r="O22" s="125">
        <f t="shared" si="12"/>
        <v>2</v>
      </c>
      <c r="P22" s="125">
        <f t="shared" si="12"/>
        <v>2</v>
      </c>
      <c r="Q22" s="125">
        <f t="shared" si="12"/>
        <v>2</v>
      </c>
      <c r="R22" s="125">
        <f t="shared" si="12"/>
        <v>2</v>
      </c>
      <c r="S22" s="125">
        <f t="shared" si="12"/>
        <v>2</v>
      </c>
      <c r="T22" s="125">
        <f t="shared" si="12"/>
        <v>2</v>
      </c>
      <c r="U22" s="125">
        <f t="shared" si="12"/>
        <v>2</v>
      </c>
      <c r="V22" s="125">
        <f t="shared" si="12"/>
        <v>2</v>
      </c>
      <c r="W22" s="125">
        <f t="shared" si="12"/>
        <v>2</v>
      </c>
      <c r="X22" s="125">
        <f t="shared" si="12"/>
        <v>2</v>
      </c>
      <c r="Y22" s="125">
        <f t="shared" si="12"/>
        <v>2</v>
      </c>
      <c r="Z22" s="125">
        <f t="shared" si="12"/>
        <v>2</v>
      </c>
      <c r="AA22" s="125">
        <f t="shared" si="12"/>
        <v>2</v>
      </c>
      <c r="AB22" s="125">
        <f t="shared" si="12"/>
        <v>2</v>
      </c>
      <c r="AC22" s="125">
        <f t="shared" si="12"/>
        <v>2</v>
      </c>
    </row>
    <row r="23" spans="1:29" ht="13.5" hidden="1">
      <c r="A23" s="48"/>
      <c r="B23" s="49" t="s">
        <v>214</v>
      </c>
      <c r="C23" s="18"/>
      <c r="D23" s="18"/>
      <c r="E23" s="125">
        <v>40</v>
      </c>
      <c r="F23" s="125">
        <v>40</v>
      </c>
      <c r="G23" s="125">
        <v>40</v>
      </c>
      <c r="H23" s="125">
        <v>40</v>
      </c>
      <c r="I23" s="125">
        <v>40</v>
      </c>
      <c r="J23" s="125">
        <v>40</v>
      </c>
      <c r="K23" s="125">
        <v>40</v>
      </c>
      <c r="L23" s="125">
        <v>40</v>
      </c>
      <c r="M23" s="125">
        <v>40</v>
      </c>
      <c r="N23" s="125">
        <v>40</v>
      </c>
      <c r="O23" s="125">
        <v>40</v>
      </c>
      <c r="P23" s="125">
        <v>40</v>
      </c>
      <c r="Q23" s="125">
        <v>40</v>
      </c>
      <c r="R23" s="125">
        <v>40</v>
      </c>
      <c r="S23" s="125">
        <v>40</v>
      </c>
      <c r="T23" s="125">
        <v>40</v>
      </c>
      <c r="U23" s="125">
        <v>40</v>
      </c>
      <c r="V23" s="125">
        <v>40</v>
      </c>
      <c r="W23" s="125">
        <v>40</v>
      </c>
      <c r="X23" s="125">
        <v>40</v>
      </c>
      <c r="Y23" s="125">
        <v>40</v>
      </c>
      <c r="Z23" s="125">
        <v>40</v>
      </c>
      <c r="AA23" s="125">
        <v>40</v>
      </c>
      <c r="AB23" s="125">
        <v>40</v>
      </c>
      <c r="AC23" s="125">
        <v>40</v>
      </c>
    </row>
    <row r="24" spans="1:29" hidden="1">
      <c r="A24" s="48"/>
      <c r="B24" s="49" t="s">
        <v>215</v>
      </c>
      <c r="C24" s="14"/>
      <c r="D24" s="14"/>
      <c r="E24" s="12">
        <f>E22*E23*300</f>
        <v>0</v>
      </c>
      <c r="F24" s="12">
        <f t="shared" ref="F24:AC24" si="13">F22*F23*300</f>
        <v>12000</v>
      </c>
      <c r="G24" s="12">
        <f t="shared" si="13"/>
        <v>12000</v>
      </c>
      <c r="H24" s="12">
        <f t="shared" si="13"/>
        <v>24000</v>
      </c>
      <c r="I24" s="12">
        <f t="shared" si="13"/>
        <v>24000</v>
      </c>
      <c r="J24" s="12">
        <f t="shared" si="13"/>
        <v>24000</v>
      </c>
      <c r="K24" s="12">
        <f t="shared" si="13"/>
        <v>24000</v>
      </c>
      <c r="L24" s="12">
        <f t="shared" si="13"/>
        <v>24000</v>
      </c>
      <c r="M24" s="12">
        <f t="shared" si="13"/>
        <v>24000</v>
      </c>
      <c r="N24" s="12">
        <f t="shared" si="13"/>
        <v>24000</v>
      </c>
      <c r="O24" s="12">
        <f t="shared" si="13"/>
        <v>24000</v>
      </c>
      <c r="P24" s="12">
        <f t="shared" si="13"/>
        <v>24000</v>
      </c>
      <c r="Q24" s="12">
        <f t="shared" si="13"/>
        <v>24000</v>
      </c>
      <c r="R24" s="12">
        <f t="shared" si="13"/>
        <v>24000</v>
      </c>
      <c r="S24" s="12">
        <f t="shared" si="13"/>
        <v>24000</v>
      </c>
      <c r="T24" s="12">
        <f t="shared" si="13"/>
        <v>24000</v>
      </c>
      <c r="U24" s="12">
        <f t="shared" si="13"/>
        <v>24000</v>
      </c>
      <c r="V24" s="12">
        <f t="shared" si="13"/>
        <v>24000</v>
      </c>
      <c r="W24" s="12">
        <f t="shared" si="13"/>
        <v>24000</v>
      </c>
      <c r="X24" s="12">
        <f t="shared" si="13"/>
        <v>24000</v>
      </c>
      <c r="Y24" s="12">
        <f t="shared" si="13"/>
        <v>24000</v>
      </c>
      <c r="Z24" s="12">
        <f t="shared" si="13"/>
        <v>24000</v>
      </c>
      <c r="AA24" s="12">
        <f t="shared" si="13"/>
        <v>24000</v>
      </c>
      <c r="AB24" s="12">
        <f t="shared" si="13"/>
        <v>24000</v>
      </c>
      <c r="AC24" s="12">
        <f t="shared" si="13"/>
        <v>24000</v>
      </c>
    </row>
    <row r="25" spans="1:29" hidden="1">
      <c r="A25" s="48" t="s">
        <v>147</v>
      </c>
      <c r="B25" s="106" t="s">
        <v>69</v>
      </c>
    </row>
    <row r="26" spans="1:29" ht="25.5" hidden="1">
      <c r="A26" s="48"/>
      <c r="B26" s="53" t="s">
        <v>70</v>
      </c>
      <c r="C26" s="107"/>
      <c r="D26" s="107"/>
      <c r="E26" s="12">
        <v>400</v>
      </c>
      <c r="F26" s="12">
        <v>800</v>
      </c>
      <c r="G26" s="12">
        <v>1200</v>
      </c>
      <c r="H26" s="12">
        <v>1600</v>
      </c>
      <c r="I26" s="12">
        <v>2000</v>
      </c>
      <c r="J26" s="12">
        <v>2800</v>
      </c>
      <c r="K26" s="12">
        <f>J26</f>
        <v>2800</v>
      </c>
      <c r="L26" s="12">
        <f t="shared" ref="L26:AA30" si="14">K26</f>
        <v>2800</v>
      </c>
      <c r="M26" s="12">
        <f t="shared" si="14"/>
        <v>2800</v>
      </c>
      <c r="N26" s="12">
        <f t="shared" si="14"/>
        <v>2800</v>
      </c>
      <c r="O26" s="12">
        <f t="shared" si="14"/>
        <v>2800</v>
      </c>
      <c r="P26" s="12">
        <f t="shared" si="14"/>
        <v>2800</v>
      </c>
      <c r="Q26" s="12">
        <f t="shared" si="14"/>
        <v>2800</v>
      </c>
      <c r="R26" s="12">
        <f t="shared" si="14"/>
        <v>2800</v>
      </c>
      <c r="S26" s="12">
        <f t="shared" si="14"/>
        <v>2800</v>
      </c>
      <c r="T26" s="12">
        <f>S26</f>
        <v>2800</v>
      </c>
      <c r="U26" s="12">
        <f t="shared" ref="T26:AC39" si="15">T26</f>
        <v>2800</v>
      </c>
      <c r="V26" s="12">
        <f t="shared" si="15"/>
        <v>2800</v>
      </c>
      <c r="W26" s="12">
        <f t="shared" si="15"/>
        <v>2800</v>
      </c>
      <c r="X26" s="12">
        <f t="shared" si="15"/>
        <v>2800</v>
      </c>
      <c r="Y26" s="12">
        <f t="shared" si="15"/>
        <v>2800</v>
      </c>
      <c r="Z26" s="12">
        <f t="shared" si="15"/>
        <v>2800</v>
      </c>
      <c r="AA26" s="12">
        <f t="shared" si="15"/>
        <v>2800</v>
      </c>
      <c r="AB26" s="12">
        <f t="shared" si="15"/>
        <v>2800</v>
      </c>
      <c r="AC26" s="12">
        <f t="shared" si="15"/>
        <v>2800</v>
      </c>
    </row>
    <row r="27" spans="1:29" hidden="1">
      <c r="A27" s="48"/>
      <c r="B27" s="54" t="s">
        <v>71</v>
      </c>
      <c r="E27" s="12">
        <f t="shared" ref="E27:J27" si="16">E26*5</f>
        <v>2000</v>
      </c>
      <c r="F27" s="12">
        <f t="shared" si="16"/>
        <v>4000</v>
      </c>
      <c r="G27" s="12">
        <f t="shared" si="16"/>
        <v>6000</v>
      </c>
      <c r="H27" s="12">
        <f t="shared" si="16"/>
        <v>8000</v>
      </c>
      <c r="I27" s="12">
        <f t="shared" si="16"/>
        <v>10000</v>
      </c>
      <c r="J27" s="12">
        <f t="shared" si="16"/>
        <v>14000</v>
      </c>
      <c r="K27" s="12">
        <f>J27</f>
        <v>14000</v>
      </c>
      <c r="L27" s="12">
        <f t="shared" si="14"/>
        <v>14000</v>
      </c>
      <c r="M27" s="12">
        <f t="shared" si="14"/>
        <v>14000</v>
      </c>
      <c r="N27" s="12">
        <f t="shared" si="14"/>
        <v>14000</v>
      </c>
      <c r="O27" s="12">
        <f t="shared" si="14"/>
        <v>14000</v>
      </c>
      <c r="P27" s="12">
        <f t="shared" si="14"/>
        <v>14000</v>
      </c>
      <c r="Q27" s="12">
        <f t="shared" si="14"/>
        <v>14000</v>
      </c>
      <c r="R27" s="12">
        <f t="shared" si="14"/>
        <v>14000</v>
      </c>
      <c r="S27" s="12">
        <f t="shared" si="14"/>
        <v>14000</v>
      </c>
      <c r="T27" s="12">
        <f t="shared" si="14"/>
        <v>14000</v>
      </c>
      <c r="U27" s="12">
        <f t="shared" si="14"/>
        <v>14000</v>
      </c>
      <c r="V27" s="12">
        <f t="shared" si="14"/>
        <v>14000</v>
      </c>
      <c r="W27" s="12">
        <f t="shared" si="14"/>
        <v>14000</v>
      </c>
      <c r="X27" s="12">
        <f t="shared" si="14"/>
        <v>14000</v>
      </c>
      <c r="Y27" s="12">
        <f t="shared" si="14"/>
        <v>14000</v>
      </c>
      <c r="Z27" s="12">
        <f t="shared" si="14"/>
        <v>14000</v>
      </c>
      <c r="AA27" s="12">
        <f t="shared" si="14"/>
        <v>14000</v>
      </c>
      <c r="AB27" s="12">
        <f t="shared" si="15"/>
        <v>14000</v>
      </c>
      <c r="AC27" s="12">
        <f t="shared" si="15"/>
        <v>14000</v>
      </c>
    </row>
    <row r="28" spans="1:29" hidden="1">
      <c r="A28" s="48"/>
      <c r="B28" s="49" t="s">
        <v>67</v>
      </c>
      <c r="E28" s="13">
        <f t="shared" ref="E28:J28" si="17">E27/1000000</f>
        <v>2E-3</v>
      </c>
      <c r="F28" s="13">
        <f t="shared" si="17"/>
        <v>4.0000000000000001E-3</v>
      </c>
      <c r="G28" s="13">
        <f t="shared" si="17"/>
        <v>6.0000000000000001E-3</v>
      </c>
      <c r="H28" s="13">
        <f t="shared" si="17"/>
        <v>8.0000000000000002E-3</v>
      </c>
      <c r="I28" s="13">
        <f t="shared" si="17"/>
        <v>0.01</v>
      </c>
      <c r="J28" s="13">
        <f t="shared" si="17"/>
        <v>1.4E-2</v>
      </c>
      <c r="K28" s="12">
        <f>J28</f>
        <v>1.4E-2</v>
      </c>
      <c r="L28" s="12">
        <f t="shared" si="14"/>
        <v>1.4E-2</v>
      </c>
      <c r="M28" s="12">
        <f t="shared" si="14"/>
        <v>1.4E-2</v>
      </c>
      <c r="N28" s="12">
        <f t="shared" si="14"/>
        <v>1.4E-2</v>
      </c>
      <c r="O28" s="12">
        <f t="shared" si="14"/>
        <v>1.4E-2</v>
      </c>
      <c r="P28" s="12">
        <f t="shared" si="14"/>
        <v>1.4E-2</v>
      </c>
      <c r="Q28" s="12">
        <f t="shared" si="14"/>
        <v>1.4E-2</v>
      </c>
      <c r="R28" s="12">
        <f t="shared" si="14"/>
        <v>1.4E-2</v>
      </c>
      <c r="S28" s="12">
        <f t="shared" si="14"/>
        <v>1.4E-2</v>
      </c>
      <c r="T28" s="12">
        <f t="shared" si="15"/>
        <v>1.4E-2</v>
      </c>
      <c r="U28" s="12">
        <f t="shared" si="15"/>
        <v>1.4E-2</v>
      </c>
      <c r="V28" s="12">
        <f t="shared" si="15"/>
        <v>1.4E-2</v>
      </c>
      <c r="W28" s="12">
        <f t="shared" si="15"/>
        <v>1.4E-2</v>
      </c>
      <c r="X28" s="12">
        <f t="shared" si="15"/>
        <v>1.4E-2</v>
      </c>
      <c r="Y28" s="12">
        <f t="shared" si="15"/>
        <v>1.4E-2</v>
      </c>
      <c r="Z28" s="12">
        <f t="shared" si="15"/>
        <v>1.4E-2</v>
      </c>
      <c r="AA28" s="12">
        <f t="shared" si="15"/>
        <v>1.4E-2</v>
      </c>
      <c r="AB28" s="12">
        <f t="shared" si="15"/>
        <v>1.4E-2</v>
      </c>
      <c r="AC28" s="12">
        <f t="shared" si="15"/>
        <v>1.4E-2</v>
      </c>
    </row>
    <row r="29" spans="1:29" hidden="1">
      <c r="A29" s="48"/>
      <c r="B29" s="49" t="s">
        <v>68</v>
      </c>
      <c r="E29" s="13">
        <v>1</v>
      </c>
      <c r="F29" s="13">
        <v>1</v>
      </c>
      <c r="G29" s="13">
        <v>1</v>
      </c>
      <c r="H29" s="13">
        <v>1</v>
      </c>
      <c r="I29" s="13">
        <v>1</v>
      </c>
      <c r="J29" s="13">
        <v>1</v>
      </c>
      <c r="K29" s="12">
        <f>J29</f>
        <v>1</v>
      </c>
      <c r="L29" s="12">
        <f t="shared" si="14"/>
        <v>1</v>
      </c>
      <c r="M29" s="12">
        <f t="shared" si="14"/>
        <v>1</v>
      </c>
      <c r="N29" s="12">
        <f t="shared" si="14"/>
        <v>1</v>
      </c>
      <c r="O29" s="12">
        <f t="shared" si="14"/>
        <v>1</v>
      </c>
      <c r="P29" s="12">
        <f t="shared" si="14"/>
        <v>1</v>
      </c>
      <c r="Q29" s="12">
        <f t="shared" si="14"/>
        <v>1</v>
      </c>
      <c r="R29" s="12">
        <f t="shared" si="14"/>
        <v>1</v>
      </c>
      <c r="S29" s="12">
        <f t="shared" si="14"/>
        <v>1</v>
      </c>
      <c r="T29" s="12">
        <f t="shared" si="15"/>
        <v>1</v>
      </c>
      <c r="U29" s="12">
        <f t="shared" si="15"/>
        <v>1</v>
      </c>
      <c r="V29" s="12">
        <f t="shared" si="15"/>
        <v>1</v>
      </c>
      <c r="W29" s="12">
        <f t="shared" si="15"/>
        <v>1</v>
      </c>
      <c r="X29" s="12">
        <f t="shared" si="15"/>
        <v>1</v>
      </c>
      <c r="Y29" s="12">
        <f t="shared" si="15"/>
        <v>1</v>
      </c>
      <c r="Z29" s="12">
        <f t="shared" si="15"/>
        <v>1</v>
      </c>
      <c r="AA29" s="12">
        <f t="shared" si="15"/>
        <v>1</v>
      </c>
      <c r="AB29" s="12">
        <f t="shared" si="15"/>
        <v>1</v>
      </c>
      <c r="AC29" s="12">
        <f t="shared" si="15"/>
        <v>1</v>
      </c>
    </row>
    <row r="30" spans="1:29" ht="13.5" hidden="1">
      <c r="A30" s="48"/>
      <c r="B30" s="51" t="s">
        <v>59</v>
      </c>
      <c r="E30" s="20">
        <f t="shared" ref="E30:J30" si="18">E28*E29/10</f>
        <v>2.0000000000000001E-4</v>
      </c>
      <c r="F30" s="20">
        <f t="shared" si="18"/>
        <v>4.0000000000000002E-4</v>
      </c>
      <c r="G30" s="20">
        <f t="shared" si="18"/>
        <v>6.0000000000000006E-4</v>
      </c>
      <c r="H30" s="20">
        <f t="shared" si="18"/>
        <v>8.0000000000000004E-4</v>
      </c>
      <c r="I30" s="20">
        <f t="shared" si="18"/>
        <v>1E-3</v>
      </c>
      <c r="J30" s="20">
        <f t="shared" si="18"/>
        <v>1.4E-3</v>
      </c>
      <c r="K30" s="59">
        <f>J30</f>
        <v>1.4E-3</v>
      </c>
      <c r="L30" s="11">
        <f t="shared" si="14"/>
        <v>1.4E-3</v>
      </c>
      <c r="M30" s="11">
        <f t="shared" si="14"/>
        <v>1.4E-3</v>
      </c>
      <c r="N30" s="11">
        <f t="shared" si="14"/>
        <v>1.4E-3</v>
      </c>
      <c r="O30" s="11">
        <f t="shared" si="14"/>
        <v>1.4E-3</v>
      </c>
      <c r="P30" s="11">
        <f t="shared" si="14"/>
        <v>1.4E-3</v>
      </c>
      <c r="Q30" s="11">
        <f t="shared" si="14"/>
        <v>1.4E-3</v>
      </c>
      <c r="R30" s="11">
        <f t="shared" si="14"/>
        <v>1.4E-3</v>
      </c>
      <c r="S30" s="11">
        <f t="shared" si="14"/>
        <v>1.4E-3</v>
      </c>
      <c r="T30" s="11">
        <f t="shared" si="15"/>
        <v>1.4E-3</v>
      </c>
      <c r="U30" s="11">
        <f t="shared" si="15"/>
        <v>1.4E-3</v>
      </c>
      <c r="V30" s="11">
        <f t="shared" si="15"/>
        <v>1.4E-3</v>
      </c>
      <c r="W30" s="11">
        <f t="shared" si="15"/>
        <v>1.4E-3</v>
      </c>
      <c r="X30" s="11">
        <f t="shared" si="15"/>
        <v>1.4E-3</v>
      </c>
      <c r="Y30" s="11">
        <f t="shared" si="15"/>
        <v>1.4E-3</v>
      </c>
      <c r="Z30" s="11">
        <f t="shared" si="15"/>
        <v>1.4E-3</v>
      </c>
      <c r="AA30" s="11">
        <f t="shared" si="15"/>
        <v>1.4E-3</v>
      </c>
      <c r="AB30" s="11">
        <f t="shared" si="15"/>
        <v>1.4E-3</v>
      </c>
      <c r="AC30" s="11">
        <f t="shared" si="15"/>
        <v>1.4E-3</v>
      </c>
    </row>
    <row r="31" spans="1:29" ht="13.5" hidden="1">
      <c r="A31" s="48"/>
      <c r="B31" s="51" t="s">
        <v>91</v>
      </c>
      <c r="E31" s="20">
        <f>E30*1000</f>
        <v>0.2</v>
      </c>
      <c r="F31" s="20">
        <f t="shared" ref="F31:S31" si="19">F30*1000</f>
        <v>0.4</v>
      </c>
      <c r="G31" s="20">
        <f t="shared" si="19"/>
        <v>0.60000000000000009</v>
      </c>
      <c r="H31" s="20">
        <f t="shared" si="19"/>
        <v>0.8</v>
      </c>
      <c r="I31" s="20">
        <f t="shared" si="19"/>
        <v>1</v>
      </c>
      <c r="J31" s="20">
        <f t="shared" si="19"/>
        <v>1.4</v>
      </c>
      <c r="K31" s="20">
        <f t="shared" si="19"/>
        <v>1.4</v>
      </c>
      <c r="L31" s="20">
        <f t="shared" si="19"/>
        <v>1.4</v>
      </c>
      <c r="M31" s="20">
        <f t="shared" si="19"/>
        <v>1.4</v>
      </c>
      <c r="N31" s="20">
        <f t="shared" si="19"/>
        <v>1.4</v>
      </c>
      <c r="O31" s="20">
        <f t="shared" si="19"/>
        <v>1.4</v>
      </c>
      <c r="P31" s="20">
        <f t="shared" si="19"/>
        <v>1.4</v>
      </c>
      <c r="Q31" s="20">
        <f t="shared" si="19"/>
        <v>1.4</v>
      </c>
      <c r="R31" s="20">
        <f t="shared" si="19"/>
        <v>1.4</v>
      </c>
      <c r="S31" s="20">
        <f t="shared" si="19"/>
        <v>1.4</v>
      </c>
      <c r="T31" s="11">
        <f t="shared" si="15"/>
        <v>1.4</v>
      </c>
      <c r="U31" s="11">
        <f t="shared" si="15"/>
        <v>1.4</v>
      </c>
      <c r="V31" s="11">
        <f t="shared" si="15"/>
        <v>1.4</v>
      </c>
      <c r="W31" s="11">
        <f t="shared" si="15"/>
        <v>1.4</v>
      </c>
      <c r="X31" s="11">
        <f t="shared" si="15"/>
        <v>1.4</v>
      </c>
      <c r="Y31" s="11">
        <f t="shared" si="15"/>
        <v>1.4</v>
      </c>
      <c r="Z31" s="11">
        <f t="shared" si="15"/>
        <v>1.4</v>
      </c>
      <c r="AA31" s="11">
        <f t="shared" si="15"/>
        <v>1.4</v>
      </c>
      <c r="AB31" s="11">
        <f t="shared" si="15"/>
        <v>1.4</v>
      </c>
      <c r="AC31" s="11">
        <f t="shared" si="15"/>
        <v>1.4</v>
      </c>
    </row>
    <row r="32" spans="1:29" hidden="1">
      <c r="A32" s="48" t="s">
        <v>148</v>
      </c>
      <c r="B32" s="106" t="s">
        <v>72</v>
      </c>
      <c r="E32" s="12">
        <v>20000</v>
      </c>
      <c r="F32" s="12">
        <v>40000</v>
      </c>
      <c r="G32" s="12">
        <v>60000</v>
      </c>
      <c r="H32" s="12">
        <v>80000</v>
      </c>
      <c r="I32" s="12">
        <v>100000</v>
      </c>
      <c r="J32" s="12">
        <v>140000</v>
      </c>
      <c r="K32" s="12">
        <f>J32</f>
        <v>140000</v>
      </c>
      <c r="L32" s="12">
        <f t="shared" ref="L32:S36" si="20">K32</f>
        <v>140000</v>
      </c>
      <c r="M32" s="12">
        <f t="shared" si="20"/>
        <v>140000</v>
      </c>
      <c r="N32" s="12">
        <f t="shared" si="20"/>
        <v>140000</v>
      </c>
      <c r="O32" s="12">
        <f t="shared" si="20"/>
        <v>140000</v>
      </c>
      <c r="P32" s="12">
        <f t="shared" si="20"/>
        <v>140000</v>
      </c>
      <c r="Q32" s="12">
        <f t="shared" si="20"/>
        <v>140000</v>
      </c>
      <c r="R32" s="12">
        <f t="shared" si="20"/>
        <v>140000</v>
      </c>
      <c r="S32" s="12">
        <f t="shared" si="20"/>
        <v>140000</v>
      </c>
      <c r="T32" s="12">
        <f t="shared" si="15"/>
        <v>140000</v>
      </c>
      <c r="U32" s="12">
        <f t="shared" si="15"/>
        <v>140000</v>
      </c>
      <c r="V32" s="12">
        <f t="shared" si="15"/>
        <v>140000</v>
      </c>
      <c r="W32" s="12">
        <f t="shared" si="15"/>
        <v>140000</v>
      </c>
      <c r="X32" s="12">
        <f t="shared" si="15"/>
        <v>140000</v>
      </c>
      <c r="Y32" s="12">
        <f t="shared" si="15"/>
        <v>140000</v>
      </c>
      <c r="Z32" s="12">
        <f t="shared" si="15"/>
        <v>140000</v>
      </c>
      <c r="AA32" s="12">
        <f t="shared" si="15"/>
        <v>140000</v>
      </c>
      <c r="AB32" s="12">
        <f t="shared" si="15"/>
        <v>140000</v>
      </c>
      <c r="AC32" s="12">
        <f t="shared" si="15"/>
        <v>140000</v>
      </c>
    </row>
    <row r="33" spans="1:29" hidden="1">
      <c r="A33" s="48"/>
      <c r="B33" s="55" t="s">
        <v>73</v>
      </c>
      <c r="E33" s="12">
        <f t="shared" ref="E33:J33" si="21">E32/4</f>
        <v>5000</v>
      </c>
      <c r="F33" s="12">
        <f t="shared" si="21"/>
        <v>10000</v>
      </c>
      <c r="G33" s="12">
        <f t="shared" si="21"/>
        <v>15000</v>
      </c>
      <c r="H33" s="12">
        <f t="shared" si="21"/>
        <v>20000</v>
      </c>
      <c r="I33" s="12">
        <f t="shared" si="21"/>
        <v>25000</v>
      </c>
      <c r="J33" s="12">
        <f t="shared" si="21"/>
        <v>35000</v>
      </c>
      <c r="K33" s="12">
        <f>J33</f>
        <v>35000</v>
      </c>
      <c r="L33" s="12">
        <f t="shared" si="20"/>
        <v>35000</v>
      </c>
      <c r="M33" s="12">
        <f t="shared" si="20"/>
        <v>35000</v>
      </c>
      <c r="N33" s="12">
        <f t="shared" si="20"/>
        <v>35000</v>
      </c>
      <c r="O33" s="12">
        <f t="shared" si="20"/>
        <v>35000</v>
      </c>
      <c r="P33" s="12">
        <f t="shared" si="20"/>
        <v>35000</v>
      </c>
      <c r="Q33" s="12">
        <f t="shared" si="20"/>
        <v>35000</v>
      </c>
      <c r="R33" s="12">
        <f t="shared" si="20"/>
        <v>35000</v>
      </c>
      <c r="S33" s="12">
        <f t="shared" si="20"/>
        <v>35000</v>
      </c>
      <c r="T33" s="12">
        <f t="shared" si="15"/>
        <v>35000</v>
      </c>
      <c r="U33" s="12">
        <f t="shared" si="15"/>
        <v>35000</v>
      </c>
      <c r="V33" s="12">
        <f t="shared" si="15"/>
        <v>35000</v>
      </c>
      <c r="W33" s="12">
        <f t="shared" si="15"/>
        <v>35000</v>
      </c>
      <c r="X33" s="12">
        <f t="shared" si="15"/>
        <v>35000</v>
      </c>
      <c r="Y33" s="12">
        <f t="shared" si="15"/>
        <v>35000</v>
      </c>
      <c r="Z33" s="12">
        <f t="shared" si="15"/>
        <v>35000</v>
      </c>
      <c r="AA33" s="12">
        <f t="shared" si="15"/>
        <v>35000</v>
      </c>
      <c r="AB33" s="12">
        <f t="shared" si="15"/>
        <v>35000</v>
      </c>
      <c r="AC33" s="12">
        <f t="shared" si="15"/>
        <v>35000</v>
      </c>
    </row>
    <row r="34" spans="1:29" hidden="1">
      <c r="A34" s="48"/>
      <c r="B34" s="55" t="s">
        <v>73</v>
      </c>
      <c r="E34" s="12">
        <f t="shared" ref="E34:J34" si="22">E32/10</f>
        <v>2000</v>
      </c>
      <c r="F34" s="12">
        <f t="shared" si="22"/>
        <v>4000</v>
      </c>
      <c r="G34" s="12">
        <f t="shared" si="22"/>
        <v>6000</v>
      </c>
      <c r="H34" s="12">
        <f t="shared" si="22"/>
        <v>8000</v>
      </c>
      <c r="I34" s="12">
        <f t="shared" si="22"/>
        <v>10000</v>
      </c>
      <c r="J34" s="12">
        <f t="shared" si="22"/>
        <v>14000</v>
      </c>
      <c r="K34" s="12">
        <f>J34</f>
        <v>14000</v>
      </c>
      <c r="L34" s="12">
        <f t="shared" si="20"/>
        <v>14000</v>
      </c>
      <c r="M34" s="12">
        <f t="shared" si="20"/>
        <v>14000</v>
      </c>
      <c r="N34" s="12">
        <f t="shared" si="20"/>
        <v>14000</v>
      </c>
      <c r="O34" s="12">
        <f t="shared" si="20"/>
        <v>14000</v>
      </c>
      <c r="P34" s="12">
        <f t="shared" si="20"/>
        <v>14000</v>
      </c>
      <c r="Q34" s="12">
        <f t="shared" si="20"/>
        <v>14000</v>
      </c>
      <c r="R34" s="12">
        <f t="shared" si="20"/>
        <v>14000</v>
      </c>
      <c r="S34" s="12">
        <f t="shared" si="20"/>
        <v>14000</v>
      </c>
      <c r="T34" s="12">
        <f t="shared" si="15"/>
        <v>14000</v>
      </c>
      <c r="U34" s="12">
        <f t="shared" si="15"/>
        <v>14000</v>
      </c>
      <c r="V34" s="12">
        <f t="shared" si="15"/>
        <v>14000</v>
      </c>
      <c r="W34" s="12">
        <f t="shared" si="15"/>
        <v>14000</v>
      </c>
      <c r="X34" s="12">
        <f t="shared" si="15"/>
        <v>14000</v>
      </c>
      <c r="Y34" s="12">
        <f t="shared" si="15"/>
        <v>14000</v>
      </c>
      <c r="Z34" s="12">
        <f t="shared" si="15"/>
        <v>14000</v>
      </c>
      <c r="AA34" s="12">
        <f t="shared" si="15"/>
        <v>14000</v>
      </c>
      <c r="AB34" s="12">
        <f t="shared" si="15"/>
        <v>14000</v>
      </c>
      <c r="AC34" s="12">
        <f t="shared" si="15"/>
        <v>14000</v>
      </c>
    </row>
    <row r="35" spans="1:29" hidden="1">
      <c r="A35" s="48"/>
      <c r="B35" s="49" t="s">
        <v>66</v>
      </c>
      <c r="C35" s="13"/>
      <c r="D35" s="13"/>
      <c r="E35" s="13">
        <v>40</v>
      </c>
      <c r="F35" s="13">
        <v>40</v>
      </c>
      <c r="G35" s="13">
        <v>40</v>
      </c>
      <c r="H35" s="13">
        <v>40</v>
      </c>
      <c r="I35" s="13">
        <v>40</v>
      </c>
      <c r="J35" s="13">
        <v>40</v>
      </c>
      <c r="K35" s="13">
        <v>40</v>
      </c>
      <c r="L35" s="12">
        <f>K35</f>
        <v>40</v>
      </c>
      <c r="M35" s="12">
        <f t="shared" si="20"/>
        <v>40</v>
      </c>
      <c r="N35" s="12">
        <f t="shared" si="20"/>
        <v>40</v>
      </c>
      <c r="O35" s="12">
        <f t="shared" si="20"/>
        <v>40</v>
      </c>
      <c r="P35" s="12">
        <f t="shared" si="20"/>
        <v>40</v>
      </c>
      <c r="Q35" s="12">
        <f t="shared" si="20"/>
        <v>40</v>
      </c>
      <c r="R35" s="12">
        <f t="shared" si="20"/>
        <v>40</v>
      </c>
      <c r="S35" s="12">
        <f t="shared" si="20"/>
        <v>40</v>
      </c>
      <c r="T35" s="12">
        <f t="shared" si="15"/>
        <v>40</v>
      </c>
      <c r="U35" s="12">
        <f t="shared" si="15"/>
        <v>40</v>
      </c>
      <c r="V35" s="12">
        <f t="shared" si="15"/>
        <v>40</v>
      </c>
      <c r="W35" s="12">
        <f t="shared" si="15"/>
        <v>40</v>
      </c>
      <c r="X35" s="12">
        <f t="shared" si="15"/>
        <v>40</v>
      </c>
      <c r="Y35" s="12">
        <f t="shared" si="15"/>
        <v>40</v>
      </c>
      <c r="Z35" s="12">
        <f t="shared" si="15"/>
        <v>40</v>
      </c>
      <c r="AA35" s="12">
        <f t="shared" si="15"/>
        <v>40</v>
      </c>
      <c r="AB35" s="12">
        <f t="shared" si="15"/>
        <v>40</v>
      </c>
      <c r="AC35" s="12">
        <f t="shared" si="15"/>
        <v>40</v>
      </c>
    </row>
    <row r="36" spans="1:29" ht="15" hidden="1">
      <c r="A36" s="48"/>
      <c r="B36" s="49" t="s">
        <v>67</v>
      </c>
      <c r="E36" s="21">
        <f>E34*E35/1000000</f>
        <v>0.08</v>
      </c>
      <c r="F36" s="21">
        <f t="shared" ref="F36:K36" si="23">F34*F35/1000000</f>
        <v>0.16</v>
      </c>
      <c r="G36" s="21">
        <f t="shared" si="23"/>
        <v>0.24</v>
      </c>
      <c r="H36" s="21">
        <f t="shared" si="23"/>
        <v>0.32</v>
      </c>
      <c r="I36" s="21">
        <f t="shared" si="23"/>
        <v>0.4</v>
      </c>
      <c r="J36" s="21">
        <f t="shared" si="23"/>
        <v>0.56000000000000005</v>
      </c>
      <c r="K36" s="22">
        <f t="shared" si="23"/>
        <v>0.56000000000000005</v>
      </c>
      <c r="L36" s="29">
        <f>K36</f>
        <v>0.56000000000000005</v>
      </c>
      <c r="M36" s="12">
        <f t="shared" si="20"/>
        <v>0.56000000000000005</v>
      </c>
      <c r="N36" s="12">
        <f t="shared" si="20"/>
        <v>0.56000000000000005</v>
      </c>
      <c r="O36" s="12">
        <f t="shared" si="20"/>
        <v>0.56000000000000005</v>
      </c>
      <c r="P36" s="12">
        <f t="shared" si="20"/>
        <v>0.56000000000000005</v>
      </c>
      <c r="Q36" s="12">
        <f t="shared" si="20"/>
        <v>0.56000000000000005</v>
      </c>
      <c r="R36" s="12">
        <f t="shared" si="20"/>
        <v>0.56000000000000005</v>
      </c>
      <c r="S36" s="12">
        <f t="shared" si="20"/>
        <v>0.56000000000000005</v>
      </c>
      <c r="T36" s="12">
        <f t="shared" si="15"/>
        <v>0.56000000000000005</v>
      </c>
      <c r="U36" s="12">
        <f t="shared" si="15"/>
        <v>0.56000000000000005</v>
      </c>
      <c r="V36" s="12">
        <f t="shared" si="15"/>
        <v>0.56000000000000005</v>
      </c>
      <c r="W36" s="12">
        <f t="shared" si="15"/>
        <v>0.56000000000000005</v>
      </c>
      <c r="X36" s="12">
        <f t="shared" si="15"/>
        <v>0.56000000000000005</v>
      </c>
      <c r="Y36" s="12">
        <f t="shared" si="15"/>
        <v>0.56000000000000005</v>
      </c>
      <c r="Z36" s="12">
        <f t="shared" si="15"/>
        <v>0.56000000000000005</v>
      </c>
      <c r="AA36" s="12">
        <f t="shared" si="15"/>
        <v>0.56000000000000005</v>
      </c>
      <c r="AB36" s="12">
        <f t="shared" si="15"/>
        <v>0.56000000000000005</v>
      </c>
      <c r="AC36" s="12">
        <f t="shared" si="15"/>
        <v>0.56000000000000005</v>
      </c>
    </row>
    <row r="37" spans="1:29" hidden="1">
      <c r="A37" s="48"/>
      <c r="B37" s="49" t="s">
        <v>68</v>
      </c>
      <c r="E37" s="13">
        <v>1</v>
      </c>
      <c r="F37" s="13">
        <v>1</v>
      </c>
      <c r="G37" s="13">
        <v>1</v>
      </c>
      <c r="H37" s="13">
        <v>1</v>
      </c>
      <c r="I37" s="13">
        <v>1</v>
      </c>
      <c r="J37" s="13">
        <v>1</v>
      </c>
      <c r="K37" s="12">
        <f>J37</f>
        <v>1</v>
      </c>
      <c r="L37" s="12">
        <f t="shared" ref="L37:S38" si="24">K37</f>
        <v>1</v>
      </c>
      <c r="M37" s="12">
        <f t="shared" si="24"/>
        <v>1</v>
      </c>
      <c r="N37" s="12">
        <f t="shared" si="24"/>
        <v>1</v>
      </c>
      <c r="O37" s="12">
        <f t="shared" si="24"/>
        <v>1</v>
      </c>
      <c r="P37" s="12">
        <f t="shared" si="24"/>
        <v>1</v>
      </c>
      <c r="Q37" s="12">
        <f t="shared" si="24"/>
        <v>1</v>
      </c>
      <c r="R37" s="12">
        <f t="shared" si="24"/>
        <v>1</v>
      </c>
      <c r="S37" s="12">
        <f t="shared" si="24"/>
        <v>1</v>
      </c>
      <c r="T37" s="12">
        <f t="shared" si="15"/>
        <v>1</v>
      </c>
      <c r="U37" s="12">
        <f t="shared" si="15"/>
        <v>1</v>
      </c>
      <c r="V37" s="12">
        <f t="shared" si="15"/>
        <v>1</v>
      </c>
      <c r="W37" s="12">
        <f t="shared" si="15"/>
        <v>1</v>
      </c>
      <c r="X37" s="12">
        <f t="shared" si="15"/>
        <v>1</v>
      </c>
      <c r="Y37" s="12">
        <f t="shared" si="15"/>
        <v>1</v>
      </c>
      <c r="Z37" s="12">
        <f t="shared" si="15"/>
        <v>1</v>
      </c>
      <c r="AA37" s="12">
        <f t="shared" si="15"/>
        <v>1</v>
      </c>
      <c r="AB37" s="12">
        <f t="shared" si="15"/>
        <v>1</v>
      </c>
      <c r="AC37" s="12">
        <f t="shared" si="15"/>
        <v>1</v>
      </c>
    </row>
    <row r="38" spans="1:29" ht="13.5" hidden="1">
      <c r="A38" s="48"/>
      <c r="B38" s="51" t="s">
        <v>59</v>
      </c>
      <c r="E38" s="18">
        <f t="shared" ref="E38:J38" si="25">E36*E37/10</f>
        <v>8.0000000000000002E-3</v>
      </c>
      <c r="F38" s="18">
        <f t="shared" si="25"/>
        <v>1.6E-2</v>
      </c>
      <c r="G38" s="18">
        <f t="shared" si="25"/>
        <v>2.4E-2</v>
      </c>
      <c r="H38" s="18">
        <f t="shared" si="25"/>
        <v>3.2000000000000001E-2</v>
      </c>
      <c r="I38" s="18">
        <f t="shared" si="25"/>
        <v>0.04</v>
      </c>
      <c r="J38" s="18">
        <f t="shared" si="25"/>
        <v>5.6000000000000008E-2</v>
      </c>
      <c r="K38" s="19">
        <f>J38</f>
        <v>5.6000000000000008E-2</v>
      </c>
      <c r="L38" s="19">
        <f t="shared" si="24"/>
        <v>5.6000000000000008E-2</v>
      </c>
      <c r="M38" s="19">
        <f t="shared" si="24"/>
        <v>5.6000000000000008E-2</v>
      </c>
      <c r="N38" s="19">
        <f t="shared" si="24"/>
        <v>5.6000000000000008E-2</v>
      </c>
      <c r="O38" s="19">
        <f t="shared" si="24"/>
        <v>5.6000000000000008E-2</v>
      </c>
      <c r="P38" s="19">
        <f t="shared" si="24"/>
        <v>5.6000000000000008E-2</v>
      </c>
      <c r="Q38" s="19">
        <f t="shared" si="24"/>
        <v>5.6000000000000008E-2</v>
      </c>
      <c r="R38" s="19">
        <f t="shared" si="24"/>
        <v>5.6000000000000008E-2</v>
      </c>
      <c r="S38" s="19">
        <f t="shared" si="24"/>
        <v>5.6000000000000008E-2</v>
      </c>
      <c r="T38" s="11">
        <f t="shared" si="15"/>
        <v>5.6000000000000008E-2</v>
      </c>
      <c r="U38" s="11">
        <f t="shared" si="15"/>
        <v>5.6000000000000008E-2</v>
      </c>
      <c r="V38" s="11">
        <f t="shared" si="15"/>
        <v>5.6000000000000008E-2</v>
      </c>
      <c r="W38" s="11">
        <f t="shared" si="15"/>
        <v>5.6000000000000008E-2</v>
      </c>
      <c r="X38" s="11">
        <f t="shared" si="15"/>
        <v>5.6000000000000008E-2</v>
      </c>
      <c r="Y38" s="11">
        <f t="shared" si="15"/>
        <v>5.6000000000000008E-2</v>
      </c>
      <c r="Z38" s="11">
        <f t="shared" si="15"/>
        <v>5.6000000000000008E-2</v>
      </c>
      <c r="AA38" s="11">
        <f t="shared" si="15"/>
        <v>5.6000000000000008E-2</v>
      </c>
      <c r="AB38" s="11">
        <f t="shared" si="15"/>
        <v>5.6000000000000008E-2</v>
      </c>
      <c r="AC38" s="11">
        <f t="shared" si="15"/>
        <v>5.6000000000000008E-2</v>
      </c>
    </row>
    <row r="39" spans="1:29" ht="13.5" hidden="1">
      <c r="A39" s="48"/>
      <c r="B39" s="51" t="s">
        <v>91</v>
      </c>
      <c r="E39" s="18">
        <f>E38*1000</f>
        <v>8</v>
      </c>
      <c r="F39" s="18">
        <f t="shared" ref="F39:S39" si="26">F38*1000</f>
        <v>16</v>
      </c>
      <c r="G39" s="18">
        <f t="shared" si="26"/>
        <v>24</v>
      </c>
      <c r="H39" s="18">
        <f t="shared" si="26"/>
        <v>32</v>
      </c>
      <c r="I39" s="18">
        <f t="shared" si="26"/>
        <v>40</v>
      </c>
      <c r="J39" s="18">
        <f t="shared" si="26"/>
        <v>56.000000000000007</v>
      </c>
      <c r="K39" s="18">
        <f t="shared" si="26"/>
        <v>56.000000000000007</v>
      </c>
      <c r="L39" s="18">
        <f t="shared" si="26"/>
        <v>56.000000000000007</v>
      </c>
      <c r="M39" s="18">
        <f t="shared" si="26"/>
        <v>56.000000000000007</v>
      </c>
      <c r="N39" s="18">
        <f t="shared" si="26"/>
        <v>56.000000000000007</v>
      </c>
      <c r="O39" s="18">
        <f t="shared" si="26"/>
        <v>56.000000000000007</v>
      </c>
      <c r="P39" s="18">
        <f t="shared" si="26"/>
        <v>56.000000000000007</v>
      </c>
      <c r="Q39" s="18">
        <f t="shared" si="26"/>
        <v>56.000000000000007</v>
      </c>
      <c r="R39" s="18">
        <f t="shared" si="26"/>
        <v>56.000000000000007</v>
      </c>
      <c r="S39" s="18">
        <f t="shared" si="26"/>
        <v>56.000000000000007</v>
      </c>
      <c r="T39" s="11">
        <f t="shared" si="15"/>
        <v>56.000000000000007</v>
      </c>
      <c r="U39" s="11">
        <f t="shared" si="15"/>
        <v>56.000000000000007</v>
      </c>
      <c r="V39" s="11">
        <f t="shared" si="15"/>
        <v>56.000000000000007</v>
      </c>
      <c r="W39" s="11">
        <f t="shared" si="15"/>
        <v>56.000000000000007</v>
      </c>
      <c r="X39" s="11">
        <f t="shared" si="15"/>
        <v>56.000000000000007</v>
      </c>
      <c r="Y39" s="11">
        <f t="shared" si="15"/>
        <v>56.000000000000007</v>
      </c>
      <c r="Z39" s="11">
        <f t="shared" si="15"/>
        <v>56.000000000000007</v>
      </c>
      <c r="AA39" s="11">
        <f t="shared" si="15"/>
        <v>56.000000000000007</v>
      </c>
      <c r="AB39" s="11">
        <f t="shared" si="15"/>
        <v>56.000000000000007</v>
      </c>
      <c r="AC39" s="11">
        <f t="shared" si="15"/>
        <v>56.000000000000007</v>
      </c>
    </row>
    <row r="40" spans="1:29" hidden="1">
      <c r="A40" s="48"/>
      <c r="B40" s="49"/>
      <c r="E40" s="12">
        <f>+E6</f>
        <v>366000</v>
      </c>
      <c r="F40" s="12">
        <f>+F6-E6</f>
        <v>375000</v>
      </c>
      <c r="G40" s="12">
        <f t="shared" ref="G40:I40" si="27">+G6-F6</f>
        <v>447000</v>
      </c>
      <c r="H40" s="12">
        <f t="shared" si="27"/>
        <v>630000</v>
      </c>
      <c r="I40" s="12">
        <f t="shared" si="27"/>
        <v>574800</v>
      </c>
      <c r="J40" s="12">
        <f>+J6-I6</f>
        <v>326400</v>
      </c>
      <c r="K40" s="12">
        <f>+K6-J6</f>
        <v>0</v>
      </c>
      <c r="L40" s="12">
        <f>+L6-K6</f>
        <v>0</v>
      </c>
    </row>
    <row r="41" spans="1:29">
      <c r="A41" s="48"/>
      <c r="B41" s="48" t="s">
        <v>254</v>
      </c>
      <c r="C41" s="153">
        <f>+C59*1.03</f>
        <v>4.6587414999999996</v>
      </c>
      <c r="D41" s="182"/>
    </row>
    <row r="42" spans="1:29">
      <c r="A42" s="48"/>
      <c r="B42" s="48" t="s">
        <v>261</v>
      </c>
      <c r="C42" s="156">
        <f>+C41*E59</f>
        <v>0.46587414999999999</v>
      </c>
      <c r="D42" s="182"/>
    </row>
    <row r="43" spans="1:29" s="163" customFormat="1" ht="15">
      <c r="A43" s="160"/>
      <c r="B43" s="161" t="s">
        <v>253</v>
      </c>
      <c r="C43" s="161" t="s">
        <v>271</v>
      </c>
      <c r="D43" s="161"/>
      <c r="E43" s="162">
        <v>0</v>
      </c>
      <c r="F43" s="162">
        <f>$C$42*E6*365/1000000000</f>
        <v>6.2236127698500003E-2</v>
      </c>
      <c r="G43" s="162">
        <f t="shared" ref="G43:AC43" si="28">$C$42*F6*365/1000000000</f>
        <v>0.12600265197975</v>
      </c>
      <c r="H43" s="162">
        <f t="shared" si="28"/>
        <v>0.20201234892300002</v>
      </c>
      <c r="I43" s="162">
        <f t="shared" si="28"/>
        <v>0.30914010971549999</v>
      </c>
      <c r="J43" s="162">
        <f t="shared" si="28"/>
        <v>0.40688143813379996</v>
      </c>
      <c r="K43" s="162">
        <f t="shared" si="28"/>
        <v>0.46238382086820001</v>
      </c>
      <c r="L43" s="162">
        <f t="shared" si="28"/>
        <v>0.46238382086820001</v>
      </c>
      <c r="M43" s="162">
        <f t="shared" si="28"/>
        <v>0.46238382086820001</v>
      </c>
      <c r="N43" s="162">
        <f t="shared" si="28"/>
        <v>0.46238382086820001</v>
      </c>
      <c r="O43" s="162">
        <f t="shared" si="28"/>
        <v>0.46238382086820001</v>
      </c>
      <c r="P43" s="162">
        <f t="shared" si="28"/>
        <v>0.46238382086820001</v>
      </c>
      <c r="Q43" s="162">
        <f t="shared" si="28"/>
        <v>0.46238382086820001</v>
      </c>
      <c r="R43" s="162">
        <f t="shared" si="28"/>
        <v>0.46238382086820001</v>
      </c>
      <c r="S43" s="162">
        <f t="shared" si="28"/>
        <v>0.46238382086820001</v>
      </c>
      <c r="T43" s="162">
        <f t="shared" si="28"/>
        <v>0.46238382086820001</v>
      </c>
      <c r="U43" s="162">
        <f t="shared" si="28"/>
        <v>0.46238382086820001</v>
      </c>
      <c r="V43" s="162">
        <f t="shared" si="28"/>
        <v>0.46238382086820001</v>
      </c>
      <c r="W43" s="162">
        <f t="shared" si="28"/>
        <v>0.46238382086820001</v>
      </c>
      <c r="X43" s="162">
        <f t="shared" si="28"/>
        <v>0.46238382086820001</v>
      </c>
      <c r="Y43" s="162">
        <f t="shared" si="28"/>
        <v>0.46238382086820001</v>
      </c>
      <c r="Z43" s="162">
        <f t="shared" si="28"/>
        <v>0.46238382086820001</v>
      </c>
      <c r="AA43" s="162">
        <f t="shared" si="28"/>
        <v>0.46238382086820001</v>
      </c>
      <c r="AB43" s="162">
        <f t="shared" si="28"/>
        <v>0.46238382086820001</v>
      </c>
      <c r="AC43" s="162">
        <f t="shared" si="28"/>
        <v>0.46238382086820001</v>
      </c>
    </row>
    <row r="44" spans="1:29" hidden="1">
      <c r="A44" s="48"/>
      <c r="B44" s="49" t="s">
        <v>94</v>
      </c>
      <c r="C44" s="28">
        <f>'Feed and Fodder'!S4</f>
        <v>2.5000000000000001E-3</v>
      </c>
      <c r="D44" s="28"/>
      <c r="E44" s="31">
        <f>$C$44*E43</f>
        <v>0</v>
      </c>
      <c r="F44" s="31">
        <f t="shared" ref="F44:AC44" si="29">$C$44*F43</f>
        <v>1.5559031924625001E-4</v>
      </c>
      <c r="G44" s="31">
        <f t="shared" si="29"/>
        <v>3.15006629949375E-4</v>
      </c>
      <c r="H44" s="31">
        <f t="shared" si="29"/>
        <v>5.0503087230750006E-4</v>
      </c>
      <c r="I44" s="31">
        <f t="shared" si="29"/>
        <v>7.7285027428874997E-4</v>
      </c>
      <c r="J44" s="31">
        <f t="shared" si="29"/>
        <v>1.0172035953345E-3</v>
      </c>
      <c r="K44" s="31">
        <f t="shared" si="29"/>
        <v>1.1559595521705001E-3</v>
      </c>
      <c r="L44" s="31">
        <f t="shared" si="29"/>
        <v>1.1559595521705001E-3</v>
      </c>
      <c r="M44" s="31">
        <f t="shared" si="29"/>
        <v>1.1559595521705001E-3</v>
      </c>
      <c r="N44" s="31">
        <f t="shared" si="29"/>
        <v>1.1559595521705001E-3</v>
      </c>
      <c r="O44" s="31">
        <f t="shared" si="29"/>
        <v>1.1559595521705001E-3</v>
      </c>
      <c r="P44" s="31">
        <f t="shared" si="29"/>
        <v>1.1559595521705001E-3</v>
      </c>
      <c r="Q44" s="31">
        <f t="shared" si="29"/>
        <v>1.1559595521705001E-3</v>
      </c>
      <c r="R44" s="31">
        <f t="shared" si="29"/>
        <v>1.1559595521705001E-3</v>
      </c>
      <c r="S44" s="31">
        <f t="shared" si="29"/>
        <v>1.1559595521705001E-3</v>
      </c>
      <c r="T44" s="31">
        <f t="shared" si="29"/>
        <v>1.1559595521705001E-3</v>
      </c>
      <c r="U44" s="31">
        <f t="shared" si="29"/>
        <v>1.1559595521705001E-3</v>
      </c>
      <c r="V44" s="31">
        <f t="shared" si="29"/>
        <v>1.1559595521705001E-3</v>
      </c>
      <c r="W44" s="31">
        <f t="shared" si="29"/>
        <v>1.1559595521705001E-3</v>
      </c>
      <c r="X44" s="31">
        <f t="shared" si="29"/>
        <v>1.1559595521705001E-3</v>
      </c>
      <c r="Y44" s="31">
        <f t="shared" si="29"/>
        <v>1.1559595521705001E-3</v>
      </c>
      <c r="Z44" s="31">
        <f t="shared" si="29"/>
        <v>1.1559595521705001E-3</v>
      </c>
      <c r="AA44" s="31">
        <f t="shared" si="29"/>
        <v>1.1559595521705001E-3</v>
      </c>
      <c r="AB44" s="31">
        <f t="shared" si="29"/>
        <v>1.1559595521705001E-3</v>
      </c>
      <c r="AC44" s="31">
        <f t="shared" si="29"/>
        <v>1.1559595521705001E-3</v>
      </c>
    </row>
    <row r="45" spans="1:29" ht="15">
      <c r="A45" s="48"/>
      <c r="B45" s="169" t="s">
        <v>92</v>
      </c>
      <c r="C45" s="170" t="s">
        <v>100</v>
      </c>
      <c r="D45" s="170"/>
      <c r="E45" s="171">
        <v>0</v>
      </c>
      <c r="F45" s="171">
        <f>+$C$71*$C$41*E6*365/1000000</f>
        <v>363.66121161123584</v>
      </c>
      <c r="G45" s="171">
        <f t="shared" ref="G45:AC45" si="30">+$C$71*$C$41*F6*365/1000000</f>
        <v>736.26491203258411</v>
      </c>
      <c r="H45" s="171">
        <f t="shared" si="30"/>
        <v>1180.4085229348311</v>
      </c>
      <c r="I45" s="171">
        <f t="shared" si="30"/>
        <v>1806.3827396426959</v>
      </c>
      <c r="J45" s="171">
        <f t="shared" si="30"/>
        <v>2377.5096916485381</v>
      </c>
      <c r="K45" s="171">
        <f t="shared" si="30"/>
        <v>2701.8239524952796</v>
      </c>
      <c r="L45" s="171">
        <f t="shared" si="30"/>
        <v>2701.8239524952796</v>
      </c>
      <c r="M45" s="171">
        <f t="shared" si="30"/>
        <v>2701.8239524952796</v>
      </c>
      <c r="N45" s="171">
        <f t="shared" si="30"/>
        <v>2701.8239524952796</v>
      </c>
      <c r="O45" s="171">
        <f t="shared" si="30"/>
        <v>2701.8239524952796</v>
      </c>
      <c r="P45" s="171">
        <f t="shared" si="30"/>
        <v>2701.8239524952796</v>
      </c>
      <c r="Q45" s="171">
        <f t="shared" si="30"/>
        <v>2701.8239524952796</v>
      </c>
      <c r="R45" s="171">
        <f t="shared" si="30"/>
        <v>2701.8239524952796</v>
      </c>
      <c r="S45" s="171">
        <f t="shared" si="30"/>
        <v>2701.8239524952796</v>
      </c>
      <c r="T45" s="171">
        <f t="shared" si="30"/>
        <v>2701.8239524952796</v>
      </c>
      <c r="U45" s="171">
        <f t="shared" si="30"/>
        <v>2701.8239524952796</v>
      </c>
      <c r="V45" s="171">
        <f t="shared" si="30"/>
        <v>2701.8239524952796</v>
      </c>
      <c r="W45" s="171">
        <f t="shared" si="30"/>
        <v>2701.8239524952796</v>
      </c>
      <c r="X45" s="171">
        <f t="shared" si="30"/>
        <v>2701.8239524952796</v>
      </c>
      <c r="Y45" s="171">
        <f t="shared" si="30"/>
        <v>2701.8239524952796</v>
      </c>
      <c r="Z45" s="171">
        <f t="shared" si="30"/>
        <v>2701.8239524952796</v>
      </c>
      <c r="AA45" s="171">
        <f t="shared" si="30"/>
        <v>2701.8239524952796</v>
      </c>
      <c r="AB45" s="171">
        <f t="shared" si="30"/>
        <v>2701.8239524952796</v>
      </c>
      <c r="AC45" s="171">
        <f t="shared" si="30"/>
        <v>2701.8239524952796</v>
      </c>
    </row>
    <row r="46" spans="1:29" ht="13.5" thickBot="1"/>
    <row r="47" spans="1:29" ht="13.5" thickBot="1">
      <c r="B47" s="166" t="s">
        <v>132</v>
      </c>
      <c r="C47" s="168">
        <f>'Feed and Fodder'!D33</f>
        <v>0.16453421250000003</v>
      </c>
      <c r="D47" s="183"/>
      <c r="E47" s="167">
        <v>0</v>
      </c>
      <c r="F47" s="135">
        <f>$C$47*E6</f>
        <v>60219.521775000008</v>
      </c>
      <c r="G47" s="135">
        <f t="shared" ref="G47:AC47" si="31">$C$47*F6</f>
        <v>121919.85146250002</v>
      </c>
      <c r="H47" s="135">
        <f t="shared" si="31"/>
        <v>195466.64445000002</v>
      </c>
      <c r="I47" s="135">
        <f t="shared" si="31"/>
        <v>299123.19832500006</v>
      </c>
      <c r="J47" s="135">
        <f t="shared" si="31"/>
        <v>393697.46367000008</v>
      </c>
      <c r="K47" s="135">
        <f t="shared" si="31"/>
        <v>447401.43063000008</v>
      </c>
      <c r="L47" s="135">
        <f t="shared" si="31"/>
        <v>447401.43063000008</v>
      </c>
      <c r="M47" s="135">
        <f t="shared" si="31"/>
        <v>447401.43063000008</v>
      </c>
      <c r="N47" s="135">
        <f t="shared" si="31"/>
        <v>447401.43063000008</v>
      </c>
      <c r="O47" s="135">
        <f t="shared" si="31"/>
        <v>447401.43063000008</v>
      </c>
      <c r="P47" s="135">
        <f t="shared" si="31"/>
        <v>447401.43063000008</v>
      </c>
      <c r="Q47" s="135">
        <f t="shared" si="31"/>
        <v>447401.43063000008</v>
      </c>
      <c r="R47" s="135">
        <f t="shared" si="31"/>
        <v>447401.43063000008</v>
      </c>
      <c r="S47" s="135">
        <f t="shared" si="31"/>
        <v>447401.43063000008</v>
      </c>
      <c r="T47" s="135">
        <f t="shared" si="31"/>
        <v>447401.43063000008</v>
      </c>
      <c r="U47" s="135">
        <f t="shared" si="31"/>
        <v>447401.43063000008</v>
      </c>
      <c r="V47" s="135">
        <f t="shared" si="31"/>
        <v>447401.43063000008</v>
      </c>
      <c r="W47" s="135">
        <f t="shared" si="31"/>
        <v>447401.43063000008</v>
      </c>
      <c r="X47" s="135">
        <f t="shared" si="31"/>
        <v>447401.43063000008</v>
      </c>
      <c r="Y47" s="135">
        <f t="shared" si="31"/>
        <v>447401.43063000008</v>
      </c>
      <c r="Z47" s="135">
        <f t="shared" si="31"/>
        <v>447401.43063000008</v>
      </c>
      <c r="AA47" s="135">
        <f t="shared" si="31"/>
        <v>447401.43063000008</v>
      </c>
      <c r="AB47" s="135">
        <f t="shared" si="31"/>
        <v>447401.43063000008</v>
      </c>
      <c r="AC47" s="135">
        <f t="shared" si="31"/>
        <v>447401.43063000008</v>
      </c>
    </row>
    <row r="48" spans="1:29" ht="15">
      <c r="B48" s="169" t="s">
        <v>133</v>
      </c>
      <c r="C48" s="172">
        <f>'Feed and Fodder'!C34</f>
        <v>740</v>
      </c>
      <c r="D48" s="172"/>
      <c r="E48" s="171">
        <f>E47*$C$48/1000000</f>
        <v>0</v>
      </c>
      <c r="F48" s="171">
        <f t="shared" ref="F48:H48" si="32">F47*$C$48/1000000</f>
        <v>44.562446113500009</v>
      </c>
      <c r="G48" s="171">
        <f t="shared" si="32"/>
        <v>90.220690082250016</v>
      </c>
      <c r="H48" s="171">
        <f t="shared" si="32"/>
        <v>144.645316893</v>
      </c>
      <c r="I48" s="171">
        <f>I47*$C$48/1000000</f>
        <v>221.35116676050004</v>
      </c>
      <c r="J48" s="171">
        <f t="shared" ref="J48:AC48" si="33">J47*$C$48/1000000</f>
        <v>291.33612311580009</v>
      </c>
      <c r="K48" s="171">
        <f t="shared" si="33"/>
        <v>331.07705866620006</v>
      </c>
      <c r="L48" s="171">
        <f t="shared" si="33"/>
        <v>331.07705866620006</v>
      </c>
      <c r="M48" s="171">
        <f t="shared" si="33"/>
        <v>331.07705866620006</v>
      </c>
      <c r="N48" s="171">
        <f t="shared" si="33"/>
        <v>331.07705866620006</v>
      </c>
      <c r="O48" s="171">
        <f t="shared" si="33"/>
        <v>331.07705866620006</v>
      </c>
      <c r="P48" s="171">
        <f t="shared" si="33"/>
        <v>331.07705866620006</v>
      </c>
      <c r="Q48" s="171">
        <f t="shared" si="33"/>
        <v>331.07705866620006</v>
      </c>
      <c r="R48" s="171">
        <f t="shared" si="33"/>
        <v>331.07705866620006</v>
      </c>
      <c r="S48" s="171">
        <f t="shared" si="33"/>
        <v>331.07705866620006</v>
      </c>
      <c r="T48" s="171">
        <f t="shared" si="33"/>
        <v>331.07705866620006</v>
      </c>
      <c r="U48" s="171">
        <f t="shared" si="33"/>
        <v>331.07705866620006</v>
      </c>
      <c r="V48" s="171">
        <f t="shared" si="33"/>
        <v>331.07705866620006</v>
      </c>
      <c r="W48" s="171">
        <f t="shared" si="33"/>
        <v>331.07705866620006</v>
      </c>
      <c r="X48" s="171">
        <f t="shared" si="33"/>
        <v>331.07705866620006</v>
      </c>
      <c r="Y48" s="171">
        <f t="shared" si="33"/>
        <v>331.07705866620006</v>
      </c>
      <c r="Z48" s="171">
        <f t="shared" si="33"/>
        <v>331.07705866620006</v>
      </c>
      <c r="AA48" s="171">
        <f t="shared" si="33"/>
        <v>331.07705866620006</v>
      </c>
      <c r="AB48" s="171">
        <f t="shared" si="33"/>
        <v>331.07705866620006</v>
      </c>
      <c r="AC48" s="171">
        <f t="shared" si="33"/>
        <v>331.07705866620006</v>
      </c>
    </row>
    <row r="50" spans="2:30" ht="15">
      <c r="B50" s="169" t="s">
        <v>249</v>
      </c>
      <c r="C50" s="170"/>
      <c r="D50" s="170"/>
      <c r="E50" s="171">
        <f>+E43*$G$62</f>
        <v>0</v>
      </c>
      <c r="F50" s="171">
        <f t="shared" ref="F50:AC50" si="34">+F43*$G$62</f>
        <v>224.69630685309465</v>
      </c>
      <c r="G50" s="171">
        <f t="shared" si="34"/>
        <v>454.917932727167</v>
      </c>
      <c r="H50" s="171">
        <f t="shared" si="34"/>
        <v>729.34211076906138</v>
      </c>
      <c r="I50" s="171">
        <f t="shared" si="34"/>
        <v>1116.1144422375028</v>
      </c>
      <c r="J50" s="171">
        <f t="shared" si="34"/>
        <v>1468.9981503772808</v>
      </c>
      <c r="K50" s="171">
        <f t="shared" si="34"/>
        <v>1669.3830535380737</v>
      </c>
      <c r="L50" s="171">
        <f t="shared" si="34"/>
        <v>1669.3830535380737</v>
      </c>
      <c r="M50" s="171">
        <f t="shared" si="34"/>
        <v>1669.3830535380737</v>
      </c>
      <c r="N50" s="171">
        <f t="shared" si="34"/>
        <v>1669.3830535380737</v>
      </c>
      <c r="O50" s="171">
        <f t="shared" si="34"/>
        <v>1669.3830535380737</v>
      </c>
      <c r="P50" s="171">
        <f t="shared" si="34"/>
        <v>1669.3830535380737</v>
      </c>
      <c r="Q50" s="171">
        <f t="shared" si="34"/>
        <v>1669.3830535380737</v>
      </c>
      <c r="R50" s="171">
        <f t="shared" si="34"/>
        <v>1669.3830535380737</v>
      </c>
      <c r="S50" s="171">
        <f t="shared" si="34"/>
        <v>1669.3830535380737</v>
      </c>
      <c r="T50" s="171">
        <f t="shared" si="34"/>
        <v>1669.3830535380737</v>
      </c>
      <c r="U50" s="171">
        <f t="shared" si="34"/>
        <v>1669.3830535380737</v>
      </c>
      <c r="V50" s="171">
        <f t="shared" si="34"/>
        <v>1669.3830535380737</v>
      </c>
      <c r="W50" s="171">
        <f t="shared" si="34"/>
        <v>1669.3830535380737</v>
      </c>
      <c r="X50" s="171">
        <f t="shared" si="34"/>
        <v>1669.3830535380737</v>
      </c>
      <c r="Y50" s="171">
        <f t="shared" si="34"/>
        <v>1669.3830535380737</v>
      </c>
      <c r="Z50" s="171">
        <f t="shared" si="34"/>
        <v>1669.3830535380737</v>
      </c>
      <c r="AA50" s="171">
        <f t="shared" si="34"/>
        <v>1669.3830535380737</v>
      </c>
      <c r="AB50" s="171">
        <f t="shared" si="34"/>
        <v>1669.3830535380737</v>
      </c>
      <c r="AC50" s="171">
        <f t="shared" si="34"/>
        <v>1669.3830535380737</v>
      </c>
    </row>
    <row r="51" spans="2:30">
      <c r="B51" s="11"/>
    </row>
    <row r="52" spans="2:30">
      <c r="B52" s="136" t="s">
        <v>250</v>
      </c>
      <c r="C52" s="136"/>
      <c r="D52" s="136"/>
      <c r="E52" s="137">
        <f>+SUM(E45,E48,E50)</f>
        <v>0</v>
      </c>
      <c r="F52" s="137">
        <f>+SUM(F45,F48,F50)</f>
        <v>632.91996457783057</v>
      </c>
      <c r="G52" s="137">
        <f t="shared" ref="G52:AC52" si="35">+SUM(G45,G48,G50)</f>
        <v>1281.4035348420011</v>
      </c>
      <c r="H52" s="137">
        <f t="shared" si="35"/>
        <v>2054.3959505968924</v>
      </c>
      <c r="I52" s="137">
        <f t="shared" si="35"/>
        <v>3143.8483486406985</v>
      </c>
      <c r="J52" s="137">
        <f t="shared" si="35"/>
        <v>4137.8439651416193</v>
      </c>
      <c r="K52" s="137">
        <f t="shared" si="35"/>
        <v>4702.2840646995537</v>
      </c>
      <c r="L52" s="137">
        <f t="shared" si="35"/>
        <v>4702.2840646995537</v>
      </c>
      <c r="M52" s="137">
        <f t="shared" si="35"/>
        <v>4702.2840646995537</v>
      </c>
      <c r="N52" s="137">
        <f t="shared" si="35"/>
        <v>4702.2840646995537</v>
      </c>
      <c r="O52" s="137">
        <f t="shared" si="35"/>
        <v>4702.2840646995537</v>
      </c>
      <c r="P52" s="137">
        <f t="shared" si="35"/>
        <v>4702.2840646995537</v>
      </c>
      <c r="Q52" s="137">
        <f t="shared" si="35"/>
        <v>4702.2840646995537</v>
      </c>
      <c r="R52" s="137">
        <f t="shared" si="35"/>
        <v>4702.2840646995537</v>
      </c>
      <c r="S52" s="137">
        <f t="shared" si="35"/>
        <v>4702.2840646995537</v>
      </c>
      <c r="T52" s="137">
        <f t="shared" si="35"/>
        <v>4702.2840646995537</v>
      </c>
      <c r="U52" s="137">
        <f t="shared" si="35"/>
        <v>4702.2840646995537</v>
      </c>
      <c r="V52" s="137">
        <f t="shared" si="35"/>
        <v>4702.2840646995537</v>
      </c>
      <c r="W52" s="137">
        <f t="shared" si="35"/>
        <v>4702.2840646995537</v>
      </c>
      <c r="X52" s="137">
        <f t="shared" si="35"/>
        <v>4702.2840646995537</v>
      </c>
      <c r="Y52" s="137">
        <f t="shared" si="35"/>
        <v>4702.2840646995537</v>
      </c>
      <c r="Z52" s="137">
        <f t="shared" si="35"/>
        <v>4702.2840646995537</v>
      </c>
      <c r="AA52" s="137">
        <f t="shared" si="35"/>
        <v>4702.2840646995537</v>
      </c>
      <c r="AB52" s="137">
        <f t="shared" si="35"/>
        <v>4702.2840646995537</v>
      </c>
      <c r="AC52" s="137">
        <f t="shared" si="35"/>
        <v>4702.2840646995537</v>
      </c>
    </row>
    <row r="54" spans="2:30">
      <c r="B54" s="157"/>
      <c r="C54" s="157"/>
      <c r="D54" s="157"/>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c r="AD54" s="157"/>
    </row>
    <row r="55" spans="2:30">
      <c r="B55" s="11" t="s">
        <v>177</v>
      </c>
    </row>
    <row r="56" spans="2:30">
      <c r="J56" s="12">
        <f>+C57*C42</f>
        <v>170.04406474999999</v>
      </c>
    </row>
    <row r="57" spans="2:30">
      <c r="B57" s="142" t="s">
        <v>176</v>
      </c>
      <c r="C57" s="142">
        <v>365</v>
      </c>
      <c r="D57" s="48"/>
      <c r="G57" s="12" t="s">
        <v>262</v>
      </c>
      <c r="J57" s="12">
        <f>+J56*1.03</f>
        <v>175.14538669249998</v>
      </c>
      <c r="K57" s="12">
        <f>+J57/1000</f>
        <v>0.17514538669249999</v>
      </c>
    </row>
    <row r="58" spans="2:30" ht="13.5" thickBot="1">
      <c r="G58" s="12" t="s">
        <v>263</v>
      </c>
      <c r="J58" s="12">
        <f>+J57*J6</f>
        <v>476255335.49424595</v>
      </c>
      <c r="K58" s="12">
        <f>+K57*2.94</f>
        <v>0.51492743687595</v>
      </c>
    </row>
    <row r="59" spans="2:30" ht="13.5" thickBot="1">
      <c r="B59" s="142" t="s">
        <v>265</v>
      </c>
      <c r="C59" s="197">
        <f>'Feed and Fodder (F) Zone.2'!$C$59</f>
        <v>4.5230499999999996</v>
      </c>
      <c r="D59" s="184"/>
      <c r="E59" s="155">
        <f>'Feed and Fodder (F) Zone.1'!$E$59</f>
        <v>0.1</v>
      </c>
      <c r="G59" s="152">
        <f>+C59*C57*E59</f>
        <v>165.09132499999998</v>
      </c>
    </row>
    <row r="60" spans="2:30" ht="25.5">
      <c r="B60" s="144"/>
      <c r="C60" s="150" t="s">
        <v>264</v>
      </c>
      <c r="D60" s="185"/>
      <c r="E60" s="154" t="s">
        <v>181</v>
      </c>
    </row>
    <row r="61" spans="2:30" ht="13.5" thickBot="1">
      <c r="B61" s="144" t="s">
        <v>179</v>
      </c>
      <c r="C61" s="149">
        <v>2.1360000000000001</v>
      </c>
      <c r="D61" s="149"/>
      <c r="E61" s="145">
        <v>0.35</v>
      </c>
      <c r="G61" s="12" t="s">
        <v>299</v>
      </c>
      <c r="I61" s="12" t="s">
        <v>99</v>
      </c>
    </row>
    <row r="62" spans="2:30" ht="13.5" thickBot="1">
      <c r="B62" s="144" t="s">
        <v>178</v>
      </c>
      <c r="C62" s="149">
        <v>6.8689999999999998</v>
      </c>
      <c r="D62" s="149"/>
      <c r="E62" s="145">
        <v>0.35</v>
      </c>
      <c r="G62" s="152">
        <v>3610.3837941464699</v>
      </c>
    </row>
    <row r="63" spans="2:30">
      <c r="B63" s="144" t="s">
        <v>180</v>
      </c>
      <c r="C63" s="149">
        <v>4.5709999999999997</v>
      </c>
      <c r="D63" s="149"/>
      <c r="E63" s="145">
        <f>'Feed and Fodder'!C25</f>
        <v>0.3</v>
      </c>
    </row>
    <row r="65" spans="2:30" ht="13.5" thickBot="1">
      <c r="G65" s="12" t="s">
        <v>300</v>
      </c>
      <c r="I65" s="12" t="s">
        <v>93</v>
      </c>
    </row>
    <row r="66" spans="2:30" ht="13.5" thickBot="1">
      <c r="B66" s="142" t="s">
        <v>268</v>
      </c>
      <c r="C66" s="146">
        <f>+G66</f>
        <v>16.694998091920205</v>
      </c>
      <c r="D66" s="186"/>
      <c r="G66" s="159">
        <v>16.694998091920205</v>
      </c>
    </row>
    <row r="67" spans="2:30">
      <c r="B67" s="142" t="s">
        <v>251</v>
      </c>
      <c r="C67" s="143">
        <v>0.7</v>
      </c>
      <c r="D67" s="187"/>
    </row>
    <row r="68" spans="2:30">
      <c r="B68" s="142" t="s">
        <v>269</v>
      </c>
      <c r="C68" s="146">
        <f>+C66*C67</f>
        <v>11.686498664344143</v>
      </c>
      <c r="D68" s="186"/>
    </row>
    <row r="70" spans="2:30">
      <c r="B70" s="142" t="s">
        <v>252</v>
      </c>
      <c r="C70" s="143">
        <v>0.05</v>
      </c>
      <c r="D70" s="187"/>
    </row>
    <row r="71" spans="2:30">
      <c r="B71" s="142" t="s">
        <v>270</v>
      </c>
      <c r="C71" s="146">
        <f>+C68*C70</f>
        <v>0.58432493321720713</v>
      </c>
      <c r="D71" s="186"/>
    </row>
    <row r="75" spans="2:30" ht="15">
      <c r="B75" s="1"/>
      <c r="C75" s="65">
        <v>1</v>
      </c>
      <c r="D75" s="1"/>
      <c r="E75" s="3" t="s">
        <v>226</v>
      </c>
      <c r="F75" s="3" t="s">
        <v>227</v>
      </c>
      <c r="G75" s="3" t="s">
        <v>228</v>
      </c>
      <c r="H75" s="3" t="s">
        <v>229</v>
      </c>
      <c r="I75" s="3" t="s">
        <v>230</v>
      </c>
      <c r="J75" s="3" t="s">
        <v>231</v>
      </c>
      <c r="K75" s="3" t="s">
        <v>232</v>
      </c>
      <c r="L75" s="3" t="s">
        <v>233</v>
      </c>
      <c r="M75" s="3" t="s">
        <v>234</v>
      </c>
      <c r="N75" s="3" t="s">
        <v>235</v>
      </c>
      <c r="O75" s="3" t="s">
        <v>236</v>
      </c>
      <c r="P75" s="3" t="s">
        <v>237</v>
      </c>
      <c r="Q75" s="3" t="s">
        <v>238</v>
      </c>
      <c r="R75" s="3" t="s">
        <v>239</v>
      </c>
      <c r="S75" s="3" t="s">
        <v>240</v>
      </c>
      <c r="T75" s="3" t="s">
        <v>241</v>
      </c>
      <c r="U75" s="3" t="s">
        <v>242</v>
      </c>
      <c r="V75" s="3" t="s">
        <v>243</v>
      </c>
      <c r="W75" s="3" t="s">
        <v>244</v>
      </c>
      <c r="X75" s="3" t="s">
        <v>245</v>
      </c>
      <c r="Y75" s="3" t="s">
        <v>288</v>
      </c>
      <c r="Z75" s="3" t="s">
        <v>289</v>
      </c>
      <c r="AA75" s="3" t="s">
        <v>290</v>
      </c>
      <c r="AB75" s="3" t="s">
        <v>291</v>
      </c>
      <c r="AC75" s="3" t="s">
        <v>292</v>
      </c>
      <c r="AD75" s="3" t="s">
        <v>293</v>
      </c>
    </row>
    <row r="76" spans="2:30" ht="15">
      <c r="B76" s="188" t="s">
        <v>284</v>
      </c>
      <c r="C76" s="1" t="s">
        <v>285</v>
      </c>
      <c r="E76" s="1">
        <v>0</v>
      </c>
      <c r="F76" s="1">
        <v>0</v>
      </c>
      <c r="G76" s="1">
        <v>0.25</v>
      </c>
      <c r="H76" s="1">
        <v>0.5</v>
      </c>
      <c r="I76" s="1">
        <v>0.75</v>
      </c>
      <c r="J76" s="1">
        <v>1</v>
      </c>
      <c r="K76" s="1">
        <v>1</v>
      </c>
      <c r="L76" s="1">
        <v>1</v>
      </c>
      <c r="M76" s="1">
        <v>1</v>
      </c>
      <c r="N76" s="1">
        <v>1</v>
      </c>
      <c r="O76" s="1">
        <v>1</v>
      </c>
      <c r="P76" s="1">
        <v>1</v>
      </c>
      <c r="Q76" s="1">
        <v>1</v>
      </c>
      <c r="R76" s="1">
        <v>1</v>
      </c>
      <c r="S76" s="1">
        <v>1</v>
      </c>
      <c r="T76" s="1">
        <v>1</v>
      </c>
      <c r="U76" s="1">
        <v>1</v>
      </c>
      <c r="V76" s="1">
        <v>1</v>
      </c>
      <c r="W76" s="1">
        <v>1</v>
      </c>
      <c r="X76" s="1">
        <v>1</v>
      </c>
      <c r="Y76" s="1">
        <v>1</v>
      </c>
      <c r="Z76" s="1">
        <v>1</v>
      </c>
      <c r="AA76" s="1">
        <v>1</v>
      </c>
      <c r="AB76" s="1">
        <v>1</v>
      </c>
      <c r="AC76" s="1">
        <v>1</v>
      </c>
      <c r="AD76" s="1">
        <v>1</v>
      </c>
    </row>
    <row r="77" spans="2:30" ht="15">
      <c r="B77" s="1"/>
      <c r="C77" s="189">
        <v>0.05</v>
      </c>
      <c r="D77" s="178"/>
      <c r="E77" s="1">
        <f>+$C77*E76*$C$75</f>
        <v>0</v>
      </c>
      <c r="F77" s="1">
        <f>+$C77*F76*$C$75</f>
        <v>0</v>
      </c>
      <c r="G77" s="1">
        <f t="shared" ref="G77:AD77" si="36">+$C77*G76*$C$75</f>
        <v>1.2500000000000001E-2</v>
      </c>
      <c r="H77" s="1">
        <f t="shared" si="36"/>
        <v>2.5000000000000001E-2</v>
      </c>
      <c r="I77" s="1">
        <f t="shared" si="36"/>
        <v>3.7500000000000006E-2</v>
      </c>
      <c r="J77" s="1">
        <f t="shared" si="36"/>
        <v>0.05</v>
      </c>
      <c r="K77" s="1">
        <f t="shared" si="36"/>
        <v>0.05</v>
      </c>
      <c r="L77" s="1">
        <f t="shared" si="36"/>
        <v>0.05</v>
      </c>
      <c r="M77" s="1">
        <f t="shared" si="36"/>
        <v>0.05</v>
      </c>
      <c r="N77" s="1">
        <f t="shared" si="36"/>
        <v>0.05</v>
      </c>
      <c r="O77" s="1">
        <f t="shared" si="36"/>
        <v>0.05</v>
      </c>
      <c r="P77" s="1">
        <f t="shared" si="36"/>
        <v>0.05</v>
      </c>
      <c r="Q77" s="1">
        <f t="shared" si="36"/>
        <v>0.05</v>
      </c>
      <c r="R77" s="1">
        <f t="shared" si="36"/>
        <v>0.05</v>
      </c>
      <c r="S77" s="1">
        <f t="shared" si="36"/>
        <v>0.05</v>
      </c>
      <c r="T77" s="1">
        <f t="shared" si="36"/>
        <v>0.05</v>
      </c>
      <c r="U77" s="1">
        <f t="shared" si="36"/>
        <v>0.05</v>
      </c>
      <c r="V77" s="1">
        <f t="shared" si="36"/>
        <v>0.05</v>
      </c>
      <c r="W77" s="1">
        <f t="shared" si="36"/>
        <v>0.05</v>
      </c>
      <c r="X77" s="1">
        <f t="shared" si="36"/>
        <v>0.05</v>
      </c>
      <c r="Y77" s="1">
        <f t="shared" si="36"/>
        <v>0.05</v>
      </c>
      <c r="Z77" s="1">
        <f t="shared" si="36"/>
        <v>0.05</v>
      </c>
      <c r="AA77" s="1">
        <f t="shared" si="36"/>
        <v>0.05</v>
      </c>
      <c r="AB77" s="1">
        <f t="shared" si="36"/>
        <v>0.05</v>
      </c>
      <c r="AC77" s="1">
        <f t="shared" si="36"/>
        <v>0.05</v>
      </c>
      <c r="AD77" s="1">
        <f t="shared" si="36"/>
        <v>0.05</v>
      </c>
    </row>
    <row r="78" spans="2:30" ht="15">
      <c r="B78" s="1"/>
      <c r="C78" s="189">
        <v>0.1</v>
      </c>
      <c r="D78" s="178"/>
      <c r="E78" s="1"/>
      <c r="F78" s="1">
        <f>+$C78*E76*$C$75</f>
        <v>0</v>
      </c>
      <c r="G78" s="1">
        <f t="shared" ref="G78:AD78" si="37">+$C78*F76*$C$75</f>
        <v>0</v>
      </c>
      <c r="H78" s="1">
        <f t="shared" si="37"/>
        <v>2.5000000000000001E-2</v>
      </c>
      <c r="I78" s="1">
        <f t="shared" si="37"/>
        <v>0.05</v>
      </c>
      <c r="J78" s="1">
        <f t="shared" si="37"/>
        <v>7.5000000000000011E-2</v>
      </c>
      <c r="K78" s="1">
        <f t="shared" si="37"/>
        <v>0.1</v>
      </c>
      <c r="L78" s="1">
        <f t="shared" si="37"/>
        <v>0.1</v>
      </c>
      <c r="M78" s="1">
        <f t="shared" si="37"/>
        <v>0.1</v>
      </c>
      <c r="N78" s="1">
        <f t="shared" si="37"/>
        <v>0.1</v>
      </c>
      <c r="O78" s="1">
        <f t="shared" si="37"/>
        <v>0.1</v>
      </c>
      <c r="P78" s="1">
        <f t="shared" si="37"/>
        <v>0.1</v>
      </c>
      <c r="Q78" s="1">
        <f t="shared" si="37"/>
        <v>0.1</v>
      </c>
      <c r="R78" s="1">
        <f t="shared" si="37"/>
        <v>0.1</v>
      </c>
      <c r="S78" s="1">
        <f t="shared" si="37"/>
        <v>0.1</v>
      </c>
      <c r="T78" s="1">
        <f t="shared" si="37"/>
        <v>0.1</v>
      </c>
      <c r="U78" s="1">
        <f t="shared" si="37"/>
        <v>0.1</v>
      </c>
      <c r="V78" s="1">
        <f t="shared" si="37"/>
        <v>0.1</v>
      </c>
      <c r="W78" s="1">
        <f t="shared" si="37"/>
        <v>0.1</v>
      </c>
      <c r="X78" s="1">
        <f t="shared" si="37"/>
        <v>0.1</v>
      </c>
      <c r="Y78" s="1">
        <f t="shared" si="37"/>
        <v>0.1</v>
      </c>
      <c r="Z78" s="1">
        <f t="shared" si="37"/>
        <v>0.1</v>
      </c>
      <c r="AA78" s="1">
        <f t="shared" si="37"/>
        <v>0.1</v>
      </c>
      <c r="AB78" s="1">
        <f t="shared" si="37"/>
        <v>0.1</v>
      </c>
      <c r="AC78" s="1">
        <f t="shared" si="37"/>
        <v>0.1</v>
      </c>
      <c r="AD78" s="1">
        <f t="shared" si="37"/>
        <v>0.1</v>
      </c>
    </row>
    <row r="79" spans="2:30" ht="15">
      <c r="B79" s="1"/>
      <c r="C79" s="189">
        <v>0.2</v>
      </c>
      <c r="D79" s="178"/>
      <c r="E79" s="1"/>
      <c r="F79" s="1"/>
      <c r="G79" s="1">
        <f>+$C79*E76*$C$75</f>
        <v>0</v>
      </c>
      <c r="H79" s="1">
        <f t="shared" ref="H79:AD79" si="38">+$C79*F76*$C$75</f>
        <v>0</v>
      </c>
      <c r="I79" s="1">
        <f t="shared" si="38"/>
        <v>0.05</v>
      </c>
      <c r="J79" s="1">
        <f t="shared" si="38"/>
        <v>0.1</v>
      </c>
      <c r="K79" s="1">
        <f t="shared" si="38"/>
        <v>0.15000000000000002</v>
      </c>
      <c r="L79" s="1">
        <f t="shared" si="38"/>
        <v>0.2</v>
      </c>
      <c r="M79" s="1">
        <f t="shared" si="38"/>
        <v>0.2</v>
      </c>
      <c r="N79" s="1">
        <f t="shared" si="38"/>
        <v>0.2</v>
      </c>
      <c r="O79" s="1">
        <f t="shared" si="38"/>
        <v>0.2</v>
      </c>
      <c r="P79" s="1">
        <f t="shared" si="38"/>
        <v>0.2</v>
      </c>
      <c r="Q79" s="1">
        <f t="shared" si="38"/>
        <v>0.2</v>
      </c>
      <c r="R79" s="1">
        <f t="shared" si="38"/>
        <v>0.2</v>
      </c>
      <c r="S79" s="1">
        <f t="shared" si="38"/>
        <v>0.2</v>
      </c>
      <c r="T79" s="1">
        <f t="shared" si="38"/>
        <v>0.2</v>
      </c>
      <c r="U79" s="1">
        <f t="shared" si="38"/>
        <v>0.2</v>
      </c>
      <c r="V79" s="1">
        <f t="shared" si="38"/>
        <v>0.2</v>
      </c>
      <c r="W79" s="1">
        <f t="shared" si="38"/>
        <v>0.2</v>
      </c>
      <c r="X79" s="1">
        <f t="shared" si="38"/>
        <v>0.2</v>
      </c>
      <c r="Y79" s="1">
        <f t="shared" si="38"/>
        <v>0.2</v>
      </c>
      <c r="Z79" s="1">
        <f t="shared" si="38"/>
        <v>0.2</v>
      </c>
      <c r="AA79" s="1">
        <f t="shared" si="38"/>
        <v>0.2</v>
      </c>
      <c r="AB79" s="1">
        <f t="shared" si="38"/>
        <v>0.2</v>
      </c>
      <c r="AC79" s="1">
        <f t="shared" si="38"/>
        <v>0.2</v>
      </c>
      <c r="AD79" s="1">
        <f t="shared" si="38"/>
        <v>0.2</v>
      </c>
    </row>
    <row r="80" spans="2:30" ht="15">
      <c r="B80" s="1"/>
      <c r="C80" s="189">
        <v>0.25</v>
      </c>
      <c r="D80" s="178"/>
      <c r="E80" s="1"/>
      <c r="F80" s="1"/>
      <c r="G80" s="1"/>
      <c r="H80" s="1">
        <f>+$C80*E76*$C$75</f>
        <v>0</v>
      </c>
      <c r="I80" s="1">
        <f t="shared" ref="I80:AD80" si="39">+$C80*F76*$C$75</f>
        <v>0</v>
      </c>
      <c r="J80" s="1">
        <f t="shared" si="39"/>
        <v>6.25E-2</v>
      </c>
      <c r="K80" s="1">
        <f t="shared" si="39"/>
        <v>0.125</v>
      </c>
      <c r="L80" s="1">
        <f t="shared" si="39"/>
        <v>0.1875</v>
      </c>
      <c r="M80" s="1">
        <f t="shared" si="39"/>
        <v>0.25</v>
      </c>
      <c r="N80" s="1">
        <f t="shared" si="39"/>
        <v>0.25</v>
      </c>
      <c r="O80" s="1">
        <f t="shared" si="39"/>
        <v>0.25</v>
      </c>
      <c r="P80" s="1">
        <f t="shared" si="39"/>
        <v>0.25</v>
      </c>
      <c r="Q80" s="1">
        <f t="shared" si="39"/>
        <v>0.25</v>
      </c>
      <c r="R80" s="1">
        <f t="shared" si="39"/>
        <v>0.25</v>
      </c>
      <c r="S80" s="1">
        <f t="shared" si="39"/>
        <v>0.25</v>
      </c>
      <c r="T80" s="1">
        <f t="shared" si="39"/>
        <v>0.25</v>
      </c>
      <c r="U80" s="1">
        <f t="shared" si="39"/>
        <v>0.25</v>
      </c>
      <c r="V80" s="1">
        <f t="shared" si="39"/>
        <v>0.25</v>
      </c>
      <c r="W80" s="1">
        <f t="shared" si="39"/>
        <v>0.25</v>
      </c>
      <c r="X80" s="1">
        <f t="shared" si="39"/>
        <v>0.25</v>
      </c>
      <c r="Y80" s="1">
        <f t="shared" si="39"/>
        <v>0.25</v>
      </c>
      <c r="Z80" s="1">
        <f t="shared" si="39"/>
        <v>0.25</v>
      </c>
      <c r="AA80" s="1">
        <f t="shared" si="39"/>
        <v>0.25</v>
      </c>
      <c r="AB80" s="1">
        <f t="shared" si="39"/>
        <v>0.25</v>
      </c>
      <c r="AC80" s="1">
        <f t="shared" si="39"/>
        <v>0.25</v>
      </c>
      <c r="AD80" s="1">
        <f t="shared" si="39"/>
        <v>0.25</v>
      </c>
    </row>
    <row r="81" spans="2:32" ht="15">
      <c r="B81" s="1"/>
      <c r="C81" s="189">
        <v>0.3</v>
      </c>
      <c r="D81" s="178"/>
      <c r="E81" s="1"/>
      <c r="F81" s="1"/>
      <c r="G81" s="1"/>
      <c r="H81" s="1"/>
      <c r="I81" s="1">
        <f>+$C81*E76*$C$75</f>
        <v>0</v>
      </c>
      <c r="J81" s="1">
        <f t="shared" ref="J81:AD81" si="40">+$C81*F76*$C$75</f>
        <v>0</v>
      </c>
      <c r="K81" s="1">
        <f t="shared" si="40"/>
        <v>7.4999999999999997E-2</v>
      </c>
      <c r="L81" s="1">
        <f t="shared" si="40"/>
        <v>0.15</v>
      </c>
      <c r="M81" s="1">
        <f t="shared" si="40"/>
        <v>0.22499999999999998</v>
      </c>
      <c r="N81" s="1">
        <f t="shared" si="40"/>
        <v>0.3</v>
      </c>
      <c r="O81" s="1">
        <f t="shared" si="40"/>
        <v>0.3</v>
      </c>
      <c r="P81" s="1">
        <f t="shared" si="40"/>
        <v>0.3</v>
      </c>
      <c r="Q81" s="1">
        <f t="shared" si="40"/>
        <v>0.3</v>
      </c>
      <c r="R81" s="1">
        <f t="shared" si="40"/>
        <v>0.3</v>
      </c>
      <c r="S81" s="1">
        <f t="shared" si="40"/>
        <v>0.3</v>
      </c>
      <c r="T81" s="1">
        <f t="shared" si="40"/>
        <v>0.3</v>
      </c>
      <c r="U81" s="1">
        <f t="shared" si="40"/>
        <v>0.3</v>
      </c>
      <c r="V81" s="1">
        <f t="shared" si="40"/>
        <v>0.3</v>
      </c>
      <c r="W81" s="1">
        <f t="shared" si="40"/>
        <v>0.3</v>
      </c>
      <c r="X81" s="1">
        <f t="shared" si="40"/>
        <v>0.3</v>
      </c>
      <c r="Y81" s="1">
        <f t="shared" si="40"/>
        <v>0.3</v>
      </c>
      <c r="Z81" s="1">
        <f t="shared" si="40"/>
        <v>0.3</v>
      </c>
      <c r="AA81" s="1">
        <f t="shared" si="40"/>
        <v>0.3</v>
      </c>
      <c r="AB81" s="1">
        <f t="shared" si="40"/>
        <v>0.3</v>
      </c>
      <c r="AC81" s="1">
        <f t="shared" si="40"/>
        <v>0.3</v>
      </c>
      <c r="AD81" s="1">
        <f t="shared" si="40"/>
        <v>0.3</v>
      </c>
    </row>
    <row r="82" spans="2:32" ht="15">
      <c r="B82" s="1"/>
      <c r="C82" s="178">
        <v>0.1</v>
      </c>
      <c r="D82" s="178"/>
      <c r="E82" s="1"/>
      <c r="F82" s="1"/>
      <c r="G82" s="1"/>
      <c r="H82" s="1"/>
      <c r="I82" s="1"/>
      <c r="J82" s="1">
        <f>+$C82*E76*$C$75</f>
        <v>0</v>
      </c>
      <c r="K82" s="1">
        <f>+$C82*F76*$C$75</f>
        <v>0</v>
      </c>
      <c r="L82" s="1">
        <f t="shared" ref="L82:AD82" si="41">+$C82*G76*$C$75</f>
        <v>2.5000000000000001E-2</v>
      </c>
      <c r="M82" s="1">
        <f t="shared" si="41"/>
        <v>0.05</v>
      </c>
      <c r="N82" s="1">
        <f t="shared" si="41"/>
        <v>7.5000000000000011E-2</v>
      </c>
      <c r="O82" s="1">
        <f t="shared" si="41"/>
        <v>0.1</v>
      </c>
      <c r="P82" s="1">
        <f t="shared" si="41"/>
        <v>0.1</v>
      </c>
      <c r="Q82" s="1">
        <f t="shared" si="41"/>
        <v>0.1</v>
      </c>
      <c r="R82" s="1">
        <f t="shared" si="41"/>
        <v>0.1</v>
      </c>
      <c r="S82" s="1">
        <f t="shared" si="41"/>
        <v>0.1</v>
      </c>
      <c r="T82" s="1">
        <f t="shared" si="41"/>
        <v>0.1</v>
      </c>
      <c r="U82" s="1">
        <f t="shared" si="41"/>
        <v>0.1</v>
      </c>
      <c r="V82" s="1">
        <f t="shared" si="41"/>
        <v>0.1</v>
      </c>
      <c r="W82" s="1">
        <f t="shared" si="41"/>
        <v>0.1</v>
      </c>
      <c r="X82" s="1">
        <f t="shared" si="41"/>
        <v>0.1</v>
      </c>
      <c r="Y82" s="1">
        <f t="shared" si="41"/>
        <v>0.1</v>
      </c>
      <c r="Z82" s="1">
        <f t="shared" si="41"/>
        <v>0.1</v>
      </c>
      <c r="AA82" s="1">
        <f t="shared" si="41"/>
        <v>0.1</v>
      </c>
      <c r="AB82" s="1">
        <f t="shared" si="41"/>
        <v>0.1</v>
      </c>
      <c r="AC82" s="1">
        <f t="shared" si="41"/>
        <v>0.1</v>
      </c>
      <c r="AD82" s="1">
        <f t="shared" si="41"/>
        <v>0.1</v>
      </c>
    </row>
    <row r="83" spans="2:32" ht="15">
      <c r="B83" s="1"/>
      <c r="C83" s="178">
        <f>+SUM(C77:C82)</f>
        <v>1.0000000000000002</v>
      </c>
      <c r="D83" s="178"/>
      <c r="E83" s="80">
        <f>SUM(E77:E82)</f>
        <v>0</v>
      </c>
      <c r="F83" s="80">
        <f t="shared" ref="F83:AD83" si="42">SUM(F77:F82)</f>
        <v>0</v>
      </c>
      <c r="G83" s="80">
        <f t="shared" si="42"/>
        <v>1.2500000000000001E-2</v>
      </c>
      <c r="H83" s="80">
        <f t="shared" si="42"/>
        <v>0.05</v>
      </c>
      <c r="I83" s="80">
        <f t="shared" si="42"/>
        <v>0.13750000000000001</v>
      </c>
      <c r="J83" s="80">
        <f t="shared" si="42"/>
        <v>0.28749999999999998</v>
      </c>
      <c r="K83" s="80">
        <f t="shared" si="42"/>
        <v>0.5</v>
      </c>
      <c r="L83" s="80">
        <f t="shared" si="42"/>
        <v>0.71250000000000013</v>
      </c>
      <c r="M83" s="80">
        <f t="shared" si="42"/>
        <v>0.87500000000000011</v>
      </c>
      <c r="N83" s="80">
        <f t="shared" si="42"/>
        <v>0.97500000000000009</v>
      </c>
      <c r="O83" s="80">
        <f t="shared" si="42"/>
        <v>1.0000000000000002</v>
      </c>
      <c r="P83" s="80">
        <f t="shared" si="42"/>
        <v>1.0000000000000002</v>
      </c>
      <c r="Q83" s="80">
        <f t="shared" si="42"/>
        <v>1.0000000000000002</v>
      </c>
      <c r="R83" s="80">
        <f t="shared" si="42"/>
        <v>1.0000000000000002</v>
      </c>
      <c r="S83" s="80">
        <f t="shared" si="42"/>
        <v>1.0000000000000002</v>
      </c>
      <c r="T83" s="80">
        <f t="shared" si="42"/>
        <v>1.0000000000000002</v>
      </c>
      <c r="U83" s="80">
        <f t="shared" si="42"/>
        <v>1.0000000000000002</v>
      </c>
      <c r="V83" s="80">
        <f t="shared" si="42"/>
        <v>1.0000000000000002</v>
      </c>
      <c r="W83" s="80">
        <f t="shared" si="42"/>
        <v>1.0000000000000002</v>
      </c>
      <c r="X83" s="80">
        <f t="shared" si="42"/>
        <v>1.0000000000000002</v>
      </c>
      <c r="Y83" s="80">
        <f t="shared" si="42"/>
        <v>1.0000000000000002</v>
      </c>
      <c r="Z83" s="80">
        <f t="shared" si="42"/>
        <v>1.0000000000000002</v>
      </c>
      <c r="AA83" s="80">
        <f t="shared" si="42"/>
        <v>1.0000000000000002</v>
      </c>
      <c r="AB83" s="80">
        <f t="shared" si="42"/>
        <v>1.0000000000000002</v>
      </c>
      <c r="AC83" s="80">
        <f t="shared" si="42"/>
        <v>1.0000000000000002</v>
      </c>
      <c r="AD83" s="80">
        <f t="shared" si="42"/>
        <v>1.0000000000000002</v>
      </c>
    </row>
    <row r="84" spans="2:32" ht="13.5" thickBot="1">
      <c r="B84" s="12" t="s">
        <v>301</v>
      </c>
    </row>
    <row r="85" spans="2:32" ht="13.5" thickBot="1">
      <c r="C85" s="199">
        <v>0.5</v>
      </c>
    </row>
    <row r="86" spans="2:32" ht="15">
      <c r="B86" s="169" t="str">
        <f>+B45</f>
        <v>Reduction in Feeding Cost</v>
      </c>
      <c r="C86" s="189"/>
      <c r="E86" s="171">
        <f>+E$83*E45*$C$85</f>
        <v>0</v>
      </c>
      <c r="F86" s="171">
        <f t="shared" ref="F86:AD86" si="43">+F$83*F45*$C$85</f>
        <v>0</v>
      </c>
      <c r="G86" s="171">
        <f t="shared" si="43"/>
        <v>4.6016557002036507</v>
      </c>
      <c r="H86" s="171">
        <f t="shared" si="43"/>
        <v>29.510213073370778</v>
      </c>
      <c r="I86" s="171">
        <f t="shared" si="43"/>
        <v>124.18881335043535</v>
      </c>
      <c r="J86" s="171">
        <f t="shared" si="43"/>
        <v>341.76701817447736</v>
      </c>
      <c r="K86" s="171">
        <f t="shared" si="43"/>
        <v>675.45598812381991</v>
      </c>
      <c r="L86" s="171">
        <f t="shared" si="43"/>
        <v>962.52478307644355</v>
      </c>
      <c r="M86" s="171">
        <f t="shared" si="43"/>
        <v>1182.047979216685</v>
      </c>
      <c r="N86" s="171">
        <f t="shared" si="43"/>
        <v>1317.1391768414489</v>
      </c>
      <c r="O86" s="171">
        <f t="shared" si="43"/>
        <v>1350.91197624764</v>
      </c>
      <c r="P86" s="171">
        <f t="shared" si="43"/>
        <v>1350.91197624764</v>
      </c>
      <c r="Q86" s="171">
        <f t="shared" si="43"/>
        <v>1350.91197624764</v>
      </c>
      <c r="R86" s="171">
        <f t="shared" si="43"/>
        <v>1350.91197624764</v>
      </c>
      <c r="S86" s="171">
        <f t="shared" si="43"/>
        <v>1350.91197624764</v>
      </c>
      <c r="T86" s="171">
        <f t="shared" si="43"/>
        <v>1350.91197624764</v>
      </c>
      <c r="U86" s="171">
        <f t="shared" si="43"/>
        <v>1350.91197624764</v>
      </c>
      <c r="V86" s="171">
        <f t="shared" si="43"/>
        <v>1350.91197624764</v>
      </c>
      <c r="W86" s="171">
        <f t="shared" si="43"/>
        <v>1350.91197624764</v>
      </c>
      <c r="X86" s="171">
        <f t="shared" si="43"/>
        <v>1350.91197624764</v>
      </c>
      <c r="Y86" s="171">
        <f t="shared" si="43"/>
        <v>1350.91197624764</v>
      </c>
      <c r="Z86" s="171">
        <f t="shared" si="43"/>
        <v>1350.91197624764</v>
      </c>
      <c r="AA86" s="171">
        <f t="shared" si="43"/>
        <v>1350.91197624764</v>
      </c>
      <c r="AB86" s="171">
        <f t="shared" si="43"/>
        <v>1350.91197624764</v>
      </c>
      <c r="AC86" s="171">
        <f t="shared" si="43"/>
        <v>1350.91197624764</v>
      </c>
      <c r="AD86" s="171">
        <f t="shared" si="43"/>
        <v>0</v>
      </c>
      <c r="AF86" s="189">
        <f>+AC86/SUM($AC$86:$AC$90)</f>
        <v>0.57457693225683704</v>
      </c>
    </row>
    <row r="87" spans="2:32">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c r="AF87" s="189"/>
    </row>
    <row r="88" spans="2:32" ht="15">
      <c r="B88" s="169" t="str">
        <f>+B48</f>
        <v>Benefit due to reduction in Methane Emissions ( Rs million per annum)</v>
      </c>
      <c r="E88" s="171">
        <f>+E$83*E48*$C$85</f>
        <v>0</v>
      </c>
      <c r="F88" s="171">
        <f t="shared" ref="F88:AD88" si="44">+F$83*F48*$C$85</f>
        <v>0</v>
      </c>
      <c r="G88" s="171">
        <f t="shared" si="44"/>
        <v>0.56387931301406258</v>
      </c>
      <c r="H88" s="171">
        <f t="shared" si="44"/>
        <v>3.6161329223250003</v>
      </c>
      <c r="I88" s="171">
        <f t="shared" si="44"/>
        <v>15.217892714784378</v>
      </c>
      <c r="J88" s="171">
        <f t="shared" si="44"/>
        <v>41.879567697896263</v>
      </c>
      <c r="K88" s="171">
        <f t="shared" si="44"/>
        <v>82.769264666550015</v>
      </c>
      <c r="L88" s="171">
        <f t="shared" si="44"/>
        <v>117.94620214983379</v>
      </c>
      <c r="M88" s="171">
        <f t="shared" si="44"/>
        <v>144.84621316646255</v>
      </c>
      <c r="N88" s="171">
        <f t="shared" si="44"/>
        <v>161.40006609977254</v>
      </c>
      <c r="O88" s="171">
        <f t="shared" si="44"/>
        <v>165.53852933310006</v>
      </c>
      <c r="P88" s="171">
        <f t="shared" si="44"/>
        <v>165.53852933310006</v>
      </c>
      <c r="Q88" s="171">
        <f t="shared" si="44"/>
        <v>165.53852933310006</v>
      </c>
      <c r="R88" s="171">
        <f t="shared" si="44"/>
        <v>165.53852933310006</v>
      </c>
      <c r="S88" s="171">
        <f t="shared" si="44"/>
        <v>165.53852933310006</v>
      </c>
      <c r="T88" s="171">
        <f t="shared" si="44"/>
        <v>165.53852933310006</v>
      </c>
      <c r="U88" s="171">
        <f t="shared" si="44"/>
        <v>165.53852933310006</v>
      </c>
      <c r="V88" s="171">
        <f t="shared" si="44"/>
        <v>165.53852933310006</v>
      </c>
      <c r="W88" s="171">
        <f t="shared" si="44"/>
        <v>165.53852933310006</v>
      </c>
      <c r="X88" s="171">
        <f t="shared" si="44"/>
        <v>165.53852933310006</v>
      </c>
      <c r="Y88" s="171">
        <f t="shared" si="44"/>
        <v>165.53852933310006</v>
      </c>
      <c r="Z88" s="171">
        <f t="shared" si="44"/>
        <v>165.53852933310006</v>
      </c>
      <c r="AA88" s="171">
        <f t="shared" si="44"/>
        <v>165.53852933310006</v>
      </c>
      <c r="AB88" s="171">
        <f t="shared" si="44"/>
        <v>165.53852933310006</v>
      </c>
      <c r="AC88" s="171">
        <f t="shared" si="44"/>
        <v>165.53852933310006</v>
      </c>
      <c r="AD88" s="171">
        <f t="shared" si="44"/>
        <v>0</v>
      </c>
      <c r="AF88" s="189">
        <f>+AC88/SUM($AC$86:$AC$90)</f>
        <v>7.0407711254967281E-2</v>
      </c>
    </row>
    <row r="89" spans="2:32">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F89" s="189"/>
    </row>
    <row r="90" spans="2:32" ht="15">
      <c r="B90" s="169" t="str">
        <f>+B50</f>
        <v>Benefit due to increase in milk productivity (Rs Million pe annum)</v>
      </c>
      <c r="E90" s="171">
        <f>+E$83*E50*$C$85</f>
        <v>0</v>
      </c>
      <c r="F90" s="171">
        <f t="shared" ref="F90:AD90" si="45">+F$83*F50*$C$85</f>
        <v>0</v>
      </c>
      <c r="G90" s="171">
        <f t="shared" si="45"/>
        <v>2.8432370795447941</v>
      </c>
      <c r="H90" s="171">
        <f t="shared" si="45"/>
        <v>18.233552769226534</v>
      </c>
      <c r="I90" s="171">
        <f t="shared" si="45"/>
        <v>76.732867903828321</v>
      </c>
      <c r="J90" s="171">
        <f t="shared" si="45"/>
        <v>211.16848411673411</v>
      </c>
      <c r="K90" s="171">
        <f t="shared" si="45"/>
        <v>417.34576338451842</v>
      </c>
      <c r="L90" s="171">
        <f t="shared" si="45"/>
        <v>594.71771282293889</v>
      </c>
      <c r="M90" s="171">
        <f t="shared" si="45"/>
        <v>730.35508592290728</v>
      </c>
      <c r="N90" s="171">
        <f t="shared" si="45"/>
        <v>813.824238599811</v>
      </c>
      <c r="O90" s="171">
        <f t="shared" si="45"/>
        <v>834.69152676903707</v>
      </c>
      <c r="P90" s="171">
        <f t="shared" si="45"/>
        <v>834.69152676903707</v>
      </c>
      <c r="Q90" s="171">
        <f t="shared" si="45"/>
        <v>834.69152676903707</v>
      </c>
      <c r="R90" s="171">
        <f t="shared" si="45"/>
        <v>834.69152676903707</v>
      </c>
      <c r="S90" s="171">
        <f t="shared" si="45"/>
        <v>834.69152676903707</v>
      </c>
      <c r="T90" s="171">
        <f t="shared" si="45"/>
        <v>834.69152676903707</v>
      </c>
      <c r="U90" s="171">
        <f t="shared" si="45"/>
        <v>834.69152676903707</v>
      </c>
      <c r="V90" s="171">
        <f t="shared" si="45"/>
        <v>834.69152676903707</v>
      </c>
      <c r="W90" s="171">
        <f t="shared" si="45"/>
        <v>834.69152676903707</v>
      </c>
      <c r="X90" s="171">
        <f t="shared" si="45"/>
        <v>834.69152676903707</v>
      </c>
      <c r="Y90" s="171">
        <f t="shared" si="45"/>
        <v>834.69152676903707</v>
      </c>
      <c r="Z90" s="171">
        <f t="shared" si="45"/>
        <v>834.69152676903707</v>
      </c>
      <c r="AA90" s="171">
        <f t="shared" si="45"/>
        <v>834.69152676903707</v>
      </c>
      <c r="AB90" s="171">
        <f t="shared" si="45"/>
        <v>834.69152676903707</v>
      </c>
      <c r="AC90" s="171">
        <f t="shared" si="45"/>
        <v>834.69152676903707</v>
      </c>
      <c r="AD90" s="171">
        <f t="shared" si="45"/>
        <v>0</v>
      </c>
      <c r="AF90" s="189">
        <f>+AC90/SUM($AC$86:$AC$90)</f>
        <v>0.35501535648819565</v>
      </c>
    </row>
  </sheetData>
  <pageMargins left="0.75" right="0.75" top="1" bottom="1" header="0.5" footer="0.5"/>
  <pageSetup orientation="portrait"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dimension ref="A1:AF101"/>
  <sheetViews>
    <sheetView workbookViewId="0">
      <pane xSplit="2" ySplit="4" topLeftCell="C53" activePane="bottomRight" state="frozen"/>
      <selection pane="topRight" activeCell="C1" sqref="C1"/>
      <selection pane="bottomLeft" activeCell="A5" sqref="A5"/>
      <selection pane="bottomRight" activeCell="E59" sqref="E59"/>
    </sheetView>
  </sheetViews>
  <sheetFormatPr defaultRowHeight="12.75"/>
  <cols>
    <col min="1" max="1" width="2.7109375" style="12" customWidth="1"/>
    <col min="2" max="2" width="68.85546875" style="12" customWidth="1"/>
    <col min="3" max="4" width="13.7109375" style="12" customWidth="1"/>
    <col min="5" max="5" width="13" style="12" customWidth="1"/>
    <col min="6" max="6" width="10.140625" style="12" bestFit="1" customWidth="1"/>
    <col min="7" max="19" width="10" style="12" bestFit="1" customWidth="1"/>
    <col min="20" max="29" width="10.5703125" style="12" bestFit="1" customWidth="1"/>
    <col min="30" max="257" width="9.140625" style="12"/>
    <col min="258" max="258" width="2.7109375" style="12" customWidth="1"/>
    <col min="259" max="259" width="63.85546875" style="12" customWidth="1"/>
    <col min="260" max="260" width="8.42578125" style="12" customWidth="1"/>
    <col min="261" max="261" width="7.85546875" style="12" customWidth="1"/>
    <col min="262" max="262" width="10" style="12" bestFit="1" customWidth="1"/>
    <col min="263" max="513" width="9.140625" style="12"/>
    <col min="514" max="514" width="2.7109375" style="12" customWidth="1"/>
    <col min="515" max="515" width="63.85546875" style="12" customWidth="1"/>
    <col min="516" max="516" width="8.42578125" style="12" customWidth="1"/>
    <col min="517" max="517" width="7.85546875" style="12" customWidth="1"/>
    <col min="518" max="518" width="10" style="12" bestFit="1" customWidth="1"/>
    <col min="519" max="769" width="9.140625" style="12"/>
    <col min="770" max="770" width="2.7109375" style="12" customWidth="1"/>
    <col min="771" max="771" width="63.85546875" style="12" customWidth="1"/>
    <col min="772" max="772" width="8.42578125" style="12" customWidth="1"/>
    <col min="773" max="773" width="7.85546875" style="12" customWidth="1"/>
    <col min="774" max="774" width="10" style="12" bestFit="1" customWidth="1"/>
    <col min="775" max="1025" width="9.140625" style="12"/>
    <col min="1026" max="1026" width="2.7109375" style="12" customWidth="1"/>
    <col min="1027" max="1027" width="63.85546875" style="12" customWidth="1"/>
    <col min="1028" max="1028" width="8.42578125" style="12" customWidth="1"/>
    <col min="1029" max="1029" width="7.85546875" style="12" customWidth="1"/>
    <col min="1030" max="1030" width="10" style="12" bestFit="1" customWidth="1"/>
    <col min="1031" max="1281" width="9.140625" style="12"/>
    <col min="1282" max="1282" width="2.7109375" style="12" customWidth="1"/>
    <col min="1283" max="1283" width="63.85546875" style="12" customWidth="1"/>
    <col min="1284" max="1284" width="8.42578125" style="12" customWidth="1"/>
    <col min="1285" max="1285" width="7.85546875" style="12" customWidth="1"/>
    <col min="1286" max="1286" width="10" style="12" bestFit="1" customWidth="1"/>
    <col min="1287" max="1537" width="9.140625" style="12"/>
    <col min="1538" max="1538" width="2.7109375" style="12" customWidth="1"/>
    <col min="1539" max="1539" width="63.85546875" style="12" customWidth="1"/>
    <col min="1540" max="1540" width="8.42578125" style="12" customWidth="1"/>
    <col min="1541" max="1541" width="7.85546875" style="12" customWidth="1"/>
    <col min="1542" max="1542" width="10" style="12" bestFit="1" customWidth="1"/>
    <col min="1543" max="1793" width="9.140625" style="12"/>
    <col min="1794" max="1794" width="2.7109375" style="12" customWidth="1"/>
    <col min="1795" max="1795" width="63.85546875" style="12" customWidth="1"/>
    <col min="1796" max="1796" width="8.42578125" style="12" customWidth="1"/>
    <col min="1797" max="1797" width="7.85546875" style="12" customWidth="1"/>
    <col min="1798" max="1798" width="10" style="12" bestFit="1" customWidth="1"/>
    <col min="1799" max="2049" width="9.140625" style="12"/>
    <col min="2050" max="2050" width="2.7109375" style="12" customWidth="1"/>
    <col min="2051" max="2051" width="63.85546875" style="12" customWidth="1"/>
    <col min="2052" max="2052" width="8.42578125" style="12" customWidth="1"/>
    <col min="2053" max="2053" width="7.85546875" style="12" customWidth="1"/>
    <col min="2054" max="2054" width="10" style="12" bestFit="1" customWidth="1"/>
    <col min="2055" max="2305" width="9.140625" style="12"/>
    <col min="2306" max="2306" width="2.7109375" style="12" customWidth="1"/>
    <col min="2307" max="2307" width="63.85546875" style="12" customWidth="1"/>
    <col min="2308" max="2308" width="8.42578125" style="12" customWidth="1"/>
    <col min="2309" max="2309" width="7.85546875" style="12" customWidth="1"/>
    <col min="2310" max="2310" width="10" style="12" bestFit="1" customWidth="1"/>
    <col min="2311" max="2561" width="9.140625" style="12"/>
    <col min="2562" max="2562" width="2.7109375" style="12" customWidth="1"/>
    <col min="2563" max="2563" width="63.85546875" style="12" customWidth="1"/>
    <col min="2564" max="2564" width="8.42578125" style="12" customWidth="1"/>
    <col min="2565" max="2565" width="7.85546875" style="12" customWidth="1"/>
    <col min="2566" max="2566" width="10" style="12" bestFit="1" customWidth="1"/>
    <col min="2567" max="2817" width="9.140625" style="12"/>
    <col min="2818" max="2818" width="2.7109375" style="12" customWidth="1"/>
    <col min="2819" max="2819" width="63.85546875" style="12" customWidth="1"/>
    <col min="2820" max="2820" width="8.42578125" style="12" customWidth="1"/>
    <col min="2821" max="2821" width="7.85546875" style="12" customWidth="1"/>
    <col min="2822" max="2822" width="10" style="12" bestFit="1" customWidth="1"/>
    <col min="2823" max="3073" width="9.140625" style="12"/>
    <col min="3074" max="3074" width="2.7109375" style="12" customWidth="1"/>
    <col min="3075" max="3075" width="63.85546875" style="12" customWidth="1"/>
    <col min="3076" max="3076" width="8.42578125" style="12" customWidth="1"/>
    <col min="3077" max="3077" width="7.85546875" style="12" customWidth="1"/>
    <col min="3078" max="3078" width="10" style="12" bestFit="1" customWidth="1"/>
    <col min="3079" max="3329" width="9.140625" style="12"/>
    <col min="3330" max="3330" width="2.7109375" style="12" customWidth="1"/>
    <col min="3331" max="3331" width="63.85546875" style="12" customWidth="1"/>
    <col min="3332" max="3332" width="8.42578125" style="12" customWidth="1"/>
    <col min="3333" max="3333" width="7.85546875" style="12" customWidth="1"/>
    <col min="3334" max="3334" width="10" style="12" bestFit="1" customWidth="1"/>
    <col min="3335" max="3585" width="9.140625" style="12"/>
    <col min="3586" max="3586" width="2.7109375" style="12" customWidth="1"/>
    <col min="3587" max="3587" width="63.85546875" style="12" customWidth="1"/>
    <col min="3588" max="3588" width="8.42578125" style="12" customWidth="1"/>
    <col min="3589" max="3589" width="7.85546875" style="12" customWidth="1"/>
    <col min="3590" max="3590" width="10" style="12" bestFit="1" customWidth="1"/>
    <col min="3591" max="3841" width="9.140625" style="12"/>
    <col min="3842" max="3842" width="2.7109375" style="12" customWidth="1"/>
    <col min="3843" max="3843" width="63.85546875" style="12" customWidth="1"/>
    <col min="3844" max="3844" width="8.42578125" style="12" customWidth="1"/>
    <col min="3845" max="3845" width="7.85546875" style="12" customWidth="1"/>
    <col min="3846" max="3846" width="10" style="12" bestFit="1" customWidth="1"/>
    <col min="3847" max="4097" width="9.140625" style="12"/>
    <col min="4098" max="4098" width="2.7109375" style="12" customWidth="1"/>
    <col min="4099" max="4099" width="63.85546875" style="12" customWidth="1"/>
    <col min="4100" max="4100" width="8.42578125" style="12" customWidth="1"/>
    <col min="4101" max="4101" width="7.85546875" style="12" customWidth="1"/>
    <col min="4102" max="4102" width="10" style="12" bestFit="1" customWidth="1"/>
    <col min="4103" max="4353" width="9.140625" style="12"/>
    <col min="4354" max="4354" width="2.7109375" style="12" customWidth="1"/>
    <col min="4355" max="4355" width="63.85546875" style="12" customWidth="1"/>
    <col min="4356" max="4356" width="8.42578125" style="12" customWidth="1"/>
    <col min="4357" max="4357" width="7.85546875" style="12" customWidth="1"/>
    <col min="4358" max="4358" width="10" style="12" bestFit="1" customWidth="1"/>
    <col min="4359" max="4609" width="9.140625" style="12"/>
    <col min="4610" max="4610" width="2.7109375" style="12" customWidth="1"/>
    <col min="4611" max="4611" width="63.85546875" style="12" customWidth="1"/>
    <col min="4612" max="4612" width="8.42578125" style="12" customWidth="1"/>
    <col min="4613" max="4613" width="7.85546875" style="12" customWidth="1"/>
    <col min="4614" max="4614" width="10" style="12" bestFit="1" customWidth="1"/>
    <col min="4615" max="4865" width="9.140625" style="12"/>
    <col min="4866" max="4866" width="2.7109375" style="12" customWidth="1"/>
    <col min="4867" max="4867" width="63.85546875" style="12" customWidth="1"/>
    <col min="4868" max="4868" width="8.42578125" style="12" customWidth="1"/>
    <col min="4869" max="4869" width="7.85546875" style="12" customWidth="1"/>
    <col min="4870" max="4870" width="10" style="12" bestFit="1" customWidth="1"/>
    <col min="4871" max="5121" width="9.140625" style="12"/>
    <col min="5122" max="5122" width="2.7109375" style="12" customWidth="1"/>
    <col min="5123" max="5123" width="63.85546875" style="12" customWidth="1"/>
    <col min="5124" max="5124" width="8.42578125" style="12" customWidth="1"/>
    <col min="5125" max="5125" width="7.85546875" style="12" customWidth="1"/>
    <col min="5126" max="5126" width="10" style="12" bestFit="1" customWidth="1"/>
    <col min="5127" max="5377" width="9.140625" style="12"/>
    <col min="5378" max="5378" width="2.7109375" style="12" customWidth="1"/>
    <col min="5379" max="5379" width="63.85546875" style="12" customWidth="1"/>
    <col min="5380" max="5380" width="8.42578125" style="12" customWidth="1"/>
    <col min="5381" max="5381" width="7.85546875" style="12" customWidth="1"/>
    <col min="5382" max="5382" width="10" style="12" bestFit="1" customWidth="1"/>
    <col min="5383" max="5633" width="9.140625" style="12"/>
    <col min="5634" max="5634" width="2.7109375" style="12" customWidth="1"/>
    <col min="5635" max="5635" width="63.85546875" style="12" customWidth="1"/>
    <col min="5636" max="5636" width="8.42578125" style="12" customWidth="1"/>
    <col min="5637" max="5637" width="7.85546875" style="12" customWidth="1"/>
    <col min="5638" max="5638" width="10" style="12" bestFit="1" customWidth="1"/>
    <col min="5639" max="5889" width="9.140625" style="12"/>
    <col min="5890" max="5890" width="2.7109375" style="12" customWidth="1"/>
    <col min="5891" max="5891" width="63.85546875" style="12" customWidth="1"/>
    <col min="5892" max="5892" width="8.42578125" style="12" customWidth="1"/>
    <col min="5893" max="5893" width="7.85546875" style="12" customWidth="1"/>
    <col min="5894" max="5894" width="10" style="12" bestFit="1" customWidth="1"/>
    <col min="5895" max="6145" width="9.140625" style="12"/>
    <col min="6146" max="6146" width="2.7109375" style="12" customWidth="1"/>
    <col min="6147" max="6147" width="63.85546875" style="12" customWidth="1"/>
    <col min="6148" max="6148" width="8.42578125" style="12" customWidth="1"/>
    <col min="6149" max="6149" width="7.85546875" style="12" customWidth="1"/>
    <col min="6150" max="6150" width="10" style="12" bestFit="1" customWidth="1"/>
    <col min="6151" max="6401" width="9.140625" style="12"/>
    <col min="6402" max="6402" width="2.7109375" style="12" customWidth="1"/>
    <col min="6403" max="6403" width="63.85546875" style="12" customWidth="1"/>
    <col min="6404" max="6404" width="8.42578125" style="12" customWidth="1"/>
    <col min="6405" max="6405" width="7.85546875" style="12" customWidth="1"/>
    <col min="6406" max="6406" width="10" style="12" bestFit="1" customWidth="1"/>
    <col min="6407" max="6657" width="9.140625" style="12"/>
    <col min="6658" max="6658" width="2.7109375" style="12" customWidth="1"/>
    <col min="6659" max="6659" width="63.85546875" style="12" customWidth="1"/>
    <col min="6660" max="6660" width="8.42578125" style="12" customWidth="1"/>
    <col min="6661" max="6661" width="7.85546875" style="12" customWidth="1"/>
    <col min="6662" max="6662" width="10" style="12" bestFit="1" customWidth="1"/>
    <col min="6663" max="6913" width="9.140625" style="12"/>
    <col min="6914" max="6914" width="2.7109375" style="12" customWidth="1"/>
    <col min="6915" max="6915" width="63.85546875" style="12" customWidth="1"/>
    <col min="6916" max="6916" width="8.42578125" style="12" customWidth="1"/>
    <col min="6917" max="6917" width="7.85546875" style="12" customWidth="1"/>
    <col min="6918" max="6918" width="10" style="12" bestFit="1" customWidth="1"/>
    <col min="6919" max="7169" width="9.140625" style="12"/>
    <col min="7170" max="7170" width="2.7109375" style="12" customWidth="1"/>
    <col min="7171" max="7171" width="63.85546875" style="12" customWidth="1"/>
    <col min="7172" max="7172" width="8.42578125" style="12" customWidth="1"/>
    <col min="7173" max="7173" width="7.85546875" style="12" customWidth="1"/>
    <col min="7174" max="7174" width="10" style="12" bestFit="1" customWidth="1"/>
    <col min="7175" max="7425" width="9.140625" style="12"/>
    <col min="7426" max="7426" width="2.7109375" style="12" customWidth="1"/>
    <col min="7427" max="7427" width="63.85546875" style="12" customWidth="1"/>
    <col min="7428" max="7428" width="8.42578125" style="12" customWidth="1"/>
    <col min="7429" max="7429" width="7.85546875" style="12" customWidth="1"/>
    <col min="7430" max="7430" width="10" style="12" bestFit="1" customWidth="1"/>
    <col min="7431" max="7681" width="9.140625" style="12"/>
    <col min="7682" max="7682" width="2.7109375" style="12" customWidth="1"/>
    <col min="7683" max="7683" width="63.85546875" style="12" customWidth="1"/>
    <col min="7684" max="7684" width="8.42578125" style="12" customWidth="1"/>
    <col min="7685" max="7685" width="7.85546875" style="12" customWidth="1"/>
    <col min="7686" max="7686" width="10" style="12" bestFit="1" customWidth="1"/>
    <col min="7687" max="7937" width="9.140625" style="12"/>
    <col min="7938" max="7938" width="2.7109375" style="12" customWidth="1"/>
    <col min="7939" max="7939" width="63.85546875" style="12" customWidth="1"/>
    <col min="7940" max="7940" width="8.42578125" style="12" customWidth="1"/>
    <col min="7941" max="7941" width="7.85546875" style="12" customWidth="1"/>
    <col min="7942" max="7942" width="10" style="12" bestFit="1" customWidth="1"/>
    <col min="7943" max="8193" width="9.140625" style="12"/>
    <col min="8194" max="8194" width="2.7109375" style="12" customWidth="1"/>
    <col min="8195" max="8195" width="63.85546875" style="12" customWidth="1"/>
    <col min="8196" max="8196" width="8.42578125" style="12" customWidth="1"/>
    <col min="8197" max="8197" width="7.85546875" style="12" customWidth="1"/>
    <col min="8198" max="8198" width="10" style="12" bestFit="1" customWidth="1"/>
    <col min="8199" max="8449" width="9.140625" style="12"/>
    <col min="8450" max="8450" width="2.7109375" style="12" customWidth="1"/>
    <col min="8451" max="8451" width="63.85546875" style="12" customWidth="1"/>
    <col min="8452" max="8452" width="8.42578125" style="12" customWidth="1"/>
    <col min="8453" max="8453" width="7.85546875" style="12" customWidth="1"/>
    <col min="8454" max="8454" width="10" style="12" bestFit="1" customWidth="1"/>
    <col min="8455" max="8705" width="9.140625" style="12"/>
    <col min="8706" max="8706" width="2.7109375" style="12" customWidth="1"/>
    <col min="8707" max="8707" width="63.85546875" style="12" customWidth="1"/>
    <col min="8708" max="8708" width="8.42578125" style="12" customWidth="1"/>
    <col min="8709" max="8709" width="7.85546875" style="12" customWidth="1"/>
    <col min="8710" max="8710" width="10" style="12" bestFit="1" customWidth="1"/>
    <col min="8711" max="8961" width="9.140625" style="12"/>
    <col min="8962" max="8962" width="2.7109375" style="12" customWidth="1"/>
    <col min="8963" max="8963" width="63.85546875" style="12" customWidth="1"/>
    <col min="8964" max="8964" width="8.42578125" style="12" customWidth="1"/>
    <col min="8965" max="8965" width="7.85546875" style="12" customWidth="1"/>
    <col min="8966" max="8966" width="10" style="12" bestFit="1" customWidth="1"/>
    <col min="8967" max="9217" width="9.140625" style="12"/>
    <col min="9218" max="9218" width="2.7109375" style="12" customWidth="1"/>
    <col min="9219" max="9219" width="63.85546875" style="12" customWidth="1"/>
    <col min="9220" max="9220" width="8.42578125" style="12" customWidth="1"/>
    <col min="9221" max="9221" width="7.85546875" style="12" customWidth="1"/>
    <col min="9222" max="9222" width="10" style="12" bestFit="1" customWidth="1"/>
    <col min="9223" max="9473" width="9.140625" style="12"/>
    <col min="9474" max="9474" width="2.7109375" style="12" customWidth="1"/>
    <col min="9475" max="9475" width="63.85546875" style="12" customWidth="1"/>
    <col min="9476" max="9476" width="8.42578125" style="12" customWidth="1"/>
    <col min="9477" max="9477" width="7.85546875" style="12" customWidth="1"/>
    <col min="9478" max="9478" width="10" style="12" bestFit="1" customWidth="1"/>
    <col min="9479" max="9729" width="9.140625" style="12"/>
    <col min="9730" max="9730" width="2.7109375" style="12" customWidth="1"/>
    <col min="9731" max="9731" width="63.85546875" style="12" customWidth="1"/>
    <col min="9732" max="9732" width="8.42578125" style="12" customWidth="1"/>
    <col min="9733" max="9733" width="7.85546875" style="12" customWidth="1"/>
    <col min="9734" max="9734" width="10" style="12" bestFit="1" customWidth="1"/>
    <col min="9735" max="9985" width="9.140625" style="12"/>
    <col min="9986" max="9986" width="2.7109375" style="12" customWidth="1"/>
    <col min="9987" max="9987" width="63.85546875" style="12" customWidth="1"/>
    <col min="9988" max="9988" width="8.42578125" style="12" customWidth="1"/>
    <col min="9989" max="9989" width="7.85546875" style="12" customWidth="1"/>
    <col min="9990" max="9990" width="10" style="12" bestFit="1" customWidth="1"/>
    <col min="9991" max="10241" width="9.140625" style="12"/>
    <col min="10242" max="10242" width="2.7109375" style="12" customWidth="1"/>
    <col min="10243" max="10243" width="63.85546875" style="12" customWidth="1"/>
    <col min="10244" max="10244" width="8.42578125" style="12" customWidth="1"/>
    <col min="10245" max="10245" width="7.85546875" style="12" customWidth="1"/>
    <col min="10246" max="10246" width="10" style="12" bestFit="1" customWidth="1"/>
    <col min="10247" max="10497" width="9.140625" style="12"/>
    <col min="10498" max="10498" width="2.7109375" style="12" customWidth="1"/>
    <col min="10499" max="10499" width="63.85546875" style="12" customWidth="1"/>
    <col min="10500" max="10500" width="8.42578125" style="12" customWidth="1"/>
    <col min="10501" max="10501" width="7.85546875" style="12" customWidth="1"/>
    <col min="10502" max="10502" width="10" style="12" bestFit="1" customWidth="1"/>
    <col min="10503" max="10753" width="9.140625" style="12"/>
    <col min="10754" max="10754" width="2.7109375" style="12" customWidth="1"/>
    <col min="10755" max="10755" width="63.85546875" style="12" customWidth="1"/>
    <col min="10756" max="10756" width="8.42578125" style="12" customWidth="1"/>
    <col min="10757" max="10757" width="7.85546875" style="12" customWidth="1"/>
    <col min="10758" max="10758" width="10" style="12" bestFit="1" customWidth="1"/>
    <col min="10759" max="11009" width="9.140625" style="12"/>
    <col min="11010" max="11010" width="2.7109375" style="12" customWidth="1"/>
    <col min="11011" max="11011" width="63.85546875" style="12" customWidth="1"/>
    <col min="11012" max="11012" width="8.42578125" style="12" customWidth="1"/>
    <col min="11013" max="11013" width="7.85546875" style="12" customWidth="1"/>
    <col min="11014" max="11014" width="10" style="12" bestFit="1" customWidth="1"/>
    <col min="11015" max="11265" width="9.140625" style="12"/>
    <col min="11266" max="11266" width="2.7109375" style="12" customWidth="1"/>
    <col min="11267" max="11267" width="63.85546875" style="12" customWidth="1"/>
    <col min="11268" max="11268" width="8.42578125" style="12" customWidth="1"/>
    <col min="11269" max="11269" width="7.85546875" style="12" customWidth="1"/>
    <col min="11270" max="11270" width="10" style="12" bestFit="1" customWidth="1"/>
    <col min="11271" max="11521" width="9.140625" style="12"/>
    <col min="11522" max="11522" width="2.7109375" style="12" customWidth="1"/>
    <col min="11523" max="11523" width="63.85546875" style="12" customWidth="1"/>
    <col min="11524" max="11524" width="8.42578125" style="12" customWidth="1"/>
    <col min="11525" max="11525" width="7.85546875" style="12" customWidth="1"/>
    <col min="11526" max="11526" width="10" style="12" bestFit="1" customWidth="1"/>
    <col min="11527" max="11777" width="9.140625" style="12"/>
    <col min="11778" max="11778" width="2.7109375" style="12" customWidth="1"/>
    <col min="11779" max="11779" width="63.85546875" style="12" customWidth="1"/>
    <col min="11780" max="11780" width="8.42578125" style="12" customWidth="1"/>
    <col min="11781" max="11781" width="7.85546875" style="12" customWidth="1"/>
    <col min="11782" max="11782" width="10" style="12" bestFit="1" customWidth="1"/>
    <col min="11783" max="12033" width="9.140625" style="12"/>
    <col min="12034" max="12034" width="2.7109375" style="12" customWidth="1"/>
    <col min="12035" max="12035" width="63.85546875" style="12" customWidth="1"/>
    <col min="12036" max="12036" width="8.42578125" style="12" customWidth="1"/>
    <col min="12037" max="12037" width="7.85546875" style="12" customWidth="1"/>
    <col min="12038" max="12038" width="10" style="12" bestFit="1" customWidth="1"/>
    <col min="12039" max="12289" width="9.140625" style="12"/>
    <col min="12290" max="12290" width="2.7109375" style="12" customWidth="1"/>
    <col min="12291" max="12291" width="63.85546875" style="12" customWidth="1"/>
    <col min="12292" max="12292" width="8.42578125" style="12" customWidth="1"/>
    <col min="12293" max="12293" width="7.85546875" style="12" customWidth="1"/>
    <col min="12294" max="12294" width="10" style="12" bestFit="1" customWidth="1"/>
    <col min="12295" max="12545" width="9.140625" style="12"/>
    <col min="12546" max="12546" width="2.7109375" style="12" customWidth="1"/>
    <col min="12547" max="12547" width="63.85546875" style="12" customWidth="1"/>
    <col min="12548" max="12548" width="8.42578125" style="12" customWidth="1"/>
    <col min="12549" max="12549" width="7.85546875" style="12" customWidth="1"/>
    <col min="12550" max="12550" width="10" style="12" bestFit="1" customWidth="1"/>
    <col min="12551" max="12801" width="9.140625" style="12"/>
    <col min="12802" max="12802" width="2.7109375" style="12" customWidth="1"/>
    <col min="12803" max="12803" width="63.85546875" style="12" customWidth="1"/>
    <col min="12804" max="12804" width="8.42578125" style="12" customWidth="1"/>
    <col min="12805" max="12805" width="7.85546875" style="12" customWidth="1"/>
    <col min="12806" max="12806" width="10" style="12" bestFit="1" customWidth="1"/>
    <col min="12807" max="13057" width="9.140625" style="12"/>
    <col min="13058" max="13058" width="2.7109375" style="12" customWidth="1"/>
    <col min="13059" max="13059" width="63.85546875" style="12" customWidth="1"/>
    <col min="13060" max="13060" width="8.42578125" style="12" customWidth="1"/>
    <col min="13061" max="13061" width="7.85546875" style="12" customWidth="1"/>
    <col min="13062" max="13062" width="10" style="12" bestFit="1" customWidth="1"/>
    <col min="13063" max="13313" width="9.140625" style="12"/>
    <col min="13314" max="13314" width="2.7109375" style="12" customWidth="1"/>
    <col min="13315" max="13315" width="63.85546875" style="12" customWidth="1"/>
    <col min="13316" max="13316" width="8.42578125" style="12" customWidth="1"/>
    <col min="13317" max="13317" width="7.85546875" style="12" customWidth="1"/>
    <col min="13318" max="13318" width="10" style="12" bestFit="1" customWidth="1"/>
    <col min="13319" max="13569" width="9.140625" style="12"/>
    <col min="13570" max="13570" width="2.7109375" style="12" customWidth="1"/>
    <col min="13571" max="13571" width="63.85546875" style="12" customWidth="1"/>
    <col min="13572" max="13572" width="8.42578125" style="12" customWidth="1"/>
    <col min="13573" max="13573" width="7.85546875" style="12" customWidth="1"/>
    <col min="13574" max="13574" width="10" style="12" bestFit="1" customWidth="1"/>
    <col min="13575" max="13825" width="9.140625" style="12"/>
    <col min="13826" max="13826" width="2.7109375" style="12" customWidth="1"/>
    <col min="13827" max="13827" width="63.85546875" style="12" customWidth="1"/>
    <col min="13828" max="13828" width="8.42578125" style="12" customWidth="1"/>
    <col min="13829" max="13829" width="7.85546875" style="12" customWidth="1"/>
    <col min="13830" max="13830" width="10" style="12" bestFit="1" customWidth="1"/>
    <col min="13831" max="14081" width="9.140625" style="12"/>
    <col min="14082" max="14082" width="2.7109375" style="12" customWidth="1"/>
    <col min="14083" max="14083" width="63.85546875" style="12" customWidth="1"/>
    <col min="14084" max="14084" width="8.42578125" style="12" customWidth="1"/>
    <col min="14085" max="14085" width="7.85546875" style="12" customWidth="1"/>
    <col min="14086" max="14086" width="10" style="12" bestFit="1" customWidth="1"/>
    <col min="14087" max="14337" width="9.140625" style="12"/>
    <col min="14338" max="14338" width="2.7109375" style="12" customWidth="1"/>
    <col min="14339" max="14339" width="63.85546875" style="12" customWidth="1"/>
    <col min="14340" max="14340" width="8.42578125" style="12" customWidth="1"/>
    <col min="14341" max="14341" width="7.85546875" style="12" customWidth="1"/>
    <col min="14342" max="14342" width="10" style="12" bestFit="1" customWidth="1"/>
    <col min="14343" max="14593" width="9.140625" style="12"/>
    <col min="14594" max="14594" width="2.7109375" style="12" customWidth="1"/>
    <col min="14595" max="14595" width="63.85546875" style="12" customWidth="1"/>
    <col min="14596" max="14596" width="8.42578125" style="12" customWidth="1"/>
    <col min="14597" max="14597" width="7.85546875" style="12" customWidth="1"/>
    <col min="14598" max="14598" width="10" style="12" bestFit="1" customWidth="1"/>
    <col min="14599" max="14849" width="9.140625" style="12"/>
    <col min="14850" max="14850" width="2.7109375" style="12" customWidth="1"/>
    <col min="14851" max="14851" width="63.85546875" style="12" customWidth="1"/>
    <col min="14852" max="14852" width="8.42578125" style="12" customWidth="1"/>
    <col min="14853" max="14853" width="7.85546875" style="12" customWidth="1"/>
    <col min="14854" max="14854" width="10" style="12" bestFit="1" customWidth="1"/>
    <col min="14855" max="15105" width="9.140625" style="12"/>
    <col min="15106" max="15106" width="2.7109375" style="12" customWidth="1"/>
    <col min="15107" max="15107" width="63.85546875" style="12" customWidth="1"/>
    <col min="15108" max="15108" width="8.42578125" style="12" customWidth="1"/>
    <col min="15109" max="15109" width="7.85546875" style="12" customWidth="1"/>
    <col min="15110" max="15110" width="10" style="12" bestFit="1" customWidth="1"/>
    <col min="15111" max="15361" width="9.140625" style="12"/>
    <col min="15362" max="15362" width="2.7109375" style="12" customWidth="1"/>
    <col min="15363" max="15363" width="63.85546875" style="12" customWidth="1"/>
    <col min="15364" max="15364" width="8.42578125" style="12" customWidth="1"/>
    <col min="15365" max="15365" width="7.85546875" style="12" customWidth="1"/>
    <col min="15366" max="15366" width="10" style="12" bestFit="1" customWidth="1"/>
    <col min="15367" max="15617" width="9.140625" style="12"/>
    <col min="15618" max="15618" width="2.7109375" style="12" customWidth="1"/>
    <col min="15619" max="15619" width="63.85546875" style="12" customWidth="1"/>
    <col min="15620" max="15620" width="8.42578125" style="12" customWidth="1"/>
    <col min="15621" max="15621" width="7.85546875" style="12" customWidth="1"/>
    <col min="15622" max="15622" width="10" style="12" bestFit="1" customWidth="1"/>
    <col min="15623" max="15873" width="9.140625" style="12"/>
    <col min="15874" max="15874" width="2.7109375" style="12" customWidth="1"/>
    <col min="15875" max="15875" width="63.85546875" style="12" customWidth="1"/>
    <col min="15876" max="15876" width="8.42578125" style="12" customWidth="1"/>
    <col min="15877" max="15877" width="7.85546875" style="12" customWidth="1"/>
    <col min="15878" max="15878" width="10" style="12" bestFit="1" customWidth="1"/>
    <col min="15879" max="16129" width="9.140625" style="12"/>
    <col min="16130" max="16130" width="2.7109375" style="12" customWidth="1"/>
    <col min="16131" max="16131" width="63.85546875" style="12" customWidth="1"/>
    <col min="16132" max="16132" width="8.42578125" style="12" customWidth="1"/>
    <col min="16133" max="16133" width="7.85546875" style="12" customWidth="1"/>
    <col min="16134" max="16134" width="10" style="12" bestFit="1" customWidth="1"/>
    <col min="16135" max="16384" width="9.140625" style="12"/>
  </cols>
  <sheetData>
    <row r="1" spans="1:31">
      <c r="A1" s="11" t="s">
        <v>48</v>
      </c>
      <c r="B1" s="11"/>
      <c r="C1" s="11"/>
      <c r="D1" s="11"/>
    </row>
    <row r="2" spans="1:31">
      <c r="A2" s="11"/>
      <c r="B2" s="47"/>
      <c r="C2" s="11" t="s">
        <v>51</v>
      </c>
      <c r="D2" s="11"/>
      <c r="E2" s="11" t="s">
        <v>33</v>
      </c>
      <c r="F2" s="11" t="s">
        <v>34</v>
      </c>
      <c r="G2" s="11" t="s">
        <v>35</v>
      </c>
      <c r="H2" s="11" t="s">
        <v>36</v>
      </c>
      <c r="I2" s="11" t="s">
        <v>37</v>
      </c>
      <c r="J2" s="138" t="s">
        <v>38</v>
      </c>
      <c r="K2" s="11" t="s">
        <v>39</v>
      </c>
      <c r="L2" s="11" t="s">
        <v>40</v>
      </c>
      <c r="M2" s="11" t="s">
        <v>41</v>
      </c>
      <c r="N2" s="11" t="s">
        <v>42</v>
      </c>
      <c r="O2" s="11" t="s">
        <v>43</v>
      </c>
      <c r="P2" s="11" t="s">
        <v>52</v>
      </c>
      <c r="Q2" s="11" t="s">
        <v>53</v>
      </c>
      <c r="R2" s="11" t="s">
        <v>54</v>
      </c>
      <c r="S2" s="11" t="s">
        <v>55</v>
      </c>
      <c r="T2" s="11" t="s">
        <v>110</v>
      </c>
      <c r="U2" s="11" t="s">
        <v>111</v>
      </c>
      <c r="V2" s="11" t="s">
        <v>112</v>
      </c>
      <c r="W2" s="11" t="s">
        <v>113</v>
      </c>
      <c r="X2" s="11" t="s">
        <v>114</v>
      </c>
      <c r="Y2" s="11" t="s">
        <v>115</v>
      </c>
      <c r="Z2" s="11" t="s">
        <v>116</v>
      </c>
      <c r="AA2" s="11" t="s">
        <v>117</v>
      </c>
      <c r="AB2" s="11" t="s">
        <v>118</v>
      </c>
      <c r="AC2" s="11" t="s">
        <v>119</v>
      </c>
      <c r="AD2" s="11"/>
      <c r="AE2" s="11"/>
    </row>
    <row r="3" spans="1:31">
      <c r="A3" s="46" t="s">
        <v>49</v>
      </c>
      <c r="B3" s="47" t="s">
        <v>50</v>
      </c>
    </row>
    <row r="4" spans="1:31" ht="12.75" hidden="1" customHeight="1">
      <c r="A4" s="48"/>
      <c r="B4" s="49" t="s">
        <v>56</v>
      </c>
      <c r="C4" s="13">
        <v>25</v>
      </c>
      <c r="D4" s="13"/>
      <c r="E4" s="13">
        <v>830</v>
      </c>
      <c r="F4" s="13">
        <v>1270</v>
      </c>
      <c r="G4" s="13">
        <v>730</v>
      </c>
      <c r="H4" s="13">
        <v>730</v>
      </c>
      <c r="I4" s="13">
        <v>1630</v>
      </c>
      <c r="J4" s="13">
        <v>2010</v>
      </c>
      <c r="K4" s="13">
        <f>J4</f>
        <v>2010</v>
      </c>
      <c r="L4" s="13">
        <f t="shared" ref="L4:AA7" si="0">K4</f>
        <v>2010</v>
      </c>
      <c r="M4" s="13">
        <f t="shared" si="0"/>
        <v>2010</v>
      </c>
      <c r="N4" s="13">
        <f t="shared" si="0"/>
        <v>2010</v>
      </c>
      <c r="O4" s="13">
        <f t="shared" si="0"/>
        <v>2010</v>
      </c>
      <c r="P4" s="13">
        <f t="shared" si="0"/>
        <v>2010</v>
      </c>
      <c r="Q4" s="13">
        <f t="shared" si="0"/>
        <v>2010</v>
      </c>
      <c r="R4" s="13">
        <f t="shared" si="0"/>
        <v>2010</v>
      </c>
      <c r="S4" s="13">
        <f t="shared" si="0"/>
        <v>2010</v>
      </c>
    </row>
    <row r="5" spans="1:31">
      <c r="A5" s="48"/>
      <c r="B5" s="49" t="s">
        <v>57</v>
      </c>
      <c r="C5" s="13"/>
      <c r="D5" s="13"/>
      <c r="E5" s="13">
        <v>5500</v>
      </c>
      <c r="F5" s="13">
        <v>11100</v>
      </c>
      <c r="G5" s="13">
        <v>17700</v>
      </c>
      <c r="H5" s="13">
        <v>27300</v>
      </c>
      <c r="I5" s="13">
        <v>35880</v>
      </c>
      <c r="J5" s="13">
        <v>40320</v>
      </c>
      <c r="K5" s="13">
        <v>40320</v>
      </c>
      <c r="L5" s="13">
        <v>40320</v>
      </c>
      <c r="M5" s="13">
        <v>40320</v>
      </c>
      <c r="N5" s="13">
        <v>40320</v>
      </c>
      <c r="O5" s="13">
        <v>40320</v>
      </c>
      <c r="P5" s="13">
        <v>40320</v>
      </c>
      <c r="Q5" s="13">
        <v>40320</v>
      </c>
      <c r="R5" s="13">
        <v>40320</v>
      </c>
      <c r="S5" s="13">
        <v>40320</v>
      </c>
      <c r="T5" s="13">
        <v>40320</v>
      </c>
      <c r="U5" s="13">
        <v>40320</v>
      </c>
      <c r="V5" s="13">
        <v>40320</v>
      </c>
      <c r="W5" s="13">
        <v>40320</v>
      </c>
      <c r="X5" s="13">
        <v>40320</v>
      </c>
      <c r="Y5" s="13">
        <v>40320</v>
      </c>
      <c r="Z5" s="13">
        <v>40320</v>
      </c>
      <c r="AA5" s="13">
        <v>40320</v>
      </c>
      <c r="AB5" s="13">
        <v>40320</v>
      </c>
      <c r="AC5" s="13">
        <v>40320</v>
      </c>
    </row>
    <row r="6" spans="1:31" ht="13.5" thickBot="1">
      <c r="A6" s="48"/>
      <c r="B6" s="49" t="s">
        <v>58</v>
      </c>
      <c r="C6" s="13"/>
      <c r="D6" s="13"/>
      <c r="E6" s="141">
        <v>366000</v>
      </c>
      <c r="F6" s="141">
        <v>741000</v>
      </c>
      <c r="G6" s="141">
        <v>1188000</v>
      </c>
      <c r="H6" s="141">
        <v>1818000</v>
      </c>
      <c r="I6" s="141">
        <v>2392800</v>
      </c>
      <c r="J6" s="141">
        <v>2719200</v>
      </c>
      <c r="K6" s="141">
        <v>2719200</v>
      </c>
      <c r="L6" s="141">
        <v>2719200</v>
      </c>
      <c r="M6" s="141">
        <v>2719200</v>
      </c>
      <c r="N6" s="141">
        <v>2719200</v>
      </c>
      <c r="O6" s="141">
        <v>2719200</v>
      </c>
      <c r="P6" s="141">
        <v>2719200</v>
      </c>
      <c r="Q6" s="141">
        <v>2719200</v>
      </c>
      <c r="R6" s="141">
        <v>2719200</v>
      </c>
      <c r="S6" s="141">
        <v>2719200</v>
      </c>
      <c r="T6" s="141">
        <v>2719200</v>
      </c>
      <c r="U6" s="141">
        <v>2719200</v>
      </c>
      <c r="V6" s="141">
        <v>2719200</v>
      </c>
      <c r="W6" s="141">
        <v>2719200</v>
      </c>
      <c r="X6" s="141">
        <v>2719200</v>
      </c>
      <c r="Y6" s="141">
        <v>2719200</v>
      </c>
      <c r="Z6" s="141">
        <v>2719200</v>
      </c>
      <c r="AA6" s="141">
        <v>2719200</v>
      </c>
      <c r="AB6" s="141">
        <v>2719200</v>
      </c>
      <c r="AC6" s="141">
        <v>2719200</v>
      </c>
    </row>
    <row r="7" spans="1:31" ht="18" hidden="1" customHeight="1">
      <c r="A7" s="48"/>
      <c r="B7" s="50" t="s">
        <v>98</v>
      </c>
      <c r="C7" s="15"/>
      <c r="D7" s="15"/>
      <c r="E7" s="15">
        <f>'Feed and Fodder'!S14</f>
        <v>0.5</v>
      </c>
      <c r="F7" s="15">
        <f>E7</f>
        <v>0.5</v>
      </c>
      <c r="G7" s="15">
        <f t="shared" ref="G7:K7" si="1">F7</f>
        <v>0.5</v>
      </c>
      <c r="H7" s="15">
        <f t="shared" si="1"/>
        <v>0.5</v>
      </c>
      <c r="I7" s="15">
        <f t="shared" si="1"/>
        <v>0.5</v>
      </c>
      <c r="J7" s="15">
        <f t="shared" si="1"/>
        <v>0.5</v>
      </c>
      <c r="K7" s="15">
        <f t="shared" si="1"/>
        <v>0.5</v>
      </c>
      <c r="L7" s="15">
        <f t="shared" si="0"/>
        <v>0.5</v>
      </c>
      <c r="M7" s="15">
        <f t="shared" si="0"/>
        <v>0.5</v>
      </c>
      <c r="N7" s="15">
        <f t="shared" si="0"/>
        <v>0.5</v>
      </c>
      <c r="O7" s="15">
        <f t="shared" si="0"/>
        <v>0.5</v>
      </c>
      <c r="P7" s="15">
        <f t="shared" si="0"/>
        <v>0.5</v>
      </c>
      <c r="Q7" s="15">
        <f t="shared" si="0"/>
        <v>0.5</v>
      </c>
      <c r="R7" s="15">
        <f t="shared" si="0"/>
        <v>0.5</v>
      </c>
      <c r="S7" s="15">
        <f t="shared" si="0"/>
        <v>0.5</v>
      </c>
      <c r="T7" s="15">
        <f t="shared" si="0"/>
        <v>0.5</v>
      </c>
      <c r="U7" s="15">
        <f t="shared" si="0"/>
        <v>0.5</v>
      </c>
      <c r="V7" s="15">
        <f t="shared" si="0"/>
        <v>0.5</v>
      </c>
      <c r="W7" s="15">
        <f t="shared" si="0"/>
        <v>0.5</v>
      </c>
      <c r="X7" s="15">
        <f t="shared" si="0"/>
        <v>0.5</v>
      </c>
      <c r="Y7" s="15">
        <f t="shared" si="0"/>
        <v>0.5</v>
      </c>
      <c r="Z7" s="15">
        <f t="shared" si="0"/>
        <v>0.5</v>
      </c>
      <c r="AA7" s="15">
        <f t="shared" si="0"/>
        <v>0.5</v>
      </c>
      <c r="AB7" s="15">
        <f t="shared" ref="AB7:AC7" si="2">AA7</f>
        <v>0.5</v>
      </c>
      <c r="AC7" s="15">
        <f t="shared" si="2"/>
        <v>0.5</v>
      </c>
    </row>
    <row r="8" spans="1:31" ht="14.25" hidden="1" thickBot="1">
      <c r="A8" s="48"/>
      <c r="B8" s="51" t="s">
        <v>135</v>
      </c>
      <c r="C8" s="76"/>
      <c r="D8" s="76"/>
      <c r="E8" s="76">
        <f>E6*E7*365/1000000000</f>
        <v>6.6794999999999993E-2</v>
      </c>
      <c r="F8" s="76">
        <f t="shared" ref="F8:AC8" si="3">F6*F7*365/1000000000</f>
        <v>0.13523250000000001</v>
      </c>
      <c r="G8" s="76">
        <f t="shared" si="3"/>
        <v>0.21681</v>
      </c>
      <c r="H8" s="76">
        <f t="shared" si="3"/>
        <v>0.331785</v>
      </c>
      <c r="I8" s="76">
        <f t="shared" si="3"/>
        <v>0.43668600000000002</v>
      </c>
      <c r="J8" s="76">
        <f t="shared" si="3"/>
        <v>0.49625399999999997</v>
      </c>
      <c r="K8" s="76">
        <f t="shared" si="3"/>
        <v>0.49625399999999997</v>
      </c>
      <c r="L8" s="76">
        <f t="shared" si="3"/>
        <v>0.49625399999999997</v>
      </c>
      <c r="M8" s="76">
        <f t="shared" si="3"/>
        <v>0.49625399999999997</v>
      </c>
      <c r="N8" s="76">
        <f t="shared" si="3"/>
        <v>0.49625399999999997</v>
      </c>
      <c r="O8" s="76">
        <f t="shared" si="3"/>
        <v>0.49625399999999997</v>
      </c>
      <c r="P8" s="76">
        <f t="shared" si="3"/>
        <v>0.49625399999999997</v>
      </c>
      <c r="Q8" s="76">
        <f t="shared" si="3"/>
        <v>0.49625399999999997</v>
      </c>
      <c r="R8" s="76">
        <f t="shared" si="3"/>
        <v>0.49625399999999997</v>
      </c>
      <c r="S8" s="76">
        <f t="shared" si="3"/>
        <v>0.49625399999999997</v>
      </c>
      <c r="T8" s="76">
        <f t="shared" si="3"/>
        <v>0.49625399999999997</v>
      </c>
      <c r="U8" s="76">
        <f t="shared" si="3"/>
        <v>0.49625399999999997</v>
      </c>
      <c r="V8" s="76">
        <f t="shared" si="3"/>
        <v>0.49625399999999997</v>
      </c>
      <c r="W8" s="76">
        <f t="shared" si="3"/>
        <v>0.49625399999999997</v>
      </c>
      <c r="X8" s="76">
        <f t="shared" si="3"/>
        <v>0.49625399999999997</v>
      </c>
      <c r="Y8" s="76">
        <f t="shared" si="3"/>
        <v>0.49625399999999997</v>
      </c>
      <c r="Z8" s="76">
        <f t="shared" si="3"/>
        <v>0.49625399999999997</v>
      </c>
      <c r="AA8" s="76">
        <f t="shared" si="3"/>
        <v>0.49625399999999997</v>
      </c>
      <c r="AB8" s="76">
        <f t="shared" si="3"/>
        <v>0.49625399999999997</v>
      </c>
      <c r="AC8" s="76">
        <f t="shared" si="3"/>
        <v>0.49625399999999997</v>
      </c>
    </row>
    <row r="9" spans="1:31" ht="14.25" hidden="1" thickBot="1">
      <c r="A9" s="48"/>
      <c r="B9" s="77"/>
      <c r="C9" s="16"/>
      <c r="D9" s="16"/>
      <c r="E9" s="16"/>
      <c r="F9" s="16"/>
      <c r="G9" s="16"/>
      <c r="H9" s="16"/>
      <c r="I9" s="16"/>
      <c r="J9" s="16"/>
      <c r="K9" s="16"/>
      <c r="L9" s="16"/>
      <c r="M9" s="16"/>
      <c r="N9" s="16"/>
      <c r="O9" s="16"/>
      <c r="P9" s="16"/>
      <c r="Q9" s="16"/>
      <c r="R9" s="16"/>
      <c r="S9" s="16"/>
      <c r="T9" s="23"/>
      <c r="U9" s="23"/>
      <c r="V9" s="23"/>
      <c r="W9" s="23"/>
      <c r="X9" s="23"/>
      <c r="Y9" s="23"/>
      <c r="Z9" s="23"/>
      <c r="AA9" s="23"/>
      <c r="AB9" s="23"/>
      <c r="AC9" s="23"/>
    </row>
    <row r="10" spans="1:31" ht="13.5" hidden="1" thickBot="1">
      <c r="A10" s="46" t="s">
        <v>146</v>
      </c>
      <c r="B10" s="47" t="s">
        <v>60</v>
      </c>
      <c r="C10" s="13"/>
      <c r="D10" s="13"/>
      <c r="E10" s="13"/>
      <c r="F10" s="13"/>
      <c r="G10" s="13"/>
      <c r="H10" s="13"/>
      <c r="I10" s="13"/>
      <c r="J10" s="13"/>
    </row>
    <row r="11" spans="1:31" ht="13.5" hidden="1" thickBot="1">
      <c r="A11" s="48"/>
      <c r="B11" s="52" t="s">
        <v>61</v>
      </c>
      <c r="C11" s="13"/>
      <c r="D11" s="13"/>
      <c r="E11" s="13">
        <v>1</v>
      </c>
      <c r="F11" s="13">
        <v>2</v>
      </c>
      <c r="G11" s="13">
        <v>4</v>
      </c>
      <c r="H11" s="13">
        <v>5</v>
      </c>
      <c r="I11" s="13">
        <v>6</v>
      </c>
      <c r="J11" s="13">
        <v>7</v>
      </c>
      <c r="K11" s="13">
        <f>J11</f>
        <v>7</v>
      </c>
      <c r="L11" s="13">
        <f t="shared" ref="L11:S11" si="4">K11</f>
        <v>7</v>
      </c>
      <c r="M11" s="13">
        <f t="shared" si="4"/>
        <v>7</v>
      </c>
      <c r="N11" s="13">
        <f t="shared" si="4"/>
        <v>7</v>
      </c>
      <c r="O11" s="13">
        <f t="shared" si="4"/>
        <v>7</v>
      </c>
      <c r="P11" s="13">
        <f t="shared" si="4"/>
        <v>7</v>
      </c>
      <c r="Q11" s="13">
        <f t="shared" si="4"/>
        <v>7</v>
      </c>
      <c r="R11" s="13">
        <f t="shared" si="4"/>
        <v>7</v>
      </c>
      <c r="S11" s="13">
        <f t="shared" si="4"/>
        <v>7</v>
      </c>
      <c r="T11" s="12">
        <f>S11</f>
        <v>7</v>
      </c>
      <c r="U11" s="12">
        <f t="shared" ref="U11:AC11" si="5">T11</f>
        <v>7</v>
      </c>
      <c r="V11" s="12">
        <f t="shared" si="5"/>
        <v>7</v>
      </c>
      <c r="W11" s="12">
        <f t="shared" si="5"/>
        <v>7</v>
      </c>
      <c r="X11" s="12">
        <f t="shared" si="5"/>
        <v>7</v>
      </c>
      <c r="Y11" s="12">
        <f t="shared" si="5"/>
        <v>7</v>
      </c>
      <c r="Z11" s="12">
        <f t="shared" si="5"/>
        <v>7</v>
      </c>
      <c r="AA11" s="12">
        <f t="shared" si="5"/>
        <v>7</v>
      </c>
      <c r="AB11" s="12">
        <f t="shared" si="5"/>
        <v>7</v>
      </c>
      <c r="AC11" s="12">
        <f t="shared" si="5"/>
        <v>7</v>
      </c>
    </row>
    <row r="12" spans="1:31" ht="13.5" hidden="1" thickBot="1">
      <c r="A12" s="48"/>
      <c r="B12" s="49" t="s">
        <v>62</v>
      </c>
      <c r="C12" s="13"/>
      <c r="D12" s="13"/>
      <c r="E12" s="13">
        <v>10</v>
      </c>
      <c r="F12" s="13">
        <v>10</v>
      </c>
      <c r="G12" s="13">
        <v>10</v>
      </c>
      <c r="H12" s="13">
        <v>10</v>
      </c>
      <c r="I12" s="13">
        <v>10</v>
      </c>
      <c r="J12" s="13">
        <v>10</v>
      </c>
      <c r="K12" s="13">
        <v>10</v>
      </c>
      <c r="L12" s="13">
        <v>10</v>
      </c>
      <c r="M12" s="13">
        <v>10</v>
      </c>
      <c r="N12" s="13">
        <v>10</v>
      </c>
      <c r="O12" s="13">
        <v>10</v>
      </c>
      <c r="P12" s="13">
        <v>10</v>
      </c>
      <c r="Q12" s="13">
        <v>10</v>
      </c>
      <c r="R12" s="13">
        <v>10</v>
      </c>
      <c r="S12" s="13">
        <v>10</v>
      </c>
      <c r="T12" s="12">
        <f t="shared" ref="T12:AC20" si="6">S12</f>
        <v>10</v>
      </c>
      <c r="U12" s="12">
        <f t="shared" si="6"/>
        <v>10</v>
      </c>
      <c r="V12" s="12">
        <f t="shared" si="6"/>
        <v>10</v>
      </c>
      <c r="W12" s="12">
        <f t="shared" si="6"/>
        <v>10</v>
      </c>
      <c r="X12" s="12">
        <f t="shared" si="6"/>
        <v>10</v>
      </c>
      <c r="Y12" s="12">
        <f t="shared" si="6"/>
        <v>10</v>
      </c>
      <c r="Z12" s="12">
        <f t="shared" si="6"/>
        <v>10</v>
      </c>
      <c r="AA12" s="12">
        <f t="shared" si="6"/>
        <v>10</v>
      </c>
      <c r="AB12" s="12">
        <f t="shared" si="6"/>
        <v>10</v>
      </c>
      <c r="AC12" s="12">
        <f t="shared" si="6"/>
        <v>10</v>
      </c>
    </row>
    <row r="13" spans="1:31" ht="13.5" hidden="1" thickBot="1">
      <c r="A13" s="48"/>
      <c r="B13" s="49" t="s">
        <v>63</v>
      </c>
      <c r="C13" s="13"/>
      <c r="D13" s="13"/>
      <c r="E13" s="13">
        <v>300</v>
      </c>
      <c r="F13" s="13">
        <v>600</v>
      </c>
      <c r="G13" s="13">
        <v>1200</v>
      </c>
      <c r="H13" s="13">
        <v>1500</v>
      </c>
      <c r="I13" s="13">
        <v>1800</v>
      </c>
      <c r="J13" s="13">
        <v>2100</v>
      </c>
      <c r="K13" s="13">
        <f>J13</f>
        <v>2100</v>
      </c>
      <c r="L13" s="13">
        <f t="shared" ref="L13:AA13" si="7">K13</f>
        <v>2100</v>
      </c>
      <c r="M13" s="13">
        <f t="shared" si="7"/>
        <v>2100</v>
      </c>
      <c r="N13" s="13">
        <f t="shared" si="7"/>
        <v>2100</v>
      </c>
      <c r="O13" s="13">
        <f t="shared" si="7"/>
        <v>2100</v>
      </c>
      <c r="P13" s="13">
        <f t="shared" si="7"/>
        <v>2100</v>
      </c>
      <c r="Q13" s="13">
        <f t="shared" si="7"/>
        <v>2100</v>
      </c>
      <c r="R13" s="13">
        <f t="shared" si="7"/>
        <v>2100</v>
      </c>
      <c r="S13" s="13">
        <f t="shared" si="7"/>
        <v>2100</v>
      </c>
      <c r="T13" s="12">
        <f t="shared" si="7"/>
        <v>2100</v>
      </c>
      <c r="U13" s="12">
        <f t="shared" si="7"/>
        <v>2100</v>
      </c>
      <c r="V13" s="12">
        <f t="shared" si="7"/>
        <v>2100</v>
      </c>
      <c r="W13" s="12">
        <f t="shared" si="7"/>
        <v>2100</v>
      </c>
      <c r="X13" s="12">
        <f t="shared" si="7"/>
        <v>2100</v>
      </c>
      <c r="Y13" s="12">
        <f t="shared" si="7"/>
        <v>2100</v>
      </c>
      <c r="Z13" s="12">
        <f t="shared" si="7"/>
        <v>2100</v>
      </c>
      <c r="AA13" s="12">
        <f t="shared" si="7"/>
        <v>2100</v>
      </c>
      <c r="AB13" s="12">
        <f t="shared" si="6"/>
        <v>2100</v>
      </c>
      <c r="AC13" s="12">
        <f t="shared" si="6"/>
        <v>2100</v>
      </c>
    </row>
    <row r="14" spans="1:31" ht="13.5" hidden="1" thickBot="1">
      <c r="A14" s="48"/>
      <c r="B14" s="49" t="s">
        <v>64</v>
      </c>
      <c r="C14" s="13"/>
      <c r="D14" s="13"/>
      <c r="E14" s="13">
        <v>50</v>
      </c>
      <c r="F14" s="13">
        <v>50</v>
      </c>
      <c r="G14" s="13">
        <v>50</v>
      </c>
      <c r="H14" s="13">
        <v>50</v>
      </c>
      <c r="I14" s="13">
        <v>50</v>
      </c>
      <c r="J14" s="13">
        <v>50</v>
      </c>
      <c r="K14" s="13">
        <v>50</v>
      </c>
      <c r="L14" s="13">
        <v>50</v>
      </c>
      <c r="M14" s="13">
        <v>50</v>
      </c>
      <c r="N14" s="13">
        <v>50</v>
      </c>
      <c r="O14" s="13">
        <v>50</v>
      </c>
      <c r="P14" s="13">
        <v>50</v>
      </c>
      <c r="Q14" s="13">
        <v>50</v>
      </c>
      <c r="R14" s="13">
        <v>50</v>
      </c>
      <c r="S14" s="13">
        <v>50</v>
      </c>
      <c r="T14" s="12">
        <f t="shared" si="6"/>
        <v>50</v>
      </c>
      <c r="U14" s="12">
        <f t="shared" si="6"/>
        <v>50</v>
      </c>
      <c r="V14" s="12">
        <f t="shared" si="6"/>
        <v>50</v>
      </c>
      <c r="W14" s="12">
        <f t="shared" si="6"/>
        <v>50</v>
      </c>
      <c r="X14" s="12">
        <f t="shared" si="6"/>
        <v>50</v>
      </c>
      <c r="Y14" s="12">
        <f t="shared" si="6"/>
        <v>50</v>
      </c>
      <c r="Z14" s="12">
        <f t="shared" si="6"/>
        <v>50</v>
      </c>
      <c r="AA14" s="12">
        <f t="shared" si="6"/>
        <v>50</v>
      </c>
      <c r="AB14" s="12">
        <f t="shared" si="6"/>
        <v>50</v>
      </c>
      <c r="AC14" s="12">
        <f t="shared" si="6"/>
        <v>50</v>
      </c>
    </row>
    <row r="15" spans="1:31" ht="13.5" hidden="1" thickBot="1">
      <c r="A15" s="48"/>
      <c r="B15" s="49" t="s">
        <v>65</v>
      </c>
      <c r="C15" s="13"/>
      <c r="D15" s="13"/>
      <c r="E15" s="13">
        <f>E13*1000/E14</f>
        <v>6000</v>
      </c>
      <c r="F15" s="13">
        <f t="shared" ref="F15:S15" si="8">F13*1000/F14</f>
        <v>12000</v>
      </c>
      <c r="G15" s="13">
        <f t="shared" si="8"/>
        <v>24000</v>
      </c>
      <c r="H15" s="13">
        <f t="shared" si="8"/>
        <v>30000</v>
      </c>
      <c r="I15" s="13">
        <f t="shared" si="8"/>
        <v>36000</v>
      </c>
      <c r="J15" s="13">
        <f t="shared" si="8"/>
        <v>42000</v>
      </c>
      <c r="K15" s="13">
        <f t="shared" si="8"/>
        <v>42000</v>
      </c>
      <c r="L15" s="13">
        <f t="shared" si="8"/>
        <v>42000</v>
      </c>
      <c r="M15" s="13">
        <f t="shared" si="8"/>
        <v>42000</v>
      </c>
      <c r="N15" s="13">
        <f t="shared" si="8"/>
        <v>42000</v>
      </c>
      <c r="O15" s="13">
        <f t="shared" si="8"/>
        <v>42000</v>
      </c>
      <c r="P15" s="13">
        <f t="shared" si="8"/>
        <v>42000</v>
      </c>
      <c r="Q15" s="13">
        <f t="shared" si="8"/>
        <v>42000</v>
      </c>
      <c r="R15" s="13">
        <f t="shared" si="8"/>
        <v>42000</v>
      </c>
      <c r="S15" s="13">
        <f t="shared" si="8"/>
        <v>42000</v>
      </c>
      <c r="T15" s="12">
        <f t="shared" si="6"/>
        <v>42000</v>
      </c>
      <c r="U15" s="12">
        <f t="shared" si="6"/>
        <v>42000</v>
      </c>
      <c r="V15" s="12">
        <f t="shared" si="6"/>
        <v>42000</v>
      </c>
      <c r="W15" s="12">
        <f t="shared" si="6"/>
        <v>42000</v>
      </c>
      <c r="X15" s="12">
        <f t="shared" si="6"/>
        <v>42000</v>
      </c>
      <c r="Y15" s="12">
        <f t="shared" si="6"/>
        <v>42000</v>
      </c>
      <c r="Z15" s="12">
        <f t="shared" si="6"/>
        <v>42000</v>
      </c>
      <c r="AA15" s="12">
        <f t="shared" si="6"/>
        <v>42000</v>
      </c>
      <c r="AB15" s="12">
        <f t="shared" si="6"/>
        <v>42000</v>
      </c>
      <c r="AC15" s="12">
        <f t="shared" si="6"/>
        <v>42000</v>
      </c>
    </row>
    <row r="16" spans="1:31" ht="13.5" hidden="1" thickBot="1">
      <c r="A16" s="48"/>
      <c r="B16" s="49" t="s">
        <v>66</v>
      </c>
      <c r="C16" s="13"/>
      <c r="D16" s="13"/>
      <c r="E16" s="13">
        <v>40</v>
      </c>
      <c r="F16" s="13">
        <v>40</v>
      </c>
      <c r="G16" s="13">
        <v>40</v>
      </c>
      <c r="H16" s="13">
        <v>40</v>
      </c>
      <c r="I16" s="13">
        <v>40</v>
      </c>
      <c r="J16" s="13">
        <v>40</v>
      </c>
      <c r="K16" s="13">
        <v>40</v>
      </c>
      <c r="L16" s="13">
        <v>40</v>
      </c>
      <c r="M16" s="13">
        <v>40</v>
      </c>
      <c r="N16" s="13">
        <v>40</v>
      </c>
      <c r="O16" s="13">
        <v>40</v>
      </c>
      <c r="P16" s="13">
        <v>40</v>
      </c>
      <c r="Q16" s="13">
        <v>40</v>
      </c>
      <c r="R16" s="13">
        <v>40</v>
      </c>
      <c r="S16" s="13">
        <v>40</v>
      </c>
      <c r="T16" s="12">
        <f t="shared" si="6"/>
        <v>40</v>
      </c>
      <c r="U16" s="12">
        <f t="shared" si="6"/>
        <v>40</v>
      </c>
      <c r="V16" s="12">
        <f t="shared" si="6"/>
        <v>40</v>
      </c>
      <c r="W16" s="12">
        <f t="shared" si="6"/>
        <v>40</v>
      </c>
      <c r="X16" s="12">
        <f t="shared" si="6"/>
        <v>40</v>
      </c>
      <c r="Y16" s="12">
        <f t="shared" si="6"/>
        <v>40</v>
      </c>
      <c r="Z16" s="12">
        <f t="shared" si="6"/>
        <v>40</v>
      </c>
      <c r="AA16" s="12">
        <f t="shared" si="6"/>
        <v>40</v>
      </c>
      <c r="AB16" s="12">
        <f t="shared" si="6"/>
        <v>40</v>
      </c>
      <c r="AC16" s="12">
        <f t="shared" si="6"/>
        <v>40</v>
      </c>
    </row>
    <row r="17" spans="1:29" ht="13.5" hidden="1" thickBot="1">
      <c r="A17" s="48"/>
      <c r="B17" s="49" t="s">
        <v>67</v>
      </c>
      <c r="C17" s="13"/>
      <c r="D17" s="13"/>
      <c r="E17" s="13">
        <f>E15*E16/1000000</f>
        <v>0.24</v>
      </c>
      <c r="F17" s="13">
        <f t="shared" ref="F17:S17" si="9">F15*F16/1000000</f>
        <v>0.48</v>
      </c>
      <c r="G17" s="13">
        <f t="shared" si="9"/>
        <v>0.96</v>
      </c>
      <c r="H17" s="13">
        <f t="shared" si="9"/>
        <v>1.2</v>
      </c>
      <c r="I17" s="13">
        <f t="shared" si="9"/>
        <v>1.44</v>
      </c>
      <c r="J17" s="13">
        <f t="shared" si="9"/>
        <v>1.68</v>
      </c>
      <c r="K17" s="13">
        <f t="shared" si="9"/>
        <v>1.68</v>
      </c>
      <c r="L17" s="13">
        <f t="shared" si="9"/>
        <v>1.68</v>
      </c>
      <c r="M17" s="13">
        <f t="shared" si="9"/>
        <v>1.68</v>
      </c>
      <c r="N17" s="13">
        <f t="shared" si="9"/>
        <v>1.68</v>
      </c>
      <c r="O17" s="13">
        <f t="shared" si="9"/>
        <v>1.68</v>
      </c>
      <c r="P17" s="13">
        <f t="shared" si="9"/>
        <v>1.68</v>
      </c>
      <c r="Q17" s="13">
        <f t="shared" si="9"/>
        <v>1.68</v>
      </c>
      <c r="R17" s="13">
        <f t="shared" si="9"/>
        <v>1.68</v>
      </c>
      <c r="S17" s="13">
        <f t="shared" si="9"/>
        <v>1.68</v>
      </c>
      <c r="T17" s="12">
        <f t="shared" si="6"/>
        <v>1.68</v>
      </c>
      <c r="U17" s="12">
        <f t="shared" si="6"/>
        <v>1.68</v>
      </c>
      <c r="V17" s="12">
        <f t="shared" si="6"/>
        <v>1.68</v>
      </c>
      <c r="W17" s="12">
        <f t="shared" si="6"/>
        <v>1.68</v>
      </c>
      <c r="X17" s="12">
        <f t="shared" si="6"/>
        <v>1.68</v>
      </c>
      <c r="Y17" s="12">
        <f t="shared" si="6"/>
        <v>1.68</v>
      </c>
      <c r="Z17" s="12">
        <f t="shared" si="6"/>
        <v>1.68</v>
      </c>
      <c r="AA17" s="12">
        <f t="shared" si="6"/>
        <v>1.68</v>
      </c>
      <c r="AB17" s="12">
        <f t="shared" si="6"/>
        <v>1.68</v>
      </c>
      <c r="AC17" s="12">
        <f t="shared" si="6"/>
        <v>1.68</v>
      </c>
    </row>
    <row r="18" spans="1:29" ht="13.5" hidden="1" thickBot="1">
      <c r="A18" s="48"/>
      <c r="B18" s="49" t="s">
        <v>68</v>
      </c>
      <c r="C18" s="13"/>
      <c r="D18" s="13"/>
      <c r="E18" s="13">
        <v>1</v>
      </c>
      <c r="F18" s="13">
        <v>1</v>
      </c>
      <c r="G18" s="13">
        <v>1</v>
      </c>
      <c r="H18" s="13">
        <v>1</v>
      </c>
      <c r="I18" s="13">
        <v>1</v>
      </c>
      <c r="J18" s="13">
        <v>1</v>
      </c>
      <c r="K18" s="13">
        <v>1</v>
      </c>
      <c r="L18" s="13">
        <v>1</v>
      </c>
      <c r="M18" s="13">
        <v>1</v>
      </c>
      <c r="N18" s="13">
        <v>1</v>
      </c>
      <c r="O18" s="13">
        <v>1</v>
      </c>
      <c r="P18" s="13">
        <v>1</v>
      </c>
      <c r="Q18" s="13">
        <v>1</v>
      </c>
      <c r="R18" s="13">
        <v>1</v>
      </c>
      <c r="S18" s="13">
        <v>1</v>
      </c>
      <c r="T18" s="12">
        <f t="shared" si="6"/>
        <v>1</v>
      </c>
      <c r="U18" s="12">
        <f t="shared" si="6"/>
        <v>1</v>
      </c>
      <c r="V18" s="12">
        <f t="shared" si="6"/>
        <v>1</v>
      </c>
      <c r="W18" s="12">
        <f t="shared" si="6"/>
        <v>1</v>
      </c>
      <c r="X18" s="12">
        <f t="shared" si="6"/>
        <v>1</v>
      </c>
      <c r="Y18" s="12">
        <f t="shared" si="6"/>
        <v>1</v>
      </c>
      <c r="Z18" s="12">
        <f t="shared" si="6"/>
        <v>1</v>
      </c>
      <c r="AA18" s="12">
        <f t="shared" si="6"/>
        <v>1</v>
      </c>
      <c r="AB18" s="12">
        <f t="shared" si="6"/>
        <v>1</v>
      </c>
      <c r="AC18" s="12">
        <f t="shared" si="6"/>
        <v>1</v>
      </c>
    </row>
    <row r="19" spans="1:29" ht="14.25" hidden="1" thickBot="1">
      <c r="A19" s="48"/>
      <c r="B19" s="51" t="s">
        <v>59</v>
      </c>
      <c r="C19" s="18"/>
      <c r="D19" s="18"/>
      <c r="E19" s="18">
        <f>E17*E18/10</f>
        <v>2.4E-2</v>
      </c>
      <c r="F19" s="18">
        <f t="shared" ref="F19:S19" si="10">F17*F18/10</f>
        <v>4.8000000000000001E-2</v>
      </c>
      <c r="G19" s="18">
        <f t="shared" si="10"/>
        <v>9.6000000000000002E-2</v>
      </c>
      <c r="H19" s="18">
        <f t="shared" si="10"/>
        <v>0.12</v>
      </c>
      <c r="I19" s="18">
        <f t="shared" si="10"/>
        <v>0.14399999999999999</v>
      </c>
      <c r="J19" s="18">
        <f t="shared" si="10"/>
        <v>0.16799999999999998</v>
      </c>
      <c r="K19" s="17">
        <f t="shared" si="10"/>
        <v>0.16799999999999998</v>
      </c>
      <c r="L19" s="17">
        <f t="shared" si="10"/>
        <v>0.16799999999999998</v>
      </c>
      <c r="M19" s="17">
        <f t="shared" si="10"/>
        <v>0.16799999999999998</v>
      </c>
      <c r="N19" s="17">
        <f t="shared" si="10"/>
        <v>0.16799999999999998</v>
      </c>
      <c r="O19" s="17">
        <f t="shared" si="10"/>
        <v>0.16799999999999998</v>
      </c>
      <c r="P19" s="17">
        <f t="shared" si="10"/>
        <v>0.16799999999999998</v>
      </c>
      <c r="Q19" s="17">
        <f t="shared" si="10"/>
        <v>0.16799999999999998</v>
      </c>
      <c r="R19" s="17">
        <f t="shared" si="10"/>
        <v>0.16799999999999998</v>
      </c>
      <c r="S19" s="17">
        <f t="shared" si="10"/>
        <v>0.16799999999999998</v>
      </c>
      <c r="T19" s="12">
        <f t="shared" si="6"/>
        <v>0.16799999999999998</v>
      </c>
      <c r="U19" s="12">
        <f t="shared" si="6"/>
        <v>0.16799999999999998</v>
      </c>
      <c r="V19" s="12">
        <f t="shared" si="6"/>
        <v>0.16799999999999998</v>
      </c>
      <c r="W19" s="12">
        <f t="shared" si="6"/>
        <v>0.16799999999999998</v>
      </c>
      <c r="X19" s="12">
        <f t="shared" si="6"/>
        <v>0.16799999999999998</v>
      </c>
      <c r="Y19" s="12">
        <f t="shared" si="6"/>
        <v>0.16799999999999998</v>
      </c>
      <c r="Z19" s="12">
        <f t="shared" si="6"/>
        <v>0.16799999999999998</v>
      </c>
      <c r="AA19" s="12">
        <f t="shared" si="6"/>
        <v>0.16799999999999998</v>
      </c>
      <c r="AB19" s="12">
        <f t="shared" si="6"/>
        <v>0.16799999999999998</v>
      </c>
      <c r="AC19" s="12">
        <f t="shared" si="6"/>
        <v>0.16799999999999998</v>
      </c>
    </row>
    <row r="20" spans="1:29" ht="14.25" hidden="1" thickBot="1">
      <c r="A20" s="48"/>
      <c r="B20" s="51" t="s">
        <v>91</v>
      </c>
      <c r="C20" s="18"/>
      <c r="D20" s="18"/>
      <c r="E20" s="18">
        <f t="shared" ref="E20:S20" si="11">E19*1000</f>
        <v>24</v>
      </c>
      <c r="F20" s="18">
        <f t="shared" si="11"/>
        <v>48</v>
      </c>
      <c r="G20" s="18">
        <f t="shared" si="11"/>
        <v>96</v>
      </c>
      <c r="H20" s="18">
        <f t="shared" si="11"/>
        <v>120</v>
      </c>
      <c r="I20" s="18">
        <f t="shared" si="11"/>
        <v>144</v>
      </c>
      <c r="J20" s="18">
        <f t="shared" si="11"/>
        <v>167.99999999999997</v>
      </c>
      <c r="K20" s="18">
        <f t="shared" si="11"/>
        <v>167.99999999999997</v>
      </c>
      <c r="L20" s="18">
        <f t="shared" si="11"/>
        <v>167.99999999999997</v>
      </c>
      <c r="M20" s="18">
        <f t="shared" si="11"/>
        <v>167.99999999999997</v>
      </c>
      <c r="N20" s="18">
        <f t="shared" si="11"/>
        <v>167.99999999999997</v>
      </c>
      <c r="O20" s="18">
        <f t="shared" si="11"/>
        <v>167.99999999999997</v>
      </c>
      <c r="P20" s="18">
        <f t="shared" si="11"/>
        <v>167.99999999999997</v>
      </c>
      <c r="Q20" s="18">
        <f t="shared" si="11"/>
        <v>167.99999999999997</v>
      </c>
      <c r="R20" s="18">
        <f t="shared" si="11"/>
        <v>167.99999999999997</v>
      </c>
      <c r="S20" s="18">
        <f t="shared" si="11"/>
        <v>167.99999999999997</v>
      </c>
      <c r="T20" s="12">
        <f t="shared" si="6"/>
        <v>167.99999999999997</v>
      </c>
      <c r="U20" s="12">
        <f t="shared" si="6"/>
        <v>167.99999999999997</v>
      </c>
      <c r="V20" s="12">
        <f t="shared" si="6"/>
        <v>167.99999999999997</v>
      </c>
      <c r="W20" s="12">
        <f t="shared" si="6"/>
        <v>167.99999999999997</v>
      </c>
      <c r="X20" s="12">
        <f t="shared" si="6"/>
        <v>167.99999999999997</v>
      </c>
      <c r="Y20" s="12">
        <f t="shared" si="6"/>
        <v>167.99999999999997</v>
      </c>
      <c r="Z20" s="12">
        <f t="shared" si="6"/>
        <v>167.99999999999997</v>
      </c>
      <c r="AA20" s="12">
        <f t="shared" si="6"/>
        <v>167.99999999999997</v>
      </c>
      <c r="AB20" s="12">
        <f t="shared" si="6"/>
        <v>167.99999999999997</v>
      </c>
      <c r="AC20" s="12">
        <f t="shared" si="6"/>
        <v>167.99999999999997</v>
      </c>
    </row>
    <row r="21" spans="1:29" ht="14.25" hidden="1" thickBot="1">
      <c r="A21" s="48"/>
      <c r="B21" s="51"/>
      <c r="C21" s="18"/>
      <c r="D21" s="18"/>
      <c r="E21" s="18"/>
      <c r="F21" s="18"/>
      <c r="G21" s="18"/>
      <c r="H21" s="18"/>
      <c r="I21" s="18"/>
      <c r="J21" s="18"/>
      <c r="K21" s="18"/>
      <c r="L21" s="18"/>
      <c r="M21" s="18"/>
      <c r="N21" s="18"/>
      <c r="O21" s="18"/>
      <c r="P21" s="18"/>
      <c r="Q21" s="18"/>
      <c r="R21" s="18"/>
      <c r="S21" s="18"/>
    </row>
    <row r="22" spans="1:29" ht="13.5" hidden="1" thickBot="1">
      <c r="A22" s="48" t="s">
        <v>147</v>
      </c>
      <c r="B22" s="47" t="s">
        <v>213</v>
      </c>
      <c r="C22" s="124"/>
      <c r="D22" s="124"/>
      <c r="E22" s="125">
        <v>0</v>
      </c>
      <c r="F22" s="125">
        <v>1</v>
      </c>
      <c r="G22" s="125">
        <v>1</v>
      </c>
      <c r="H22" s="125">
        <v>2</v>
      </c>
      <c r="I22" s="125">
        <v>2</v>
      </c>
      <c r="J22" s="125">
        <v>2</v>
      </c>
      <c r="K22" s="125">
        <f>J22</f>
        <v>2</v>
      </c>
      <c r="L22" s="125">
        <f t="shared" ref="L22:AC22" si="12">K22</f>
        <v>2</v>
      </c>
      <c r="M22" s="125">
        <f t="shared" si="12"/>
        <v>2</v>
      </c>
      <c r="N22" s="125">
        <f t="shared" si="12"/>
        <v>2</v>
      </c>
      <c r="O22" s="125">
        <f t="shared" si="12"/>
        <v>2</v>
      </c>
      <c r="P22" s="125">
        <f t="shared" si="12"/>
        <v>2</v>
      </c>
      <c r="Q22" s="125">
        <f t="shared" si="12"/>
        <v>2</v>
      </c>
      <c r="R22" s="125">
        <f t="shared" si="12"/>
        <v>2</v>
      </c>
      <c r="S22" s="125">
        <f t="shared" si="12"/>
        <v>2</v>
      </c>
      <c r="T22" s="125">
        <f t="shared" si="12"/>
        <v>2</v>
      </c>
      <c r="U22" s="125">
        <f t="shared" si="12"/>
        <v>2</v>
      </c>
      <c r="V22" s="125">
        <f t="shared" si="12"/>
        <v>2</v>
      </c>
      <c r="W22" s="125">
        <f t="shared" si="12"/>
        <v>2</v>
      </c>
      <c r="X22" s="125">
        <f t="shared" si="12"/>
        <v>2</v>
      </c>
      <c r="Y22" s="125">
        <f t="shared" si="12"/>
        <v>2</v>
      </c>
      <c r="Z22" s="125">
        <f t="shared" si="12"/>
        <v>2</v>
      </c>
      <c r="AA22" s="125">
        <f t="shared" si="12"/>
        <v>2</v>
      </c>
      <c r="AB22" s="125">
        <f t="shared" si="12"/>
        <v>2</v>
      </c>
      <c r="AC22" s="125">
        <f t="shared" si="12"/>
        <v>2</v>
      </c>
    </row>
    <row r="23" spans="1:29" ht="14.25" hidden="1" thickBot="1">
      <c r="A23" s="48"/>
      <c r="B23" s="49" t="s">
        <v>214</v>
      </c>
      <c r="C23" s="18"/>
      <c r="D23" s="18"/>
      <c r="E23" s="125">
        <v>40</v>
      </c>
      <c r="F23" s="125">
        <v>40</v>
      </c>
      <c r="G23" s="125">
        <v>40</v>
      </c>
      <c r="H23" s="125">
        <v>40</v>
      </c>
      <c r="I23" s="125">
        <v>40</v>
      </c>
      <c r="J23" s="125">
        <v>40</v>
      </c>
      <c r="K23" s="125">
        <v>40</v>
      </c>
      <c r="L23" s="125">
        <v>40</v>
      </c>
      <c r="M23" s="125">
        <v>40</v>
      </c>
      <c r="N23" s="125">
        <v>40</v>
      </c>
      <c r="O23" s="125">
        <v>40</v>
      </c>
      <c r="P23" s="125">
        <v>40</v>
      </c>
      <c r="Q23" s="125">
        <v>40</v>
      </c>
      <c r="R23" s="125">
        <v>40</v>
      </c>
      <c r="S23" s="125">
        <v>40</v>
      </c>
      <c r="T23" s="125">
        <v>40</v>
      </c>
      <c r="U23" s="125">
        <v>40</v>
      </c>
      <c r="V23" s="125">
        <v>40</v>
      </c>
      <c r="W23" s="125">
        <v>40</v>
      </c>
      <c r="X23" s="125">
        <v>40</v>
      </c>
      <c r="Y23" s="125">
        <v>40</v>
      </c>
      <c r="Z23" s="125">
        <v>40</v>
      </c>
      <c r="AA23" s="125">
        <v>40</v>
      </c>
      <c r="AB23" s="125">
        <v>40</v>
      </c>
      <c r="AC23" s="125">
        <v>40</v>
      </c>
    </row>
    <row r="24" spans="1:29" ht="13.5" hidden="1" thickBot="1">
      <c r="A24" s="48"/>
      <c r="B24" s="49" t="s">
        <v>215</v>
      </c>
      <c r="C24" s="14"/>
      <c r="D24" s="14"/>
      <c r="E24" s="12">
        <f>E22*E23*300</f>
        <v>0</v>
      </c>
      <c r="F24" s="12">
        <f t="shared" ref="F24:AC24" si="13">F22*F23*300</f>
        <v>12000</v>
      </c>
      <c r="G24" s="12">
        <f t="shared" si="13"/>
        <v>12000</v>
      </c>
      <c r="H24" s="12">
        <f t="shared" si="13"/>
        <v>24000</v>
      </c>
      <c r="I24" s="12">
        <f t="shared" si="13"/>
        <v>24000</v>
      </c>
      <c r="J24" s="12">
        <f t="shared" si="13"/>
        <v>24000</v>
      </c>
      <c r="K24" s="12">
        <f t="shared" si="13"/>
        <v>24000</v>
      </c>
      <c r="L24" s="12">
        <f t="shared" si="13"/>
        <v>24000</v>
      </c>
      <c r="M24" s="12">
        <f t="shared" si="13"/>
        <v>24000</v>
      </c>
      <c r="N24" s="12">
        <f t="shared" si="13"/>
        <v>24000</v>
      </c>
      <c r="O24" s="12">
        <f t="shared" si="13"/>
        <v>24000</v>
      </c>
      <c r="P24" s="12">
        <f t="shared" si="13"/>
        <v>24000</v>
      </c>
      <c r="Q24" s="12">
        <f t="shared" si="13"/>
        <v>24000</v>
      </c>
      <c r="R24" s="12">
        <f t="shared" si="13"/>
        <v>24000</v>
      </c>
      <c r="S24" s="12">
        <f t="shared" si="13"/>
        <v>24000</v>
      </c>
      <c r="T24" s="12">
        <f t="shared" si="13"/>
        <v>24000</v>
      </c>
      <c r="U24" s="12">
        <f t="shared" si="13"/>
        <v>24000</v>
      </c>
      <c r="V24" s="12">
        <f t="shared" si="13"/>
        <v>24000</v>
      </c>
      <c r="W24" s="12">
        <f t="shared" si="13"/>
        <v>24000</v>
      </c>
      <c r="X24" s="12">
        <f t="shared" si="13"/>
        <v>24000</v>
      </c>
      <c r="Y24" s="12">
        <f t="shared" si="13"/>
        <v>24000</v>
      </c>
      <c r="Z24" s="12">
        <f t="shared" si="13"/>
        <v>24000</v>
      </c>
      <c r="AA24" s="12">
        <f t="shared" si="13"/>
        <v>24000</v>
      </c>
      <c r="AB24" s="12">
        <f t="shared" si="13"/>
        <v>24000</v>
      </c>
      <c r="AC24" s="12">
        <f t="shared" si="13"/>
        <v>24000</v>
      </c>
    </row>
    <row r="25" spans="1:29" ht="13.5" hidden="1" thickBot="1">
      <c r="A25" s="48" t="s">
        <v>147</v>
      </c>
      <c r="B25" s="106" t="s">
        <v>69</v>
      </c>
    </row>
    <row r="26" spans="1:29" ht="26.25" hidden="1" thickBot="1">
      <c r="A26" s="48"/>
      <c r="B26" s="53" t="s">
        <v>70</v>
      </c>
      <c r="C26" s="107"/>
      <c r="D26" s="107"/>
      <c r="E26" s="12">
        <v>400</v>
      </c>
      <c r="F26" s="12">
        <v>800</v>
      </c>
      <c r="G26" s="12">
        <v>1200</v>
      </c>
      <c r="H26" s="12">
        <v>1600</v>
      </c>
      <c r="I26" s="12">
        <v>2000</v>
      </c>
      <c r="J26" s="12">
        <v>2800</v>
      </c>
      <c r="K26" s="12">
        <f>J26</f>
        <v>2800</v>
      </c>
      <c r="L26" s="12">
        <f t="shared" ref="L26:AA30" si="14">K26</f>
        <v>2800</v>
      </c>
      <c r="M26" s="12">
        <f t="shared" si="14"/>
        <v>2800</v>
      </c>
      <c r="N26" s="12">
        <f t="shared" si="14"/>
        <v>2800</v>
      </c>
      <c r="O26" s="12">
        <f t="shared" si="14"/>
        <v>2800</v>
      </c>
      <c r="P26" s="12">
        <f t="shared" si="14"/>
        <v>2800</v>
      </c>
      <c r="Q26" s="12">
        <f t="shared" si="14"/>
        <v>2800</v>
      </c>
      <c r="R26" s="12">
        <f t="shared" si="14"/>
        <v>2800</v>
      </c>
      <c r="S26" s="12">
        <f t="shared" si="14"/>
        <v>2800</v>
      </c>
      <c r="T26" s="12">
        <f>S26</f>
        <v>2800</v>
      </c>
      <c r="U26" s="12">
        <f t="shared" ref="T26:AC39" si="15">T26</f>
        <v>2800</v>
      </c>
      <c r="V26" s="12">
        <f t="shared" si="15"/>
        <v>2800</v>
      </c>
      <c r="W26" s="12">
        <f t="shared" si="15"/>
        <v>2800</v>
      </c>
      <c r="X26" s="12">
        <f t="shared" si="15"/>
        <v>2800</v>
      </c>
      <c r="Y26" s="12">
        <f t="shared" si="15"/>
        <v>2800</v>
      </c>
      <c r="Z26" s="12">
        <f t="shared" si="15"/>
        <v>2800</v>
      </c>
      <c r="AA26" s="12">
        <f t="shared" si="15"/>
        <v>2800</v>
      </c>
      <c r="AB26" s="12">
        <f t="shared" si="15"/>
        <v>2800</v>
      </c>
      <c r="AC26" s="12">
        <f t="shared" si="15"/>
        <v>2800</v>
      </c>
    </row>
    <row r="27" spans="1:29" ht="13.5" hidden="1" thickBot="1">
      <c r="A27" s="48"/>
      <c r="B27" s="54" t="s">
        <v>71</v>
      </c>
      <c r="E27" s="12">
        <f t="shared" ref="E27:J27" si="16">E26*5</f>
        <v>2000</v>
      </c>
      <c r="F27" s="12">
        <f t="shared" si="16"/>
        <v>4000</v>
      </c>
      <c r="G27" s="12">
        <f t="shared" si="16"/>
        <v>6000</v>
      </c>
      <c r="H27" s="12">
        <f t="shared" si="16"/>
        <v>8000</v>
      </c>
      <c r="I27" s="12">
        <f t="shared" si="16"/>
        <v>10000</v>
      </c>
      <c r="J27" s="12">
        <f t="shared" si="16"/>
        <v>14000</v>
      </c>
      <c r="K27" s="12">
        <f>J27</f>
        <v>14000</v>
      </c>
      <c r="L27" s="12">
        <f t="shared" si="14"/>
        <v>14000</v>
      </c>
      <c r="M27" s="12">
        <f t="shared" si="14"/>
        <v>14000</v>
      </c>
      <c r="N27" s="12">
        <f t="shared" si="14"/>
        <v>14000</v>
      </c>
      <c r="O27" s="12">
        <f t="shared" si="14"/>
        <v>14000</v>
      </c>
      <c r="P27" s="12">
        <f t="shared" si="14"/>
        <v>14000</v>
      </c>
      <c r="Q27" s="12">
        <f t="shared" si="14"/>
        <v>14000</v>
      </c>
      <c r="R27" s="12">
        <f t="shared" si="14"/>
        <v>14000</v>
      </c>
      <c r="S27" s="12">
        <f t="shared" si="14"/>
        <v>14000</v>
      </c>
      <c r="T27" s="12">
        <f t="shared" si="14"/>
        <v>14000</v>
      </c>
      <c r="U27" s="12">
        <f t="shared" si="14"/>
        <v>14000</v>
      </c>
      <c r="V27" s="12">
        <f t="shared" si="14"/>
        <v>14000</v>
      </c>
      <c r="W27" s="12">
        <f t="shared" si="14"/>
        <v>14000</v>
      </c>
      <c r="X27" s="12">
        <f t="shared" si="14"/>
        <v>14000</v>
      </c>
      <c r="Y27" s="12">
        <f t="shared" si="14"/>
        <v>14000</v>
      </c>
      <c r="Z27" s="12">
        <f t="shared" si="14"/>
        <v>14000</v>
      </c>
      <c r="AA27" s="12">
        <f t="shared" si="14"/>
        <v>14000</v>
      </c>
      <c r="AB27" s="12">
        <f t="shared" si="15"/>
        <v>14000</v>
      </c>
      <c r="AC27" s="12">
        <f t="shared" si="15"/>
        <v>14000</v>
      </c>
    </row>
    <row r="28" spans="1:29" ht="13.5" hidden="1" thickBot="1">
      <c r="A28" s="48"/>
      <c r="B28" s="49" t="s">
        <v>67</v>
      </c>
      <c r="E28" s="13">
        <f t="shared" ref="E28:J28" si="17">E27/1000000</f>
        <v>2E-3</v>
      </c>
      <c r="F28" s="13">
        <f t="shared" si="17"/>
        <v>4.0000000000000001E-3</v>
      </c>
      <c r="G28" s="13">
        <f t="shared" si="17"/>
        <v>6.0000000000000001E-3</v>
      </c>
      <c r="H28" s="13">
        <f t="shared" si="17"/>
        <v>8.0000000000000002E-3</v>
      </c>
      <c r="I28" s="13">
        <f t="shared" si="17"/>
        <v>0.01</v>
      </c>
      <c r="J28" s="13">
        <f t="shared" si="17"/>
        <v>1.4E-2</v>
      </c>
      <c r="K28" s="12">
        <f>J28</f>
        <v>1.4E-2</v>
      </c>
      <c r="L28" s="12">
        <f t="shared" si="14"/>
        <v>1.4E-2</v>
      </c>
      <c r="M28" s="12">
        <f t="shared" si="14"/>
        <v>1.4E-2</v>
      </c>
      <c r="N28" s="12">
        <f t="shared" si="14"/>
        <v>1.4E-2</v>
      </c>
      <c r="O28" s="12">
        <f t="shared" si="14"/>
        <v>1.4E-2</v>
      </c>
      <c r="P28" s="12">
        <f t="shared" si="14"/>
        <v>1.4E-2</v>
      </c>
      <c r="Q28" s="12">
        <f t="shared" si="14"/>
        <v>1.4E-2</v>
      </c>
      <c r="R28" s="12">
        <f t="shared" si="14"/>
        <v>1.4E-2</v>
      </c>
      <c r="S28" s="12">
        <f t="shared" si="14"/>
        <v>1.4E-2</v>
      </c>
      <c r="T28" s="12">
        <f t="shared" si="15"/>
        <v>1.4E-2</v>
      </c>
      <c r="U28" s="12">
        <f t="shared" si="15"/>
        <v>1.4E-2</v>
      </c>
      <c r="V28" s="12">
        <f t="shared" si="15"/>
        <v>1.4E-2</v>
      </c>
      <c r="W28" s="12">
        <f t="shared" si="15"/>
        <v>1.4E-2</v>
      </c>
      <c r="X28" s="12">
        <f t="shared" si="15"/>
        <v>1.4E-2</v>
      </c>
      <c r="Y28" s="12">
        <f t="shared" si="15"/>
        <v>1.4E-2</v>
      </c>
      <c r="Z28" s="12">
        <f t="shared" si="15"/>
        <v>1.4E-2</v>
      </c>
      <c r="AA28" s="12">
        <f t="shared" si="15"/>
        <v>1.4E-2</v>
      </c>
      <c r="AB28" s="12">
        <f t="shared" si="15"/>
        <v>1.4E-2</v>
      </c>
      <c r="AC28" s="12">
        <f t="shared" si="15"/>
        <v>1.4E-2</v>
      </c>
    </row>
    <row r="29" spans="1:29" ht="13.5" hidden="1" thickBot="1">
      <c r="A29" s="48"/>
      <c r="B29" s="49" t="s">
        <v>68</v>
      </c>
      <c r="E29" s="13">
        <v>1</v>
      </c>
      <c r="F29" s="13">
        <v>1</v>
      </c>
      <c r="G29" s="13">
        <v>1</v>
      </c>
      <c r="H29" s="13">
        <v>1</v>
      </c>
      <c r="I29" s="13">
        <v>1</v>
      </c>
      <c r="J29" s="13">
        <v>1</v>
      </c>
      <c r="K29" s="12">
        <f>J29</f>
        <v>1</v>
      </c>
      <c r="L29" s="12">
        <f t="shared" si="14"/>
        <v>1</v>
      </c>
      <c r="M29" s="12">
        <f t="shared" si="14"/>
        <v>1</v>
      </c>
      <c r="N29" s="12">
        <f t="shared" si="14"/>
        <v>1</v>
      </c>
      <c r="O29" s="12">
        <f t="shared" si="14"/>
        <v>1</v>
      </c>
      <c r="P29" s="12">
        <f t="shared" si="14"/>
        <v>1</v>
      </c>
      <c r="Q29" s="12">
        <f t="shared" si="14"/>
        <v>1</v>
      </c>
      <c r="R29" s="12">
        <f t="shared" si="14"/>
        <v>1</v>
      </c>
      <c r="S29" s="12">
        <f t="shared" si="14"/>
        <v>1</v>
      </c>
      <c r="T29" s="12">
        <f t="shared" si="15"/>
        <v>1</v>
      </c>
      <c r="U29" s="12">
        <f t="shared" si="15"/>
        <v>1</v>
      </c>
      <c r="V29" s="12">
        <f t="shared" si="15"/>
        <v>1</v>
      </c>
      <c r="W29" s="12">
        <f t="shared" si="15"/>
        <v>1</v>
      </c>
      <c r="X29" s="12">
        <f t="shared" si="15"/>
        <v>1</v>
      </c>
      <c r="Y29" s="12">
        <f t="shared" si="15"/>
        <v>1</v>
      </c>
      <c r="Z29" s="12">
        <f t="shared" si="15"/>
        <v>1</v>
      </c>
      <c r="AA29" s="12">
        <f t="shared" si="15"/>
        <v>1</v>
      </c>
      <c r="AB29" s="12">
        <f t="shared" si="15"/>
        <v>1</v>
      </c>
      <c r="AC29" s="12">
        <f t="shared" si="15"/>
        <v>1</v>
      </c>
    </row>
    <row r="30" spans="1:29" ht="14.25" hidden="1" thickBot="1">
      <c r="A30" s="48"/>
      <c r="B30" s="51" t="s">
        <v>59</v>
      </c>
      <c r="E30" s="20">
        <f t="shared" ref="E30:J30" si="18">E28*E29/10</f>
        <v>2.0000000000000001E-4</v>
      </c>
      <c r="F30" s="20">
        <f t="shared" si="18"/>
        <v>4.0000000000000002E-4</v>
      </c>
      <c r="G30" s="20">
        <f t="shared" si="18"/>
        <v>6.0000000000000006E-4</v>
      </c>
      <c r="H30" s="20">
        <f t="shared" si="18"/>
        <v>8.0000000000000004E-4</v>
      </c>
      <c r="I30" s="20">
        <f t="shared" si="18"/>
        <v>1E-3</v>
      </c>
      <c r="J30" s="20">
        <f t="shared" si="18"/>
        <v>1.4E-3</v>
      </c>
      <c r="K30" s="59">
        <f>J30</f>
        <v>1.4E-3</v>
      </c>
      <c r="L30" s="11">
        <f t="shared" si="14"/>
        <v>1.4E-3</v>
      </c>
      <c r="M30" s="11">
        <f t="shared" si="14"/>
        <v>1.4E-3</v>
      </c>
      <c r="N30" s="11">
        <f t="shared" si="14"/>
        <v>1.4E-3</v>
      </c>
      <c r="O30" s="11">
        <f t="shared" si="14"/>
        <v>1.4E-3</v>
      </c>
      <c r="P30" s="11">
        <f t="shared" si="14"/>
        <v>1.4E-3</v>
      </c>
      <c r="Q30" s="11">
        <f t="shared" si="14"/>
        <v>1.4E-3</v>
      </c>
      <c r="R30" s="11">
        <f t="shared" si="14"/>
        <v>1.4E-3</v>
      </c>
      <c r="S30" s="11">
        <f t="shared" si="14"/>
        <v>1.4E-3</v>
      </c>
      <c r="T30" s="11">
        <f t="shared" si="15"/>
        <v>1.4E-3</v>
      </c>
      <c r="U30" s="11">
        <f t="shared" si="15"/>
        <v>1.4E-3</v>
      </c>
      <c r="V30" s="11">
        <f t="shared" si="15"/>
        <v>1.4E-3</v>
      </c>
      <c r="W30" s="11">
        <f t="shared" si="15"/>
        <v>1.4E-3</v>
      </c>
      <c r="X30" s="11">
        <f t="shared" si="15"/>
        <v>1.4E-3</v>
      </c>
      <c r="Y30" s="11">
        <f t="shared" si="15"/>
        <v>1.4E-3</v>
      </c>
      <c r="Z30" s="11">
        <f t="shared" si="15"/>
        <v>1.4E-3</v>
      </c>
      <c r="AA30" s="11">
        <f t="shared" si="15"/>
        <v>1.4E-3</v>
      </c>
      <c r="AB30" s="11">
        <f t="shared" si="15"/>
        <v>1.4E-3</v>
      </c>
      <c r="AC30" s="11">
        <f t="shared" si="15"/>
        <v>1.4E-3</v>
      </c>
    </row>
    <row r="31" spans="1:29" ht="14.25" hidden="1" thickBot="1">
      <c r="A31" s="48"/>
      <c r="B31" s="51" t="s">
        <v>91</v>
      </c>
      <c r="E31" s="20">
        <f>E30*1000</f>
        <v>0.2</v>
      </c>
      <c r="F31" s="20">
        <f t="shared" ref="F31:S31" si="19">F30*1000</f>
        <v>0.4</v>
      </c>
      <c r="G31" s="20">
        <f t="shared" si="19"/>
        <v>0.60000000000000009</v>
      </c>
      <c r="H31" s="20">
        <f t="shared" si="19"/>
        <v>0.8</v>
      </c>
      <c r="I31" s="20">
        <f t="shared" si="19"/>
        <v>1</v>
      </c>
      <c r="J31" s="20">
        <f t="shared" si="19"/>
        <v>1.4</v>
      </c>
      <c r="K31" s="20">
        <f t="shared" si="19"/>
        <v>1.4</v>
      </c>
      <c r="L31" s="20">
        <f t="shared" si="19"/>
        <v>1.4</v>
      </c>
      <c r="M31" s="20">
        <f t="shared" si="19"/>
        <v>1.4</v>
      </c>
      <c r="N31" s="20">
        <f t="shared" si="19"/>
        <v>1.4</v>
      </c>
      <c r="O31" s="20">
        <f t="shared" si="19"/>
        <v>1.4</v>
      </c>
      <c r="P31" s="20">
        <f t="shared" si="19"/>
        <v>1.4</v>
      </c>
      <c r="Q31" s="20">
        <f t="shared" si="19"/>
        <v>1.4</v>
      </c>
      <c r="R31" s="20">
        <f t="shared" si="19"/>
        <v>1.4</v>
      </c>
      <c r="S31" s="20">
        <f t="shared" si="19"/>
        <v>1.4</v>
      </c>
      <c r="T31" s="11">
        <f t="shared" si="15"/>
        <v>1.4</v>
      </c>
      <c r="U31" s="11">
        <f t="shared" si="15"/>
        <v>1.4</v>
      </c>
      <c r="V31" s="11">
        <f t="shared" si="15"/>
        <v>1.4</v>
      </c>
      <c r="W31" s="11">
        <f t="shared" si="15"/>
        <v>1.4</v>
      </c>
      <c r="X31" s="11">
        <f t="shared" si="15"/>
        <v>1.4</v>
      </c>
      <c r="Y31" s="11">
        <f t="shared" si="15"/>
        <v>1.4</v>
      </c>
      <c r="Z31" s="11">
        <f t="shared" si="15"/>
        <v>1.4</v>
      </c>
      <c r="AA31" s="11">
        <f t="shared" si="15"/>
        <v>1.4</v>
      </c>
      <c r="AB31" s="11">
        <f t="shared" si="15"/>
        <v>1.4</v>
      </c>
      <c r="AC31" s="11">
        <f t="shared" si="15"/>
        <v>1.4</v>
      </c>
    </row>
    <row r="32" spans="1:29" ht="13.5" hidden="1" thickBot="1">
      <c r="A32" s="48" t="s">
        <v>148</v>
      </c>
      <c r="B32" s="106" t="s">
        <v>72</v>
      </c>
      <c r="E32" s="12">
        <v>20000</v>
      </c>
      <c r="F32" s="12">
        <v>40000</v>
      </c>
      <c r="G32" s="12">
        <v>60000</v>
      </c>
      <c r="H32" s="12">
        <v>80000</v>
      </c>
      <c r="I32" s="12">
        <v>100000</v>
      </c>
      <c r="J32" s="12">
        <v>140000</v>
      </c>
      <c r="K32" s="12">
        <f>J32</f>
        <v>140000</v>
      </c>
      <c r="L32" s="12">
        <f t="shared" ref="L32:S36" si="20">K32</f>
        <v>140000</v>
      </c>
      <c r="M32" s="12">
        <f t="shared" si="20"/>
        <v>140000</v>
      </c>
      <c r="N32" s="12">
        <f t="shared" si="20"/>
        <v>140000</v>
      </c>
      <c r="O32" s="12">
        <f t="shared" si="20"/>
        <v>140000</v>
      </c>
      <c r="P32" s="12">
        <f t="shared" si="20"/>
        <v>140000</v>
      </c>
      <c r="Q32" s="12">
        <f t="shared" si="20"/>
        <v>140000</v>
      </c>
      <c r="R32" s="12">
        <f t="shared" si="20"/>
        <v>140000</v>
      </c>
      <c r="S32" s="12">
        <f t="shared" si="20"/>
        <v>140000</v>
      </c>
      <c r="T32" s="12">
        <f t="shared" si="15"/>
        <v>140000</v>
      </c>
      <c r="U32" s="12">
        <f t="shared" si="15"/>
        <v>140000</v>
      </c>
      <c r="V32" s="12">
        <f t="shared" si="15"/>
        <v>140000</v>
      </c>
      <c r="W32" s="12">
        <f t="shared" si="15"/>
        <v>140000</v>
      </c>
      <c r="X32" s="12">
        <f t="shared" si="15"/>
        <v>140000</v>
      </c>
      <c r="Y32" s="12">
        <f t="shared" si="15"/>
        <v>140000</v>
      </c>
      <c r="Z32" s="12">
        <f t="shared" si="15"/>
        <v>140000</v>
      </c>
      <c r="AA32" s="12">
        <f t="shared" si="15"/>
        <v>140000</v>
      </c>
      <c r="AB32" s="12">
        <f t="shared" si="15"/>
        <v>140000</v>
      </c>
      <c r="AC32" s="12">
        <f t="shared" si="15"/>
        <v>140000</v>
      </c>
    </row>
    <row r="33" spans="1:29" ht="13.5" hidden="1" thickBot="1">
      <c r="A33" s="48"/>
      <c r="B33" s="55" t="s">
        <v>73</v>
      </c>
      <c r="E33" s="12">
        <f t="shared" ref="E33:J33" si="21">E32/4</f>
        <v>5000</v>
      </c>
      <c r="F33" s="12">
        <f t="shared" si="21"/>
        <v>10000</v>
      </c>
      <c r="G33" s="12">
        <f t="shared" si="21"/>
        <v>15000</v>
      </c>
      <c r="H33" s="12">
        <f t="shared" si="21"/>
        <v>20000</v>
      </c>
      <c r="I33" s="12">
        <f t="shared" si="21"/>
        <v>25000</v>
      </c>
      <c r="J33" s="12">
        <f t="shared" si="21"/>
        <v>35000</v>
      </c>
      <c r="K33" s="12">
        <f>J33</f>
        <v>35000</v>
      </c>
      <c r="L33" s="12">
        <f t="shared" si="20"/>
        <v>35000</v>
      </c>
      <c r="M33" s="12">
        <f t="shared" si="20"/>
        <v>35000</v>
      </c>
      <c r="N33" s="12">
        <f t="shared" si="20"/>
        <v>35000</v>
      </c>
      <c r="O33" s="12">
        <f t="shared" si="20"/>
        <v>35000</v>
      </c>
      <c r="P33" s="12">
        <f t="shared" si="20"/>
        <v>35000</v>
      </c>
      <c r="Q33" s="12">
        <f t="shared" si="20"/>
        <v>35000</v>
      </c>
      <c r="R33" s="12">
        <f t="shared" si="20"/>
        <v>35000</v>
      </c>
      <c r="S33" s="12">
        <f t="shared" si="20"/>
        <v>35000</v>
      </c>
      <c r="T33" s="12">
        <f t="shared" si="15"/>
        <v>35000</v>
      </c>
      <c r="U33" s="12">
        <f t="shared" si="15"/>
        <v>35000</v>
      </c>
      <c r="V33" s="12">
        <f t="shared" si="15"/>
        <v>35000</v>
      </c>
      <c r="W33" s="12">
        <f t="shared" si="15"/>
        <v>35000</v>
      </c>
      <c r="X33" s="12">
        <f t="shared" si="15"/>
        <v>35000</v>
      </c>
      <c r="Y33" s="12">
        <f t="shared" si="15"/>
        <v>35000</v>
      </c>
      <c r="Z33" s="12">
        <f t="shared" si="15"/>
        <v>35000</v>
      </c>
      <c r="AA33" s="12">
        <f t="shared" si="15"/>
        <v>35000</v>
      </c>
      <c r="AB33" s="12">
        <f t="shared" si="15"/>
        <v>35000</v>
      </c>
      <c r="AC33" s="12">
        <f t="shared" si="15"/>
        <v>35000</v>
      </c>
    </row>
    <row r="34" spans="1:29" ht="13.5" hidden="1" thickBot="1">
      <c r="A34" s="48"/>
      <c r="B34" s="55" t="s">
        <v>73</v>
      </c>
      <c r="E34" s="12">
        <f t="shared" ref="E34:J34" si="22">E32/10</f>
        <v>2000</v>
      </c>
      <c r="F34" s="12">
        <f t="shared" si="22"/>
        <v>4000</v>
      </c>
      <c r="G34" s="12">
        <f t="shared" si="22"/>
        <v>6000</v>
      </c>
      <c r="H34" s="12">
        <f t="shared" si="22"/>
        <v>8000</v>
      </c>
      <c r="I34" s="12">
        <f t="shared" si="22"/>
        <v>10000</v>
      </c>
      <c r="J34" s="12">
        <f t="shared" si="22"/>
        <v>14000</v>
      </c>
      <c r="K34" s="12">
        <f>J34</f>
        <v>14000</v>
      </c>
      <c r="L34" s="12">
        <f t="shared" si="20"/>
        <v>14000</v>
      </c>
      <c r="M34" s="12">
        <f t="shared" si="20"/>
        <v>14000</v>
      </c>
      <c r="N34" s="12">
        <f t="shared" si="20"/>
        <v>14000</v>
      </c>
      <c r="O34" s="12">
        <f t="shared" si="20"/>
        <v>14000</v>
      </c>
      <c r="P34" s="12">
        <f t="shared" si="20"/>
        <v>14000</v>
      </c>
      <c r="Q34" s="12">
        <f t="shared" si="20"/>
        <v>14000</v>
      </c>
      <c r="R34" s="12">
        <f t="shared" si="20"/>
        <v>14000</v>
      </c>
      <c r="S34" s="12">
        <f t="shared" si="20"/>
        <v>14000</v>
      </c>
      <c r="T34" s="12">
        <f t="shared" si="15"/>
        <v>14000</v>
      </c>
      <c r="U34" s="12">
        <f t="shared" si="15"/>
        <v>14000</v>
      </c>
      <c r="V34" s="12">
        <f t="shared" si="15"/>
        <v>14000</v>
      </c>
      <c r="W34" s="12">
        <f t="shared" si="15"/>
        <v>14000</v>
      </c>
      <c r="X34" s="12">
        <f t="shared" si="15"/>
        <v>14000</v>
      </c>
      <c r="Y34" s="12">
        <f t="shared" si="15"/>
        <v>14000</v>
      </c>
      <c r="Z34" s="12">
        <f t="shared" si="15"/>
        <v>14000</v>
      </c>
      <c r="AA34" s="12">
        <f t="shared" si="15"/>
        <v>14000</v>
      </c>
      <c r="AB34" s="12">
        <f t="shared" si="15"/>
        <v>14000</v>
      </c>
      <c r="AC34" s="12">
        <f t="shared" si="15"/>
        <v>14000</v>
      </c>
    </row>
    <row r="35" spans="1:29" ht="13.5" hidden="1" thickBot="1">
      <c r="A35" s="48"/>
      <c r="B35" s="49" t="s">
        <v>66</v>
      </c>
      <c r="C35" s="13"/>
      <c r="D35" s="13"/>
      <c r="E35" s="13">
        <v>40</v>
      </c>
      <c r="F35" s="13">
        <v>40</v>
      </c>
      <c r="G35" s="13">
        <v>40</v>
      </c>
      <c r="H35" s="13">
        <v>40</v>
      </c>
      <c r="I35" s="13">
        <v>40</v>
      </c>
      <c r="J35" s="13">
        <v>40</v>
      </c>
      <c r="K35" s="13">
        <v>40</v>
      </c>
      <c r="L35" s="12">
        <f>K35</f>
        <v>40</v>
      </c>
      <c r="M35" s="12">
        <f t="shared" si="20"/>
        <v>40</v>
      </c>
      <c r="N35" s="12">
        <f t="shared" si="20"/>
        <v>40</v>
      </c>
      <c r="O35" s="12">
        <f t="shared" si="20"/>
        <v>40</v>
      </c>
      <c r="P35" s="12">
        <f t="shared" si="20"/>
        <v>40</v>
      </c>
      <c r="Q35" s="12">
        <f t="shared" si="20"/>
        <v>40</v>
      </c>
      <c r="R35" s="12">
        <f t="shared" si="20"/>
        <v>40</v>
      </c>
      <c r="S35" s="12">
        <f t="shared" si="20"/>
        <v>40</v>
      </c>
      <c r="T35" s="12">
        <f t="shared" si="15"/>
        <v>40</v>
      </c>
      <c r="U35" s="12">
        <f t="shared" si="15"/>
        <v>40</v>
      </c>
      <c r="V35" s="12">
        <f t="shared" si="15"/>
        <v>40</v>
      </c>
      <c r="W35" s="12">
        <f t="shared" si="15"/>
        <v>40</v>
      </c>
      <c r="X35" s="12">
        <f t="shared" si="15"/>
        <v>40</v>
      </c>
      <c r="Y35" s="12">
        <f t="shared" si="15"/>
        <v>40</v>
      </c>
      <c r="Z35" s="12">
        <f t="shared" si="15"/>
        <v>40</v>
      </c>
      <c r="AA35" s="12">
        <f t="shared" si="15"/>
        <v>40</v>
      </c>
      <c r="AB35" s="12">
        <f t="shared" si="15"/>
        <v>40</v>
      </c>
      <c r="AC35" s="12">
        <f t="shared" si="15"/>
        <v>40</v>
      </c>
    </row>
    <row r="36" spans="1:29" ht="15.75" hidden="1" thickBot="1">
      <c r="A36" s="48"/>
      <c r="B36" s="49" t="s">
        <v>67</v>
      </c>
      <c r="E36" s="21">
        <f>E34*E35/1000000</f>
        <v>0.08</v>
      </c>
      <c r="F36" s="21">
        <f t="shared" ref="F36:K36" si="23">F34*F35/1000000</f>
        <v>0.16</v>
      </c>
      <c r="G36" s="21">
        <f t="shared" si="23"/>
        <v>0.24</v>
      </c>
      <c r="H36" s="21">
        <f t="shared" si="23"/>
        <v>0.32</v>
      </c>
      <c r="I36" s="21">
        <f t="shared" si="23"/>
        <v>0.4</v>
      </c>
      <c r="J36" s="21">
        <f t="shared" si="23"/>
        <v>0.56000000000000005</v>
      </c>
      <c r="K36" s="22">
        <f t="shared" si="23"/>
        <v>0.56000000000000005</v>
      </c>
      <c r="L36" s="29">
        <f>K36</f>
        <v>0.56000000000000005</v>
      </c>
      <c r="M36" s="12">
        <f t="shared" si="20"/>
        <v>0.56000000000000005</v>
      </c>
      <c r="N36" s="12">
        <f t="shared" si="20"/>
        <v>0.56000000000000005</v>
      </c>
      <c r="O36" s="12">
        <f t="shared" si="20"/>
        <v>0.56000000000000005</v>
      </c>
      <c r="P36" s="12">
        <f t="shared" si="20"/>
        <v>0.56000000000000005</v>
      </c>
      <c r="Q36" s="12">
        <f t="shared" si="20"/>
        <v>0.56000000000000005</v>
      </c>
      <c r="R36" s="12">
        <f t="shared" si="20"/>
        <v>0.56000000000000005</v>
      </c>
      <c r="S36" s="12">
        <f t="shared" si="20"/>
        <v>0.56000000000000005</v>
      </c>
      <c r="T36" s="12">
        <f t="shared" si="15"/>
        <v>0.56000000000000005</v>
      </c>
      <c r="U36" s="12">
        <f t="shared" si="15"/>
        <v>0.56000000000000005</v>
      </c>
      <c r="V36" s="12">
        <f t="shared" si="15"/>
        <v>0.56000000000000005</v>
      </c>
      <c r="W36" s="12">
        <f t="shared" si="15"/>
        <v>0.56000000000000005</v>
      </c>
      <c r="X36" s="12">
        <f t="shared" si="15"/>
        <v>0.56000000000000005</v>
      </c>
      <c r="Y36" s="12">
        <f t="shared" si="15"/>
        <v>0.56000000000000005</v>
      </c>
      <c r="Z36" s="12">
        <f t="shared" si="15"/>
        <v>0.56000000000000005</v>
      </c>
      <c r="AA36" s="12">
        <f t="shared" si="15"/>
        <v>0.56000000000000005</v>
      </c>
      <c r="AB36" s="12">
        <f t="shared" si="15"/>
        <v>0.56000000000000005</v>
      </c>
      <c r="AC36" s="12">
        <f t="shared" si="15"/>
        <v>0.56000000000000005</v>
      </c>
    </row>
    <row r="37" spans="1:29" ht="13.5" hidden="1" thickBot="1">
      <c r="A37" s="48"/>
      <c r="B37" s="49" t="s">
        <v>68</v>
      </c>
      <c r="E37" s="13">
        <v>1</v>
      </c>
      <c r="F37" s="13">
        <v>1</v>
      </c>
      <c r="G37" s="13">
        <v>1</v>
      </c>
      <c r="H37" s="13">
        <v>1</v>
      </c>
      <c r="I37" s="13">
        <v>1</v>
      </c>
      <c r="J37" s="13">
        <v>1</v>
      </c>
      <c r="K37" s="12">
        <f>J37</f>
        <v>1</v>
      </c>
      <c r="L37" s="12">
        <f t="shared" ref="L37:S38" si="24">K37</f>
        <v>1</v>
      </c>
      <c r="M37" s="12">
        <f t="shared" si="24"/>
        <v>1</v>
      </c>
      <c r="N37" s="12">
        <f t="shared" si="24"/>
        <v>1</v>
      </c>
      <c r="O37" s="12">
        <f t="shared" si="24"/>
        <v>1</v>
      </c>
      <c r="P37" s="12">
        <f t="shared" si="24"/>
        <v>1</v>
      </c>
      <c r="Q37" s="12">
        <f t="shared" si="24"/>
        <v>1</v>
      </c>
      <c r="R37" s="12">
        <f t="shared" si="24"/>
        <v>1</v>
      </c>
      <c r="S37" s="12">
        <f t="shared" si="24"/>
        <v>1</v>
      </c>
      <c r="T37" s="12">
        <f t="shared" si="15"/>
        <v>1</v>
      </c>
      <c r="U37" s="12">
        <f t="shared" si="15"/>
        <v>1</v>
      </c>
      <c r="V37" s="12">
        <f t="shared" si="15"/>
        <v>1</v>
      </c>
      <c r="W37" s="12">
        <f t="shared" si="15"/>
        <v>1</v>
      </c>
      <c r="X37" s="12">
        <f t="shared" si="15"/>
        <v>1</v>
      </c>
      <c r="Y37" s="12">
        <f t="shared" si="15"/>
        <v>1</v>
      </c>
      <c r="Z37" s="12">
        <f t="shared" si="15"/>
        <v>1</v>
      </c>
      <c r="AA37" s="12">
        <f t="shared" si="15"/>
        <v>1</v>
      </c>
      <c r="AB37" s="12">
        <f t="shared" si="15"/>
        <v>1</v>
      </c>
      <c r="AC37" s="12">
        <f t="shared" si="15"/>
        <v>1</v>
      </c>
    </row>
    <row r="38" spans="1:29" ht="14.25" hidden="1" thickBot="1">
      <c r="A38" s="48"/>
      <c r="B38" s="51" t="s">
        <v>59</v>
      </c>
      <c r="E38" s="18">
        <f t="shared" ref="E38:J38" si="25">E36*E37/10</f>
        <v>8.0000000000000002E-3</v>
      </c>
      <c r="F38" s="18">
        <f t="shared" si="25"/>
        <v>1.6E-2</v>
      </c>
      <c r="G38" s="18">
        <f t="shared" si="25"/>
        <v>2.4E-2</v>
      </c>
      <c r="H38" s="18">
        <f t="shared" si="25"/>
        <v>3.2000000000000001E-2</v>
      </c>
      <c r="I38" s="18">
        <f t="shared" si="25"/>
        <v>0.04</v>
      </c>
      <c r="J38" s="18">
        <f t="shared" si="25"/>
        <v>5.6000000000000008E-2</v>
      </c>
      <c r="K38" s="19">
        <f>J38</f>
        <v>5.6000000000000008E-2</v>
      </c>
      <c r="L38" s="19">
        <f t="shared" si="24"/>
        <v>5.6000000000000008E-2</v>
      </c>
      <c r="M38" s="19">
        <f t="shared" si="24"/>
        <v>5.6000000000000008E-2</v>
      </c>
      <c r="N38" s="19">
        <f t="shared" si="24"/>
        <v>5.6000000000000008E-2</v>
      </c>
      <c r="O38" s="19">
        <f t="shared" si="24"/>
        <v>5.6000000000000008E-2</v>
      </c>
      <c r="P38" s="19">
        <f t="shared" si="24"/>
        <v>5.6000000000000008E-2</v>
      </c>
      <c r="Q38" s="19">
        <f t="shared" si="24"/>
        <v>5.6000000000000008E-2</v>
      </c>
      <c r="R38" s="19">
        <f t="shared" si="24"/>
        <v>5.6000000000000008E-2</v>
      </c>
      <c r="S38" s="19">
        <f t="shared" si="24"/>
        <v>5.6000000000000008E-2</v>
      </c>
      <c r="T38" s="11">
        <f t="shared" si="15"/>
        <v>5.6000000000000008E-2</v>
      </c>
      <c r="U38" s="11">
        <f t="shared" si="15"/>
        <v>5.6000000000000008E-2</v>
      </c>
      <c r="V38" s="11">
        <f t="shared" si="15"/>
        <v>5.6000000000000008E-2</v>
      </c>
      <c r="W38" s="11">
        <f t="shared" si="15"/>
        <v>5.6000000000000008E-2</v>
      </c>
      <c r="X38" s="11">
        <f t="shared" si="15"/>
        <v>5.6000000000000008E-2</v>
      </c>
      <c r="Y38" s="11">
        <f t="shared" si="15"/>
        <v>5.6000000000000008E-2</v>
      </c>
      <c r="Z38" s="11">
        <f t="shared" si="15"/>
        <v>5.6000000000000008E-2</v>
      </c>
      <c r="AA38" s="11">
        <f t="shared" si="15"/>
        <v>5.6000000000000008E-2</v>
      </c>
      <c r="AB38" s="11">
        <f t="shared" si="15"/>
        <v>5.6000000000000008E-2</v>
      </c>
      <c r="AC38" s="11">
        <f t="shared" si="15"/>
        <v>5.6000000000000008E-2</v>
      </c>
    </row>
    <row r="39" spans="1:29" ht="14.25" hidden="1" thickBot="1">
      <c r="A39" s="48"/>
      <c r="B39" s="51" t="s">
        <v>91</v>
      </c>
      <c r="E39" s="18">
        <f>E38*1000</f>
        <v>8</v>
      </c>
      <c r="F39" s="18">
        <f t="shared" ref="F39:S39" si="26">F38*1000</f>
        <v>16</v>
      </c>
      <c r="G39" s="18">
        <f t="shared" si="26"/>
        <v>24</v>
      </c>
      <c r="H39" s="18">
        <f t="shared" si="26"/>
        <v>32</v>
      </c>
      <c r="I39" s="18">
        <f t="shared" si="26"/>
        <v>40</v>
      </c>
      <c r="J39" s="18">
        <f t="shared" si="26"/>
        <v>56.000000000000007</v>
      </c>
      <c r="K39" s="18">
        <f t="shared" si="26"/>
        <v>56.000000000000007</v>
      </c>
      <c r="L39" s="18">
        <f t="shared" si="26"/>
        <v>56.000000000000007</v>
      </c>
      <c r="M39" s="18">
        <f t="shared" si="26"/>
        <v>56.000000000000007</v>
      </c>
      <c r="N39" s="18">
        <f t="shared" si="26"/>
        <v>56.000000000000007</v>
      </c>
      <c r="O39" s="18">
        <f t="shared" si="26"/>
        <v>56.000000000000007</v>
      </c>
      <c r="P39" s="18">
        <f t="shared" si="26"/>
        <v>56.000000000000007</v>
      </c>
      <c r="Q39" s="18">
        <f t="shared" si="26"/>
        <v>56.000000000000007</v>
      </c>
      <c r="R39" s="18">
        <f t="shared" si="26"/>
        <v>56.000000000000007</v>
      </c>
      <c r="S39" s="18">
        <f t="shared" si="26"/>
        <v>56.000000000000007</v>
      </c>
      <c r="T39" s="11">
        <f t="shared" si="15"/>
        <v>56.000000000000007</v>
      </c>
      <c r="U39" s="11">
        <f t="shared" si="15"/>
        <v>56.000000000000007</v>
      </c>
      <c r="V39" s="11">
        <f t="shared" si="15"/>
        <v>56.000000000000007</v>
      </c>
      <c r="W39" s="11">
        <f t="shared" si="15"/>
        <v>56.000000000000007</v>
      </c>
      <c r="X39" s="11">
        <f t="shared" si="15"/>
        <v>56.000000000000007</v>
      </c>
      <c r="Y39" s="11">
        <f t="shared" si="15"/>
        <v>56.000000000000007</v>
      </c>
      <c r="Z39" s="11">
        <f t="shared" si="15"/>
        <v>56.000000000000007</v>
      </c>
      <c r="AA39" s="11">
        <f t="shared" si="15"/>
        <v>56.000000000000007</v>
      </c>
      <c r="AB39" s="11">
        <f t="shared" si="15"/>
        <v>56.000000000000007</v>
      </c>
      <c r="AC39" s="11">
        <f t="shared" si="15"/>
        <v>56.000000000000007</v>
      </c>
    </row>
    <row r="40" spans="1:29" ht="13.5" hidden="1" thickBot="1">
      <c r="A40" s="48"/>
      <c r="B40" s="49"/>
      <c r="E40" s="12">
        <f>+E6</f>
        <v>366000</v>
      </c>
      <c r="F40" s="12">
        <f>+F6-E6</f>
        <v>375000</v>
      </c>
      <c r="G40" s="12">
        <f t="shared" ref="G40:I40" si="27">+G6-F6</f>
        <v>447000</v>
      </c>
      <c r="H40" s="12">
        <f t="shared" si="27"/>
        <v>630000</v>
      </c>
      <c r="I40" s="12">
        <f t="shared" si="27"/>
        <v>574800</v>
      </c>
      <c r="J40" s="12">
        <f>+J6-I6</f>
        <v>326400</v>
      </c>
      <c r="K40" s="12">
        <f>+K6-J6</f>
        <v>0</v>
      </c>
      <c r="L40" s="12">
        <f>+L6-K6</f>
        <v>0</v>
      </c>
    </row>
    <row r="41" spans="1:29">
      <c r="A41" s="48"/>
      <c r="B41" s="48" t="s">
        <v>254</v>
      </c>
      <c r="C41" s="153">
        <f>+C59*1.03</f>
        <v>4.6587414999999996</v>
      </c>
      <c r="D41" s="182"/>
    </row>
    <row r="42" spans="1:29">
      <c r="A42" s="48"/>
      <c r="B42" s="48" t="s">
        <v>261</v>
      </c>
      <c r="C42" s="156">
        <f>+C41*E59</f>
        <v>0.46587414999999999</v>
      </c>
      <c r="D42" s="182"/>
    </row>
    <row r="43" spans="1:29" s="163" customFormat="1" ht="15">
      <c r="A43" s="160"/>
      <c r="B43" s="161" t="s">
        <v>253</v>
      </c>
      <c r="C43" s="161" t="s">
        <v>271</v>
      </c>
      <c r="D43" s="161"/>
      <c r="E43" s="162">
        <v>0</v>
      </c>
      <c r="F43" s="162">
        <f>$C$42*E6*365/1000000000</f>
        <v>6.2236127698500003E-2</v>
      </c>
      <c r="G43" s="162">
        <f t="shared" ref="G43:AC43" si="28">$C$42*F6*365/1000000000</f>
        <v>0.12600265197975</v>
      </c>
      <c r="H43" s="162">
        <f t="shared" si="28"/>
        <v>0.20201234892300002</v>
      </c>
      <c r="I43" s="162">
        <f t="shared" si="28"/>
        <v>0.30914010971549999</v>
      </c>
      <c r="J43" s="162">
        <f t="shared" si="28"/>
        <v>0.40688143813379996</v>
      </c>
      <c r="K43" s="162">
        <f t="shared" si="28"/>
        <v>0.46238382086820001</v>
      </c>
      <c r="L43" s="162">
        <f t="shared" si="28"/>
        <v>0.46238382086820001</v>
      </c>
      <c r="M43" s="162">
        <f t="shared" si="28"/>
        <v>0.46238382086820001</v>
      </c>
      <c r="N43" s="162">
        <f t="shared" si="28"/>
        <v>0.46238382086820001</v>
      </c>
      <c r="O43" s="162">
        <f t="shared" si="28"/>
        <v>0.46238382086820001</v>
      </c>
      <c r="P43" s="162">
        <f t="shared" si="28"/>
        <v>0.46238382086820001</v>
      </c>
      <c r="Q43" s="162">
        <f t="shared" si="28"/>
        <v>0.46238382086820001</v>
      </c>
      <c r="R43" s="162">
        <f t="shared" si="28"/>
        <v>0.46238382086820001</v>
      </c>
      <c r="S43" s="162">
        <f t="shared" si="28"/>
        <v>0.46238382086820001</v>
      </c>
      <c r="T43" s="162">
        <f t="shared" si="28"/>
        <v>0.46238382086820001</v>
      </c>
      <c r="U43" s="162">
        <f t="shared" si="28"/>
        <v>0.46238382086820001</v>
      </c>
      <c r="V43" s="162">
        <f t="shared" si="28"/>
        <v>0.46238382086820001</v>
      </c>
      <c r="W43" s="162">
        <f t="shared" si="28"/>
        <v>0.46238382086820001</v>
      </c>
      <c r="X43" s="162">
        <f t="shared" si="28"/>
        <v>0.46238382086820001</v>
      </c>
      <c r="Y43" s="162">
        <f t="shared" si="28"/>
        <v>0.46238382086820001</v>
      </c>
      <c r="Z43" s="162">
        <f t="shared" si="28"/>
        <v>0.46238382086820001</v>
      </c>
      <c r="AA43" s="162">
        <f t="shared" si="28"/>
        <v>0.46238382086820001</v>
      </c>
      <c r="AB43" s="162">
        <f t="shared" si="28"/>
        <v>0.46238382086820001</v>
      </c>
      <c r="AC43" s="162">
        <f t="shared" si="28"/>
        <v>0.46238382086820001</v>
      </c>
    </row>
    <row r="44" spans="1:29" hidden="1">
      <c r="A44" s="48"/>
      <c r="B44" s="49" t="s">
        <v>94</v>
      </c>
      <c r="C44" s="28">
        <f>'Feed and Fodder'!S4</f>
        <v>2.5000000000000001E-3</v>
      </c>
      <c r="D44" s="28"/>
      <c r="E44" s="31">
        <f>$C$44*E43</f>
        <v>0</v>
      </c>
      <c r="F44" s="31">
        <f t="shared" ref="F44:AC44" si="29">$C$44*F43</f>
        <v>1.5559031924625001E-4</v>
      </c>
      <c r="G44" s="31">
        <f t="shared" si="29"/>
        <v>3.15006629949375E-4</v>
      </c>
      <c r="H44" s="31">
        <f t="shared" si="29"/>
        <v>5.0503087230750006E-4</v>
      </c>
      <c r="I44" s="31">
        <f t="shared" si="29"/>
        <v>7.7285027428874997E-4</v>
      </c>
      <c r="J44" s="31">
        <f t="shared" si="29"/>
        <v>1.0172035953345E-3</v>
      </c>
      <c r="K44" s="31">
        <f t="shared" si="29"/>
        <v>1.1559595521705001E-3</v>
      </c>
      <c r="L44" s="31">
        <f t="shared" si="29"/>
        <v>1.1559595521705001E-3</v>
      </c>
      <c r="M44" s="31">
        <f t="shared" si="29"/>
        <v>1.1559595521705001E-3</v>
      </c>
      <c r="N44" s="31">
        <f t="shared" si="29"/>
        <v>1.1559595521705001E-3</v>
      </c>
      <c r="O44" s="31">
        <f t="shared" si="29"/>
        <v>1.1559595521705001E-3</v>
      </c>
      <c r="P44" s="31">
        <f t="shared" si="29"/>
        <v>1.1559595521705001E-3</v>
      </c>
      <c r="Q44" s="31">
        <f t="shared" si="29"/>
        <v>1.1559595521705001E-3</v>
      </c>
      <c r="R44" s="31">
        <f t="shared" si="29"/>
        <v>1.1559595521705001E-3</v>
      </c>
      <c r="S44" s="31">
        <f t="shared" si="29"/>
        <v>1.1559595521705001E-3</v>
      </c>
      <c r="T44" s="31">
        <f t="shared" si="29"/>
        <v>1.1559595521705001E-3</v>
      </c>
      <c r="U44" s="31">
        <f t="shared" si="29"/>
        <v>1.1559595521705001E-3</v>
      </c>
      <c r="V44" s="31">
        <f t="shared" si="29"/>
        <v>1.1559595521705001E-3</v>
      </c>
      <c r="W44" s="31">
        <f t="shared" si="29"/>
        <v>1.1559595521705001E-3</v>
      </c>
      <c r="X44" s="31">
        <f t="shared" si="29"/>
        <v>1.1559595521705001E-3</v>
      </c>
      <c r="Y44" s="31">
        <f t="shared" si="29"/>
        <v>1.1559595521705001E-3</v>
      </c>
      <c r="Z44" s="31">
        <f t="shared" si="29"/>
        <v>1.1559595521705001E-3</v>
      </c>
      <c r="AA44" s="31">
        <f t="shared" si="29"/>
        <v>1.1559595521705001E-3</v>
      </c>
      <c r="AB44" s="31">
        <f t="shared" si="29"/>
        <v>1.1559595521705001E-3</v>
      </c>
      <c r="AC44" s="31">
        <f t="shared" si="29"/>
        <v>1.1559595521705001E-3</v>
      </c>
    </row>
    <row r="45" spans="1:29" ht="15">
      <c r="A45" s="48"/>
      <c r="B45" s="169" t="s">
        <v>92</v>
      </c>
      <c r="C45" s="170" t="s">
        <v>100</v>
      </c>
      <c r="D45" s="170"/>
      <c r="E45" s="171">
        <v>0</v>
      </c>
      <c r="F45" s="171">
        <f>+$C$71*$C$41*E6*365/1000000</f>
        <v>371.57019159755941</v>
      </c>
      <c r="G45" s="171">
        <f t="shared" ref="G45:AC45" si="30">+$C$71*$C$41*F6*365/1000000</f>
        <v>752.27735511964886</v>
      </c>
      <c r="H45" s="171">
        <f t="shared" si="30"/>
        <v>1206.0802940379797</v>
      </c>
      <c r="I45" s="171">
        <f t="shared" si="30"/>
        <v>1845.66832875509</v>
      </c>
      <c r="J45" s="171">
        <f t="shared" si="30"/>
        <v>2429.2162690017485</v>
      </c>
      <c r="K45" s="171">
        <f t="shared" si="30"/>
        <v>2760.5837841313755</v>
      </c>
      <c r="L45" s="171">
        <f t="shared" si="30"/>
        <v>2760.5837841313755</v>
      </c>
      <c r="M45" s="171">
        <f t="shared" si="30"/>
        <v>2760.5837841313755</v>
      </c>
      <c r="N45" s="171">
        <f t="shared" si="30"/>
        <v>2760.5837841313755</v>
      </c>
      <c r="O45" s="171">
        <f t="shared" si="30"/>
        <v>2760.5837841313755</v>
      </c>
      <c r="P45" s="171">
        <f t="shared" si="30"/>
        <v>2760.5837841313755</v>
      </c>
      <c r="Q45" s="171">
        <f t="shared" si="30"/>
        <v>2760.5837841313755</v>
      </c>
      <c r="R45" s="171">
        <f t="shared" si="30"/>
        <v>2760.5837841313755</v>
      </c>
      <c r="S45" s="171">
        <f t="shared" si="30"/>
        <v>2760.5837841313755</v>
      </c>
      <c r="T45" s="171">
        <f t="shared" si="30"/>
        <v>2760.5837841313755</v>
      </c>
      <c r="U45" s="171">
        <f t="shared" si="30"/>
        <v>2760.5837841313755</v>
      </c>
      <c r="V45" s="171">
        <f t="shared" si="30"/>
        <v>2760.5837841313755</v>
      </c>
      <c r="W45" s="171">
        <f t="shared" si="30"/>
        <v>2760.5837841313755</v>
      </c>
      <c r="X45" s="171">
        <f t="shared" si="30"/>
        <v>2760.5837841313755</v>
      </c>
      <c r="Y45" s="171">
        <f t="shared" si="30"/>
        <v>2760.5837841313755</v>
      </c>
      <c r="Z45" s="171">
        <f t="shared" si="30"/>
        <v>2760.5837841313755</v>
      </c>
      <c r="AA45" s="171">
        <f t="shared" si="30"/>
        <v>2760.5837841313755</v>
      </c>
      <c r="AB45" s="171">
        <f t="shared" si="30"/>
        <v>2760.5837841313755</v>
      </c>
      <c r="AC45" s="171">
        <f t="shared" si="30"/>
        <v>2760.5837841313755</v>
      </c>
    </row>
    <row r="46" spans="1:29" ht="13.5" thickBot="1"/>
    <row r="47" spans="1:29" ht="13.5" thickBot="1">
      <c r="B47" s="166" t="s">
        <v>132</v>
      </c>
      <c r="C47" s="168">
        <f>'Feed and Fodder'!D33</f>
        <v>0.16453421250000003</v>
      </c>
      <c r="D47" s="183"/>
      <c r="E47" s="167">
        <v>0</v>
      </c>
      <c r="F47" s="135">
        <f>$C$47*E6</f>
        <v>60219.521775000008</v>
      </c>
      <c r="G47" s="135">
        <f t="shared" ref="G47:AC47" si="31">$C$47*F6</f>
        <v>121919.85146250002</v>
      </c>
      <c r="H47" s="135">
        <f t="shared" si="31"/>
        <v>195466.64445000002</v>
      </c>
      <c r="I47" s="135">
        <f t="shared" si="31"/>
        <v>299123.19832500006</v>
      </c>
      <c r="J47" s="135">
        <f t="shared" si="31"/>
        <v>393697.46367000008</v>
      </c>
      <c r="K47" s="135">
        <f t="shared" si="31"/>
        <v>447401.43063000008</v>
      </c>
      <c r="L47" s="135">
        <f t="shared" si="31"/>
        <v>447401.43063000008</v>
      </c>
      <c r="M47" s="135">
        <f t="shared" si="31"/>
        <v>447401.43063000008</v>
      </c>
      <c r="N47" s="135">
        <f t="shared" si="31"/>
        <v>447401.43063000008</v>
      </c>
      <c r="O47" s="135">
        <f t="shared" si="31"/>
        <v>447401.43063000008</v>
      </c>
      <c r="P47" s="135">
        <f t="shared" si="31"/>
        <v>447401.43063000008</v>
      </c>
      <c r="Q47" s="135">
        <f t="shared" si="31"/>
        <v>447401.43063000008</v>
      </c>
      <c r="R47" s="135">
        <f t="shared" si="31"/>
        <v>447401.43063000008</v>
      </c>
      <c r="S47" s="135">
        <f t="shared" si="31"/>
        <v>447401.43063000008</v>
      </c>
      <c r="T47" s="135">
        <f t="shared" si="31"/>
        <v>447401.43063000008</v>
      </c>
      <c r="U47" s="135">
        <f t="shared" si="31"/>
        <v>447401.43063000008</v>
      </c>
      <c r="V47" s="135">
        <f t="shared" si="31"/>
        <v>447401.43063000008</v>
      </c>
      <c r="W47" s="135">
        <f t="shared" si="31"/>
        <v>447401.43063000008</v>
      </c>
      <c r="X47" s="135">
        <f t="shared" si="31"/>
        <v>447401.43063000008</v>
      </c>
      <c r="Y47" s="135">
        <f t="shared" si="31"/>
        <v>447401.43063000008</v>
      </c>
      <c r="Z47" s="135">
        <f t="shared" si="31"/>
        <v>447401.43063000008</v>
      </c>
      <c r="AA47" s="135">
        <f t="shared" si="31"/>
        <v>447401.43063000008</v>
      </c>
      <c r="AB47" s="135">
        <f t="shared" si="31"/>
        <v>447401.43063000008</v>
      </c>
      <c r="AC47" s="135">
        <f t="shared" si="31"/>
        <v>447401.43063000008</v>
      </c>
    </row>
    <row r="48" spans="1:29" ht="15">
      <c r="B48" s="169" t="s">
        <v>133</v>
      </c>
      <c r="C48" s="172">
        <f>'Feed and Fodder'!C34</f>
        <v>740</v>
      </c>
      <c r="D48" s="172"/>
      <c r="E48" s="171">
        <f>E47*$C$48/1000000</f>
        <v>0</v>
      </c>
      <c r="F48" s="171">
        <f t="shared" ref="F48:H48" si="32">F47*$C$48/1000000</f>
        <v>44.562446113500009</v>
      </c>
      <c r="G48" s="171">
        <f t="shared" si="32"/>
        <v>90.220690082250016</v>
      </c>
      <c r="H48" s="171">
        <f t="shared" si="32"/>
        <v>144.645316893</v>
      </c>
      <c r="I48" s="171">
        <f>I47*$C$48/1000000</f>
        <v>221.35116676050004</v>
      </c>
      <c r="J48" s="171">
        <f t="shared" ref="J48:AC48" si="33">J47*$C$48/1000000</f>
        <v>291.33612311580009</v>
      </c>
      <c r="K48" s="171">
        <f t="shared" si="33"/>
        <v>331.07705866620006</v>
      </c>
      <c r="L48" s="171">
        <f t="shared" si="33"/>
        <v>331.07705866620006</v>
      </c>
      <c r="M48" s="171">
        <f t="shared" si="33"/>
        <v>331.07705866620006</v>
      </c>
      <c r="N48" s="171">
        <f t="shared" si="33"/>
        <v>331.07705866620006</v>
      </c>
      <c r="O48" s="171">
        <f t="shared" si="33"/>
        <v>331.07705866620006</v>
      </c>
      <c r="P48" s="171">
        <f t="shared" si="33"/>
        <v>331.07705866620006</v>
      </c>
      <c r="Q48" s="171">
        <f t="shared" si="33"/>
        <v>331.07705866620006</v>
      </c>
      <c r="R48" s="171">
        <f t="shared" si="33"/>
        <v>331.07705866620006</v>
      </c>
      <c r="S48" s="171">
        <f t="shared" si="33"/>
        <v>331.07705866620006</v>
      </c>
      <c r="T48" s="171">
        <f t="shared" si="33"/>
        <v>331.07705866620006</v>
      </c>
      <c r="U48" s="171">
        <f t="shared" si="33"/>
        <v>331.07705866620006</v>
      </c>
      <c r="V48" s="171">
        <f t="shared" si="33"/>
        <v>331.07705866620006</v>
      </c>
      <c r="W48" s="171">
        <f t="shared" si="33"/>
        <v>331.07705866620006</v>
      </c>
      <c r="X48" s="171">
        <f t="shared" si="33"/>
        <v>331.07705866620006</v>
      </c>
      <c r="Y48" s="171">
        <f t="shared" si="33"/>
        <v>331.07705866620006</v>
      </c>
      <c r="Z48" s="171">
        <f t="shared" si="33"/>
        <v>331.07705866620006</v>
      </c>
      <c r="AA48" s="171">
        <f t="shared" si="33"/>
        <v>331.07705866620006</v>
      </c>
      <c r="AB48" s="171">
        <f t="shared" si="33"/>
        <v>331.07705866620006</v>
      </c>
      <c r="AC48" s="171">
        <f t="shared" si="33"/>
        <v>331.07705866620006</v>
      </c>
    </row>
    <row r="50" spans="2:30" ht="15">
      <c r="B50" s="169" t="s">
        <v>249</v>
      </c>
      <c r="C50" s="170"/>
      <c r="D50" s="170"/>
      <c r="E50" s="171">
        <f>+E43*$G$62</f>
        <v>0</v>
      </c>
      <c r="F50" s="171">
        <f t="shared" ref="F50:AC50" si="34">+F43*$G$62</f>
        <v>224.69630685309465</v>
      </c>
      <c r="G50" s="171">
        <f t="shared" si="34"/>
        <v>454.917932727167</v>
      </c>
      <c r="H50" s="171">
        <f t="shared" si="34"/>
        <v>729.34211076906138</v>
      </c>
      <c r="I50" s="171">
        <f t="shared" si="34"/>
        <v>1116.1144422375028</v>
      </c>
      <c r="J50" s="171">
        <f t="shared" si="34"/>
        <v>1468.9981503772808</v>
      </c>
      <c r="K50" s="171">
        <f t="shared" si="34"/>
        <v>1669.3830535380737</v>
      </c>
      <c r="L50" s="171">
        <f t="shared" si="34"/>
        <v>1669.3830535380737</v>
      </c>
      <c r="M50" s="171">
        <f t="shared" si="34"/>
        <v>1669.3830535380737</v>
      </c>
      <c r="N50" s="171">
        <f t="shared" si="34"/>
        <v>1669.3830535380737</v>
      </c>
      <c r="O50" s="171">
        <f t="shared" si="34"/>
        <v>1669.3830535380737</v>
      </c>
      <c r="P50" s="171">
        <f t="shared" si="34"/>
        <v>1669.3830535380737</v>
      </c>
      <c r="Q50" s="171">
        <f t="shared" si="34"/>
        <v>1669.3830535380737</v>
      </c>
      <c r="R50" s="171">
        <f t="shared" si="34"/>
        <v>1669.3830535380737</v>
      </c>
      <c r="S50" s="171">
        <f t="shared" si="34"/>
        <v>1669.3830535380737</v>
      </c>
      <c r="T50" s="171">
        <f t="shared" si="34"/>
        <v>1669.3830535380737</v>
      </c>
      <c r="U50" s="171">
        <f t="shared" si="34"/>
        <v>1669.3830535380737</v>
      </c>
      <c r="V50" s="171">
        <f t="shared" si="34"/>
        <v>1669.3830535380737</v>
      </c>
      <c r="W50" s="171">
        <f t="shared" si="34"/>
        <v>1669.3830535380737</v>
      </c>
      <c r="X50" s="171">
        <f t="shared" si="34"/>
        <v>1669.3830535380737</v>
      </c>
      <c r="Y50" s="171">
        <f t="shared" si="34"/>
        <v>1669.3830535380737</v>
      </c>
      <c r="Z50" s="171">
        <f t="shared" si="34"/>
        <v>1669.3830535380737</v>
      </c>
      <c r="AA50" s="171">
        <f t="shared" si="34"/>
        <v>1669.3830535380737</v>
      </c>
      <c r="AB50" s="171">
        <f t="shared" si="34"/>
        <v>1669.3830535380737</v>
      </c>
      <c r="AC50" s="171">
        <f t="shared" si="34"/>
        <v>1669.3830535380737</v>
      </c>
    </row>
    <row r="51" spans="2:30">
      <c r="B51" s="11"/>
    </row>
    <row r="52" spans="2:30">
      <c r="B52" s="136" t="s">
        <v>250</v>
      </c>
      <c r="C52" s="136"/>
      <c r="D52" s="136"/>
      <c r="E52" s="137">
        <f>+SUM(E45,E48,E50)</f>
        <v>0</v>
      </c>
      <c r="F52" s="137">
        <f>+SUM(F45,F48,F50)</f>
        <v>640.82894456415409</v>
      </c>
      <c r="G52" s="137">
        <f t="shared" ref="G52:AC52" si="35">+SUM(G45,G48,G50)</f>
        <v>1297.4159779290658</v>
      </c>
      <c r="H52" s="137">
        <f t="shared" si="35"/>
        <v>2080.0677217000411</v>
      </c>
      <c r="I52" s="137">
        <f t="shared" si="35"/>
        <v>3183.1339377530926</v>
      </c>
      <c r="J52" s="137">
        <f t="shared" si="35"/>
        <v>4189.5505424948296</v>
      </c>
      <c r="K52" s="137">
        <f t="shared" si="35"/>
        <v>4761.0438963356492</v>
      </c>
      <c r="L52" s="137">
        <f t="shared" si="35"/>
        <v>4761.0438963356492</v>
      </c>
      <c r="M52" s="137">
        <f t="shared" si="35"/>
        <v>4761.0438963356492</v>
      </c>
      <c r="N52" s="137">
        <f t="shared" si="35"/>
        <v>4761.0438963356492</v>
      </c>
      <c r="O52" s="137">
        <f t="shared" si="35"/>
        <v>4761.0438963356492</v>
      </c>
      <c r="P52" s="137">
        <f t="shared" si="35"/>
        <v>4761.0438963356492</v>
      </c>
      <c r="Q52" s="137">
        <f t="shared" si="35"/>
        <v>4761.0438963356492</v>
      </c>
      <c r="R52" s="137">
        <f t="shared" si="35"/>
        <v>4761.0438963356492</v>
      </c>
      <c r="S52" s="137">
        <f t="shared" si="35"/>
        <v>4761.0438963356492</v>
      </c>
      <c r="T52" s="137">
        <f t="shared" si="35"/>
        <v>4761.0438963356492</v>
      </c>
      <c r="U52" s="137">
        <f t="shared" si="35"/>
        <v>4761.0438963356492</v>
      </c>
      <c r="V52" s="137">
        <f t="shared" si="35"/>
        <v>4761.0438963356492</v>
      </c>
      <c r="W52" s="137">
        <f t="shared" si="35"/>
        <v>4761.0438963356492</v>
      </c>
      <c r="X52" s="137">
        <f t="shared" si="35"/>
        <v>4761.0438963356492</v>
      </c>
      <c r="Y52" s="137">
        <f t="shared" si="35"/>
        <v>4761.0438963356492</v>
      </c>
      <c r="Z52" s="137">
        <f t="shared" si="35"/>
        <v>4761.0438963356492</v>
      </c>
      <c r="AA52" s="137">
        <f t="shared" si="35"/>
        <v>4761.0438963356492</v>
      </c>
      <c r="AB52" s="137">
        <f t="shared" si="35"/>
        <v>4761.0438963356492</v>
      </c>
      <c r="AC52" s="137">
        <f t="shared" si="35"/>
        <v>4761.0438963356492</v>
      </c>
    </row>
    <row r="54" spans="2:30">
      <c r="B54" s="157"/>
      <c r="C54" s="157"/>
      <c r="D54" s="157"/>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c r="AD54" s="157"/>
    </row>
    <row r="55" spans="2:30">
      <c r="B55" s="11" t="s">
        <v>177</v>
      </c>
    </row>
    <row r="56" spans="2:30">
      <c r="J56" s="12">
        <f>+C57*C42</f>
        <v>170.04406474999999</v>
      </c>
    </row>
    <row r="57" spans="2:30">
      <c r="B57" s="142" t="s">
        <v>176</v>
      </c>
      <c r="C57" s="142">
        <v>365</v>
      </c>
      <c r="D57" s="48"/>
      <c r="G57" s="12" t="s">
        <v>262</v>
      </c>
      <c r="J57" s="12">
        <f>+J56*1.03</f>
        <v>175.14538669249998</v>
      </c>
      <c r="K57" s="12">
        <f>+J57/1000</f>
        <v>0.17514538669249999</v>
      </c>
    </row>
    <row r="58" spans="2:30" ht="13.5" thickBot="1">
      <c r="G58" s="12" t="s">
        <v>263</v>
      </c>
      <c r="J58" s="12">
        <f>+J57*J6</f>
        <v>476255335.49424595</v>
      </c>
      <c r="K58" s="12">
        <f>+K57*2.94</f>
        <v>0.51492743687595</v>
      </c>
    </row>
    <row r="59" spans="2:30" ht="13.5" thickBot="1">
      <c r="B59" s="142" t="s">
        <v>265</v>
      </c>
      <c r="C59" s="197">
        <f>'Feed and Fodder (F) Zone.2'!$C$59</f>
        <v>4.5230499999999996</v>
      </c>
      <c r="D59" s="184"/>
      <c r="E59" s="155">
        <f>'Feed and Fodder (F) Zone.1'!$E$59</f>
        <v>0.1</v>
      </c>
      <c r="G59" s="152">
        <f>+C59*C57*E59</f>
        <v>165.09132499999998</v>
      </c>
    </row>
    <row r="60" spans="2:30" ht="25.5">
      <c r="B60" s="144"/>
      <c r="C60" s="150" t="s">
        <v>264</v>
      </c>
      <c r="D60" s="185"/>
      <c r="E60" s="154" t="s">
        <v>181</v>
      </c>
    </row>
    <row r="61" spans="2:30" ht="13.5" thickBot="1">
      <c r="B61" s="144" t="s">
        <v>179</v>
      </c>
      <c r="C61" s="149">
        <v>2.1360000000000001</v>
      </c>
      <c r="D61" s="149"/>
      <c r="E61" s="145">
        <v>0.35</v>
      </c>
      <c r="G61" s="12" t="s">
        <v>299</v>
      </c>
      <c r="I61" s="12" t="s">
        <v>99</v>
      </c>
    </row>
    <row r="62" spans="2:30" ht="13.5" thickBot="1">
      <c r="B62" s="144" t="s">
        <v>178</v>
      </c>
      <c r="C62" s="149">
        <v>6.8689999999999998</v>
      </c>
      <c r="D62" s="149"/>
      <c r="E62" s="145">
        <v>0.35</v>
      </c>
      <c r="G62" s="152">
        <v>3610.3837941464699</v>
      </c>
    </row>
    <row r="63" spans="2:30">
      <c r="B63" s="144" t="s">
        <v>180</v>
      </c>
      <c r="C63" s="149">
        <v>4.5709999999999997</v>
      </c>
      <c r="D63" s="149"/>
      <c r="E63" s="145">
        <f>'Feed and Fodder'!C25</f>
        <v>0.3</v>
      </c>
    </row>
    <row r="65" spans="2:30" ht="13.5" thickBot="1">
      <c r="G65" s="12" t="s">
        <v>300</v>
      </c>
      <c r="I65" s="12" t="s">
        <v>93</v>
      </c>
    </row>
    <row r="66" spans="2:30" ht="13.5" thickBot="1">
      <c r="B66" s="142" t="s">
        <v>268</v>
      </c>
      <c r="C66" s="146">
        <f>+G66</f>
        <v>17.058084397428807</v>
      </c>
      <c r="D66" s="186"/>
      <c r="G66" s="159">
        <v>17.058084397428807</v>
      </c>
    </row>
    <row r="67" spans="2:30">
      <c r="B67" s="142" t="s">
        <v>251</v>
      </c>
      <c r="C67" s="143">
        <v>0.7</v>
      </c>
      <c r="D67" s="187"/>
    </row>
    <row r="68" spans="2:30">
      <c r="B68" s="142" t="s">
        <v>269</v>
      </c>
      <c r="C68" s="146">
        <f>+C66*C67</f>
        <v>11.940659078200165</v>
      </c>
      <c r="D68" s="186"/>
    </row>
    <row r="70" spans="2:30">
      <c r="B70" s="142" t="s">
        <v>252</v>
      </c>
      <c r="C70" s="143">
        <v>0.05</v>
      </c>
      <c r="D70" s="187"/>
    </row>
    <row r="71" spans="2:30">
      <c r="B71" s="142" t="s">
        <v>270</v>
      </c>
      <c r="C71" s="146">
        <f>+C68*C70</f>
        <v>0.59703295391000821</v>
      </c>
      <c r="D71" s="186"/>
    </row>
    <row r="75" spans="2:30" ht="15">
      <c r="B75" s="1"/>
      <c r="C75" s="65">
        <v>1</v>
      </c>
      <c r="D75" s="1"/>
      <c r="E75" s="3" t="s">
        <v>226</v>
      </c>
      <c r="F75" s="3" t="s">
        <v>227</v>
      </c>
      <c r="G75" s="3" t="s">
        <v>228</v>
      </c>
      <c r="H75" s="3" t="s">
        <v>229</v>
      </c>
      <c r="I75" s="3" t="s">
        <v>230</v>
      </c>
      <c r="J75" s="3" t="s">
        <v>231</v>
      </c>
      <c r="K75" s="3" t="s">
        <v>232</v>
      </c>
      <c r="L75" s="3" t="s">
        <v>233</v>
      </c>
      <c r="M75" s="3" t="s">
        <v>234</v>
      </c>
      <c r="N75" s="3" t="s">
        <v>235</v>
      </c>
      <c r="O75" s="3" t="s">
        <v>236</v>
      </c>
      <c r="P75" s="3" t="s">
        <v>237</v>
      </c>
      <c r="Q75" s="3" t="s">
        <v>238</v>
      </c>
      <c r="R75" s="3" t="s">
        <v>239</v>
      </c>
      <c r="S75" s="3" t="s">
        <v>240</v>
      </c>
      <c r="T75" s="3" t="s">
        <v>241</v>
      </c>
      <c r="U75" s="3" t="s">
        <v>242</v>
      </c>
      <c r="V75" s="3" t="s">
        <v>243</v>
      </c>
      <c r="W75" s="3" t="s">
        <v>244</v>
      </c>
      <c r="X75" s="3" t="s">
        <v>245</v>
      </c>
      <c r="Y75" s="3" t="s">
        <v>288</v>
      </c>
      <c r="Z75" s="3" t="s">
        <v>289</v>
      </c>
      <c r="AA75" s="3" t="s">
        <v>290</v>
      </c>
      <c r="AB75" s="3" t="s">
        <v>291</v>
      </c>
      <c r="AC75" s="3" t="s">
        <v>292</v>
      </c>
      <c r="AD75" s="3" t="s">
        <v>293</v>
      </c>
    </row>
    <row r="76" spans="2:30" ht="15">
      <c r="B76" s="188" t="s">
        <v>284</v>
      </c>
      <c r="C76" s="1" t="s">
        <v>285</v>
      </c>
      <c r="E76" s="1">
        <v>0</v>
      </c>
      <c r="F76" s="1">
        <v>0</v>
      </c>
      <c r="G76" s="1">
        <v>0.25</v>
      </c>
      <c r="H76" s="1">
        <v>0.5</v>
      </c>
      <c r="I76" s="1">
        <v>0.75</v>
      </c>
      <c r="J76" s="1">
        <v>1</v>
      </c>
      <c r="K76" s="1">
        <v>1</v>
      </c>
      <c r="L76" s="1">
        <v>1</v>
      </c>
      <c r="M76" s="1">
        <v>1</v>
      </c>
      <c r="N76" s="1">
        <v>1</v>
      </c>
      <c r="O76" s="1">
        <v>1</v>
      </c>
      <c r="P76" s="1">
        <v>1</v>
      </c>
      <c r="Q76" s="1">
        <v>1</v>
      </c>
      <c r="R76" s="1">
        <v>1</v>
      </c>
      <c r="S76" s="1">
        <v>1</v>
      </c>
      <c r="T76" s="1">
        <v>1</v>
      </c>
      <c r="U76" s="1">
        <v>1</v>
      </c>
      <c r="V76" s="1">
        <v>1</v>
      </c>
      <c r="W76" s="1">
        <v>1</v>
      </c>
      <c r="X76" s="1">
        <v>1</v>
      </c>
      <c r="Y76" s="1">
        <v>1</v>
      </c>
      <c r="Z76" s="1">
        <v>1</v>
      </c>
      <c r="AA76" s="1">
        <v>1</v>
      </c>
      <c r="AB76" s="1">
        <v>1</v>
      </c>
      <c r="AC76" s="1">
        <v>1</v>
      </c>
      <c r="AD76" s="1">
        <v>1</v>
      </c>
    </row>
    <row r="77" spans="2:30" ht="15">
      <c r="B77" s="1"/>
      <c r="C77" s="189">
        <v>0.05</v>
      </c>
      <c r="D77" s="178"/>
      <c r="E77" s="1">
        <f>+$C77*E76*$C$75</f>
        <v>0</v>
      </c>
      <c r="F77" s="1">
        <f>+$C77*F76*$C$75</f>
        <v>0</v>
      </c>
      <c r="G77" s="1">
        <f t="shared" ref="G77:AD77" si="36">+$C77*G76*$C$75</f>
        <v>1.2500000000000001E-2</v>
      </c>
      <c r="H77" s="1">
        <f t="shared" si="36"/>
        <v>2.5000000000000001E-2</v>
      </c>
      <c r="I77" s="1">
        <f t="shared" si="36"/>
        <v>3.7500000000000006E-2</v>
      </c>
      <c r="J77" s="1">
        <f t="shared" si="36"/>
        <v>0.05</v>
      </c>
      <c r="K77" s="1">
        <f t="shared" si="36"/>
        <v>0.05</v>
      </c>
      <c r="L77" s="1">
        <f t="shared" si="36"/>
        <v>0.05</v>
      </c>
      <c r="M77" s="1">
        <f t="shared" si="36"/>
        <v>0.05</v>
      </c>
      <c r="N77" s="1">
        <f t="shared" si="36"/>
        <v>0.05</v>
      </c>
      <c r="O77" s="1">
        <f t="shared" si="36"/>
        <v>0.05</v>
      </c>
      <c r="P77" s="1">
        <f t="shared" si="36"/>
        <v>0.05</v>
      </c>
      <c r="Q77" s="1">
        <f t="shared" si="36"/>
        <v>0.05</v>
      </c>
      <c r="R77" s="1">
        <f t="shared" si="36"/>
        <v>0.05</v>
      </c>
      <c r="S77" s="1">
        <f t="shared" si="36"/>
        <v>0.05</v>
      </c>
      <c r="T77" s="1">
        <f t="shared" si="36"/>
        <v>0.05</v>
      </c>
      <c r="U77" s="1">
        <f t="shared" si="36"/>
        <v>0.05</v>
      </c>
      <c r="V77" s="1">
        <f t="shared" si="36"/>
        <v>0.05</v>
      </c>
      <c r="W77" s="1">
        <f t="shared" si="36"/>
        <v>0.05</v>
      </c>
      <c r="X77" s="1">
        <f t="shared" si="36"/>
        <v>0.05</v>
      </c>
      <c r="Y77" s="1">
        <f t="shared" si="36"/>
        <v>0.05</v>
      </c>
      <c r="Z77" s="1">
        <f t="shared" si="36"/>
        <v>0.05</v>
      </c>
      <c r="AA77" s="1">
        <f t="shared" si="36"/>
        <v>0.05</v>
      </c>
      <c r="AB77" s="1">
        <f t="shared" si="36"/>
        <v>0.05</v>
      </c>
      <c r="AC77" s="1">
        <f t="shared" si="36"/>
        <v>0.05</v>
      </c>
      <c r="AD77" s="1">
        <f t="shared" si="36"/>
        <v>0.05</v>
      </c>
    </row>
    <row r="78" spans="2:30" ht="15">
      <c r="B78" s="1"/>
      <c r="C78" s="189">
        <v>0.1</v>
      </c>
      <c r="D78" s="178"/>
      <c r="E78" s="1"/>
      <c r="F78" s="1">
        <f>+$C78*E76*$C$75</f>
        <v>0</v>
      </c>
      <c r="G78" s="1">
        <f t="shared" ref="G78:AD78" si="37">+$C78*F76*$C$75</f>
        <v>0</v>
      </c>
      <c r="H78" s="1">
        <f t="shared" si="37"/>
        <v>2.5000000000000001E-2</v>
      </c>
      <c r="I78" s="1">
        <f t="shared" si="37"/>
        <v>0.05</v>
      </c>
      <c r="J78" s="1">
        <f t="shared" si="37"/>
        <v>7.5000000000000011E-2</v>
      </c>
      <c r="K78" s="1">
        <f t="shared" si="37"/>
        <v>0.1</v>
      </c>
      <c r="L78" s="1">
        <f t="shared" si="37"/>
        <v>0.1</v>
      </c>
      <c r="M78" s="1">
        <f t="shared" si="37"/>
        <v>0.1</v>
      </c>
      <c r="N78" s="1">
        <f t="shared" si="37"/>
        <v>0.1</v>
      </c>
      <c r="O78" s="1">
        <f t="shared" si="37"/>
        <v>0.1</v>
      </c>
      <c r="P78" s="1">
        <f t="shared" si="37"/>
        <v>0.1</v>
      </c>
      <c r="Q78" s="1">
        <f t="shared" si="37"/>
        <v>0.1</v>
      </c>
      <c r="R78" s="1">
        <f t="shared" si="37"/>
        <v>0.1</v>
      </c>
      <c r="S78" s="1">
        <f t="shared" si="37"/>
        <v>0.1</v>
      </c>
      <c r="T78" s="1">
        <f t="shared" si="37"/>
        <v>0.1</v>
      </c>
      <c r="U78" s="1">
        <f t="shared" si="37"/>
        <v>0.1</v>
      </c>
      <c r="V78" s="1">
        <f t="shared" si="37"/>
        <v>0.1</v>
      </c>
      <c r="W78" s="1">
        <f t="shared" si="37"/>
        <v>0.1</v>
      </c>
      <c r="X78" s="1">
        <f t="shared" si="37"/>
        <v>0.1</v>
      </c>
      <c r="Y78" s="1">
        <f t="shared" si="37"/>
        <v>0.1</v>
      </c>
      <c r="Z78" s="1">
        <f t="shared" si="37"/>
        <v>0.1</v>
      </c>
      <c r="AA78" s="1">
        <f t="shared" si="37"/>
        <v>0.1</v>
      </c>
      <c r="AB78" s="1">
        <f t="shared" si="37"/>
        <v>0.1</v>
      </c>
      <c r="AC78" s="1">
        <f t="shared" si="37"/>
        <v>0.1</v>
      </c>
      <c r="AD78" s="1">
        <f t="shared" si="37"/>
        <v>0.1</v>
      </c>
    </row>
    <row r="79" spans="2:30" ht="15">
      <c r="B79" s="1"/>
      <c r="C79" s="189">
        <v>0.2</v>
      </c>
      <c r="D79" s="178"/>
      <c r="E79" s="1"/>
      <c r="F79" s="1"/>
      <c r="G79" s="1">
        <f>+$C79*E76*$C$75</f>
        <v>0</v>
      </c>
      <c r="H79" s="1">
        <f t="shared" ref="H79:AD79" si="38">+$C79*F76*$C$75</f>
        <v>0</v>
      </c>
      <c r="I79" s="1">
        <f t="shared" si="38"/>
        <v>0.05</v>
      </c>
      <c r="J79" s="1">
        <f t="shared" si="38"/>
        <v>0.1</v>
      </c>
      <c r="K79" s="1">
        <f t="shared" si="38"/>
        <v>0.15000000000000002</v>
      </c>
      <c r="L79" s="1">
        <f t="shared" si="38"/>
        <v>0.2</v>
      </c>
      <c r="M79" s="1">
        <f t="shared" si="38"/>
        <v>0.2</v>
      </c>
      <c r="N79" s="1">
        <f t="shared" si="38"/>
        <v>0.2</v>
      </c>
      <c r="O79" s="1">
        <f t="shared" si="38"/>
        <v>0.2</v>
      </c>
      <c r="P79" s="1">
        <f t="shared" si="38"/>
        <v>0.2</v>
      </c>
      <c r="Q79" s="1">
        <f t="shared" si="38"/>
        <v>0.2</v>
      </c>
      <c r="R79" s="1">
        <f t="shared" si="38"/>
        <v>0.2</v>
      </c>
      <c r="S79" s="1">
        <f t="shared" si="38"/>
        <v>0.2</v>
      </c>
      <c r="T79" s="1">
        <f t="shared" si="38"/>
        <v>0.2</v>
      </c>
      <c r="U79" s="1">
        <f t="shared" si="38"/>
        <v>0.2</v>
      </c>
      <c r="V79" s="1">
        <f t="shared" si="38"/>
        <v>0.2</v>
      </c>
      <c r="W79" s="1">
        <f t="shared" si="38"/>
        <v>0.2</v>
      </c>
      <c r="X79" s="1">
        <f t="shared" si="38"/>
        <v>0.2</v>
      </c>
      <c r="Y79" s="1">
        <f t="shared" si="38"/>
        <v>0.2</v>
      </c>
      <c r="Z79" s="1">
        <f t="shared" si="38"/>
        <v>0.2</v>
      </c>
      <c r="AA79" s="1">
        <f t="shared" si="38"/>
        <v>0.2</v>
      </c>
      <c r="AB79" s="1">
        <f t="shared" si="38"/>
        <v>0.2</v>
      </c>
      <c r="AC79" s="1">
        <f t="shared" si="38"/>
        <v>0.2</v>
      </c>
      <c r="AD79" s="1">
        <f t="shared" si="38"/>
        <v>0.2</v>
      </c>
    </row>
    <row r="80" spans="2:30" ht="15">
      <c r="B80" s="1"/>
      <c r="C80" s="189">
        <v>0.25</v>
      </c>
      <c r="D80" s="178"/>
      <c r="E80" s="1"/>
      <c r="F80" s="1"/>
      <c r="G80" s="1"/>
      <c r="H80" s="1">
        <f>+$C80*E76*$C$75</f>
        <v>0</v>
      </c>
      <c r="I80" s="1">
        <f t="shared" ref="I80:AD80" si="39">+$C80*F76*$C$75</f>
        <v>0</v>
      </c>
      <c r="J80" s="1">
        <f t="shared" si="39"/>
        <v>6.25E-2</v>
      </c>
      <c r="K80" s="1">
        <f t="shared" si="39"/>
        <v>0.125</v>
      </c>
      <c r="L80" s="1">
        <f t="shared" si="39"/>
        <v>0.1875</v>
      </c>
      <c r="M80" s="1">
        <f t="shared" si="39"/>
        <v>0.25</v>
      </c>
      <c r="N80" s="1">
        <f t="shared" si="39"/>
        <v>0.25</v>
      </c>
      <c r="O80" s="1">
        <f t="shared" si="39"/>
        <v>0.25</v>
      </c>
      <c r="P80" s="1">
        <f t="shared" si="39"/>
        <v>0.25</v>
      </c>
      <c r="Q80" s="1">
        <f t="shared" si="39"/>
        <v>0.25</v>
      </c>
      <c r="R80" s="1">
        <f t="shared" si="39"/>
        <v>0.25</v>
      </c>
      <c r="S80" s="1">
        <f t="shared" si="39"/>
        <v>0.25</v>
      </c>
      <c r="T80" s="1">
        <f t="shared" si="39"/>
        <v>0.25</v>
      </c>
      <c r="U80" s="1">
        <f t="shared" si="39"/>
        <v>0.25</v>
      </c>
      <c r="V80" s="1">
        <f t="shared" si="39"/>
        <v>0.25</v>
      </c>
      <c r="W80" s="1">
        <f t="shared" si="39"/>
        <v>0.25</v>
      </c>
      <c r="X80" s="1">
        <f t="shared" si="39"/>
        <v>0.25</v>
      </c>
      <c r="Y80" s="1">
        <f t="shared" si="39"/>
        <v>0.25</v>
      </c>
      <c r="Z80" s="1">
        <f t="shared" si="39"/>
        <v>0.25</v>
      </c>
      <c r="AA80" s="1">
        <f t="shared" si="39"/>
        <v>0.25</v>
      </c>
      <c r="AB80" s="1">
        <f t="shared" si="39"/>
        <v>0.25</v>
      </c>
      <c r="AC80" s="1">
        <f t="shared" si="39"/>
        <v>0.25</v>
      </c>
      <c r="AD80" s="1">
        <f t="shared" si="39"/>
        <v>0.25</v>
      </c>
    </row>
    <row r="81" spans="2:32" ht="15">
      <c r="B81" s="1"/>
      <c r="C81" s="189">
        <v>0.3</v>
      </c>
      <c r="D81" s="178"/>
      <c r="E81" s="1"/>
      <c r="F81" s="1"/>
      <c r="G81" s="1"/>
      <c r="H81" s="1"/>
      <c r="I81" s="1">
        <f>+$C81*E76*$C$75</f>
        <v>0</v>
      </c>
      <c r="J81" s="1">
        <f t="shared" ref="J81:AD81" si="40">+$C81*F76*$C$75</f>
        <v>0</v>
      </c>
      <c r="K81" s="1">
        <f t="shared" si="40"/>
        <v>7.4999999999999997E-2</v>
      </c>
      <c r="L81" s="1">
        <f t="shared" si="40"/>
        <v>0.15</v>
      </c>
      <c r="M81" s="1">
        <f t="shared" si="40"/>
        <v>0.22499999999999998</v>
      </c>
      <c r="N81" s="1">
        <f t="shared" si="40"/>
        <v>0.3</v>
      </c>
      <c r="O81" s="1">
        <f t="shared" si="40"/>
        <v>0.3</v>
      </c>
      <c r="P81" s="1">
        <f t="shared" si="40"/>
        <v>0.3</v>
      </c>
      <c r="Q81" s="1">
        <f t="shared" si="40"/>
        <v>0.3</v>
      </c>
      <c r="R81" s="1">
        <f t="shared" si="40"/>
        <v>0.3</v>
      </c>
      <c r="S81" s="1">
        <f t="shared" si="40"/>
        <v>0.3</v>
      </c>
      <c r="T81" s="1">
        <f t="shared" si="40"/>
        <v>0.3</v>
      </c>
      <c r="U81" s="1">
        <f t="shared" si="40"/>
        <v>0.3</v>
      </c>
      <c r="V81" s="1">
        <f t="shared" si="40"/>
        <v>0.3</v>
      </c>
      <c r="W81" s="1">
        <f t="shared" si="40"/>
        <v>0.3</v>
      </c>
      <c r="X81" s="1">
        <f t="shared" si="40"/>
        <v>0.3</v>
      </c>
      <c r="Y81" s="1">
        <f t="shared" si="40"/>
        <v>0.3</v>
      </c>
      <c r="Z81" s="1">
        <f t="shared" si="40"/>
        <v>0.3</v>
      </c>
      <c r="AA81" s="1">
        <f t="shared" si="40"/>
        <v>0.3</v>
      </c>
      <c r="AB81" s="1">
        <f t="shared" si="40"/>
        <v>0.3</v>
      </c>
      <c r="AC81" s="1">
        <f t="shared" si="40"/>
        <v>0.3</v>
      </c>
      <c r="AD81" s="1">
        <f t="shared" si="40"/>
        <v>0.3</v>
      </c>
    </row>
    <row r="82" spans="2:32" ht="15">
      <c r="B82" s="1"/>
      <c r="C82" s="178">
        <v>0.1</v>
      </c>
      <c r="D82" s="178"/>
      <c r="E82" s="1"/>
      <c r="F82" s="1"/>
      <c r="G82" s="1"/>
      <c r="H82" s="1"/>
      <c r="I82" s="1"/>
      <c r="J82" s="1">
        <f>+$C82*E76*$C$75</f>
        <v>0</v>
      </c>
      <c r="K82" s="1">
        <f>+$C82*F76*$C$75</f>
        <v>0</v>
      </c>
      <c r="L82" s="1">
        <f t="shared" ref="L82:AD82" si="41">+$C82*G76*$C$75</f>
        <v>2.5000000000000001E-2</v>
      </c>
      <c r="M82" s="1">
        <f t="shared" si="41"/>
        <v>0.05</v>
      </c>
      <c r="N82" s="1">
        <f t="shared" si="41"/>
        <v>7.5000000000000011E-2</v>
      </c>
      <c r="O82" s="1">
        <f t="shared" si="41"/>
        <v>0.1</v>
      </c>
      <c r="P82" s="1">
        <f t="shared" si="41"/>
        <v>0.1</v>
      </c>
      <c r="Q82" s="1">
        <f t="shared" si="41"/>
        <v>0.1</v>
      </c>
      <c r="R82" s="1">
        <f t="shared" si="41"/>
        <v>0.1</v>
      </c>
      <c r="S82" s="1">
        <f t="shared" si="41"/>
        <v>0.1</v>
      </c>
      <c r="T82" s="1">
        <f t="shared" si="41"/>
        <v>0.1</v>
      </c>
      <c r="U82" s="1">
        <f t="shared" si="41"/>
        <v>0.1</v>
      </c>
      <c r="V82" s="1">
        <f t="shared" si="41"/>
        <v>0.1</v>
      </c>
      <c r="W82" s="1">
        <f t="shared" si="41"/>
        <v>0.1</v>
      </c>
      <c r="X82" s="1">
        <f t="shared" si="41"/>
        <v>0.1</v>
      </c>
      <c r="Y82" s="1">
        <f t="shared" si="41"/>
        <v>0.1</v>
      </c>
      <c r="Z82" s="1">
        <f t="shared" si="41"/>
        <v>0.1</v>
      </c>
      <c r="AA82" s="1">
        <f t="shared" si="41"/>
        <v>0.1</v>
      </c>
      <c r="AB82" s="1">
        <f t="shared" si="41"/>
        <v>0.1</v>
      </c>
      <c r="AC82" s="1">
        <f t="shared" si="41"/>
        <v>0.1</v>
      </c>
      <c r="AD82" s="1">
        <f t="shared" si="41"/>
        <v>0.1</v>
      </c>
    </row>
    <row r="83" spans="2:32" ht="15">
      <c r="B83" s="1"/>
      <c r="C83" s="178">
        <f>+SUM(C77:C82)</f>
        <v>1.0000000000000002</v>
      </c>
      <c r="D83" s="178"/>
      <c r="E83" s="80">
        <f>SUM(E77:E82)</f>
        <v>0</v>
      </c>
      <c r="F83" s="80">
        <f t="shared" ref="F83:AD83" si="42">SUM(F77:F82)</f>
        <v>0</v>
      </c>
      <c r="G83" s="80">
        <f t="shared" si="42"/>
        <v>1.2500000000000001E-2</v>
      </c>
      <c r="H83" s="80">
        <f t="shared" si="42"/>
        <v>0.05</v>
      </c>
      <c r="I83" s="80">
        <f t="shared" si="42"/>
        <v>0.13750000000000001</v>
      </c>
      <c r="J83" s="80">
        <f t="shared" si="42"/>
        <v>0.28749999999999998</v>
      </c>
      <c r="K83" s="80">
        <f t="shared" si="42"/>
        <v>0.5</v>
      </c>
      <c r="L83" s="80">
        <f t="shared" si="42"/>
        <v>0.71250000000000013</v>
      </c>
      <c r="M83" s="80">
        <f t="shared" si="42"/>
        <v>0.87500000000000011</v>
      </c>
      <c r="N83" s="80">
        <f t="shared" si="42"/>
        <v>0.97500000000000009</v>
      </c>
      <c r="O83" s="80">
        <f t="shared" si="42"/>
        <v>1.0000000000000002</v>
      </c>
      <c r="P83" s="80">
        <f t="shared" si="42"/>
        <v>1.0000000000000002</v>
      </c>
      <c r="Q83" s="80">
        <f t="shared" si="42"/>
        <v>1.0000000000000002</v>
      </c>
      <c r="R83" s="80">
        <f t="shared" si="42"/>
        <v>1.0000000000000002</v>
      </c>
      <c r="S83" s="80">
        <f t="shared" si="42"/>
        <v>1.0000000000000002</v>
      </c>
      <c r="T83" s="80">
        <f t="shared" si="42"/>
        <v>1.0000000000000002</v>
      </c>
      <c r="U83" s="80">
        <f t="shared" si="42"/>
        <v>1.0000000000000002</v>
      </c>
      <c r="V83" s="80">
        <f t="shared" si="42"/>
        <v>1.0000000000000002</v>
      </c>
      <c r="W83" s="80">
        <f t="shared" si="42"/>
        <v>1.0000000000000002</v>
      </c>
      <c r="X83" s="80">
        <f t="shared" si="42"/>
        <v>1.0000000000000002</v>
      </c>
      <c r="Y83" s="80">
        <f t="shared" si="42"/>
        <v>1.0000000000000002</v>
      </c>
      <c r="Z83" s="80">
        <f t="shared" si="42"/>
        <v>1.0000000000000002</v>
      </c>
      <c r="AA83" s="80">
        <f t="shared" si="42"/>
        <v>1.0000000000000002</v>
      </c>
      <c r="AB83" s="80">
        <f t="shared" si="42"/>
        <v>1.0000000000000002</v>
      </c>
      <c r="AC83" s="80">
        <f t="shared" si="42"/>
        <v>1.0000000000000002</v>
      </c>
      <c r="AD83" s="80">
        <f t="shared" si="42"/>
        <v>1.0000000000000002</v>
      </c>
    </row>
    <row r="84" spans="2:32" ht="13.5" thickBot="1">
      <c r="B84" s="12" t="s">
        <v>302</v>
      </c>
    </row>
    <row r="85" spans="2:32" ht="13.5" thickBot="1">
      <c r="C85" s="199">
        <v>0.5</v>
      </c>
    </row>
    <row r="86" spans="2:32" ht="15">
      <c r="B86" s="169" t="str">
        <f>+B45</f>
        <v>Reduction in Feeding Cost</v>
      </c>
      <c r="C86" s="189"/>
      <c r="E86" s="171">
        <f>+E$83*E45*$C$85</f>
        <v>0</v>
      </c>
      <c r="F86" s="171">
        <f t="shared" ref="F86:AD86" si="43">+F$83*F45*$C$85</f>
        <v>0</v>
      </c>
      <c r="G86" s="171">
        <f t="shared" si="43"/>
        <v>4.7017334694978059</v>
      </c>
      <c r="H86" s="171">
        <f t="shared" si="43"/>
        <v>30.152007350949493</v>
      </c>
      <c r="I86" s="171">
        <f t="shared" si="43"/>
        <v>126.88969760191245</v>
      </c>
      <c r="J86" s="171">
        <f t="shared" si="43"/>
        <v>349.19983866900134</v>
      </c>
      <c r="K86" s="171">
        <f t="shared" si="43"/>
        <v>690.14594603284388</v>
      </c>
      <c r="L86" s="171">
        <f t="shared" si="43"/>
        <v>983.45797309680268</v>
      </c>
      <c r="M86" s="171">
        <f t="shared" si="43"/>
        <v>1207.7554055574769</v>
      </c>
      <c r="N86" s="171">
        <f t="shared" si="43"/>
        <v>1345.7845947640458</v>
      </c>
      <c r="O86" s="171">
        <f t="shared" si="43"/>
        <v>1380.291892065688</v>
      </c>
      <c r="P86" s="171">
        <f t="shared" si="43"/>
        <v>1380.291892065688</v>
      </c>
      <c r="Q86" s="171">
        <f t="shared" si="43"/>
        <v>1380.291892065688</v>
      </c>
      <c r="R86" s="171">
        <f t="shared" si="43"/>
        <v>1380.291892065688</v>
      </c>
      <c r="S86" s="171">
        <f t="shared" si="43"/>
        <v>1380.291892065688</v>
      </c>
      <c r="T86" s="171">
        <f t="shared" si="43"/>
        <v>1380.291892065688</v>
      </c>
      <c r="U86" s="171">
        <f t="shared" si="43"/>
        <v>1380.291892065688</v>
      </c>
      <c r="V86" s="171">
        <f t="shared" si="43"/>
        <v>1380.291892065688</v>
      </c>
      <c r="W86" s="171">
        <f t="shared" si="43"/>
        <v>1380.291892065688</v>
      </c>
      <c r="X86" s="171">
        <f t="shared" si="43"/>
        <v>1380.291892065688</v>
      </c>
      <c r="Y86" s="171">
        <f t="shared" si="43"/>
        <v>1380.291892065688</v>
      </c>
      <c r="Z86" s="171">
        <f t="shared" si="43"/>
        <v>1380.291892065688</v>
      </c>
      <c r="AA86" s="171">
        <f t="shared" si="43"/>
        <v>1380.291892065688</v>
      </c>
      <c r="AB86" s="171">
        <f t="shared" si="43"/>
        <v>1380.291892065688</v>
      </c>
      <c r="AC86" s="171">
        <f t="shared" si="43"/>
        <v>1380.291892065688</v>
      </c>
      <c r="AD86" s="171">
        <f t="shared" si="43"/>
        <v>0</v>
      </c>
      <c r="AF86" s="189">
        <f>+AC86/SUM($AC$86:$AC$90)</f>
        <v>0.5798274168940275</v>
      </c>
    </row>
    <row r="87" spans="2:32">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c r="AF87" s="189"/>
    </row>
    <row r="88" spans="2:32" ht="15">
      <c r="B88" s="169" t="str">
        <f>+B48</f>
        <v>Benefit due to reduction in Methane Emissions ( Rs million per annum)</v>
      </c>
      <c r="E88" s="171">
        <f>+E$83*E48*$C$85</f>
        <v>0</v>
      </c>
      <c r="F88" s="171">
        <f t="shared" ref="F88:AD88" si="44">+F$83*F48*$C$85</f>
        <v>0</v>
      </c>
      <c r="G88" s="171">
        <f t="shared" si="44"/>
        <v>0.56387931301406258</v>
      </c>
      <c r="H88" s="171">
        <f t="shared" si="44"/>
        <v>3.6161329223250003</v>
      </c>
      <c r="I88" s="171">
        <f t="shared" si="44"/>
        <v>15.217892714784378</v>
      </c>
      <c r="J88" s="171">
        <f t="shared" si="44"/>
        <v>41.879567697896263</v>
      </c>
      <c r="K88" s="171">
        <f t="shared" si="44"/>
        <v>82.769264666550015</v>
      </c>
      <c r="L88" s="171">
        <f t="shared" si="44"/>
        <v>117.94620214983379</v>
      </c>
      <c r="M88" s="171">
        <f t="shared" si="44"/>
        <v>144.84621316646255</v>
      </c>
      <c r="N88" s="171">
        <f t="shared" si="44"/>
        <v>161.40006609977254</v>
      </c>
      <c r="O88" s="171">
        <f t="shared" si="44"/>
        <v>165.53852933310006</v>
      </c>
      <c r="P88" s="171">
        <f t="shared" si="44"/>
        <v>165.53852933310006</v>
      </c>
      <c r="Q88" s="171">
        <f t="shared" si="44"/>
        <v>165.53852933310006</v>
      </c>
      <c r="R88" s="171">
        <f t="shared" si="44"/>
        <v>165.53852933310006</v>
      </c>
      <c r="S88" s="171">
        <f t="shared" si="44"/>
        <v>165.53852933310006</v>
      </c>
      <c r="T88" s="171">
        <f t="shared" si="44"/>
        <v>165.53852933310006</v>
      </c>
      <c r="U88" s="171">
        <f t="shared" si="44"/>
        <v>165.53852933310006</v>
      </c>
      <c r="V88" s="171">
        <f t="shared" si="44"/>
        <v>165.53852933310006</v>
      </c>
      <c r="W88" s="171">
        <f t="shared" si="44"/>
        <v>165.53852933310006</v>
      </c>
      <c r="X88" s="171">
        <f t="shared" si="44"/>
        <v>165.53852933310006</v>
      </c>
      <c r="Y88" s="171">
        <f t="shared" si="44"/>
        <v>165.53852933310006</v>
      </c>
      <c r="Z88" s="171">
        <f t="shared" si="44"/>
        <v>165.53852933310006</v>
      </c>
      <c r="AA88" s="171">
        <f t="shared" si="44"/>
        <v>165.53852933310006</v>
      </c>
      <c r="AB88" s="171">
        <f t="shared" si="44"/>
        <v>165.53852933310006</v>
      </c>
      <c r="AC88" s="171">
        <f t="shared" si="44"/>
        <v>165.53852933310006</v>
      </c>
      <c r="AD88" s="171">
        <f t="shared" si="44"/>
        <v>0</v>
      </c>
      <c r="AF88" s="189">
        <f>+AC88/SUM($AC$86:$AC$90)</f>
        <v>6.9538753658838229E-2</v>
      </c>
    </row>
    <row r="89" spans="2:32">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F89" s="189"/>
    </row>
    <row r="90" spans="2:32" ht="15">
      <c r="B90" s="169" t="str">
        <f>+B50</f>
        <v>Benefit due to increase in milk productivity (Rs Million pe annum)</v>
      </c>
      <c r="E90" s="171">
        <f>+E$83*E50*$C$85</f>
        <v>0</v>
      </c>
      <c r="F90" s="171">
        <f t="shared" ref="F90:AD90" si="45">+F$83*F50*$C$85</f>
        <v>0</v>
      </c>
      <c r="G90" s="171">
        <f t="shared" si="45"/>
        <v>2.8432370795447941</v>
      </c>
      <c r="H90" s="171">
        <f t="shared" si="45"/>
        <v>18.233552769226534</v>
      </c>
      <c r="I90" s="171">
        <f t="shared" si="45"/>
        <v>76.732867903828321</v>
      </c>
      <c r="J90" s="171">
        <f t="shared" si="45"/>
        <v>211.16848411673411</v>
      </c>
      <c r="K90" s="171">
        <f t="shared" si="45"/>
        <v>417.34576338451842</v>
      </c>
      <c r="L90" s="171">
        <f t="shared" si="45"/>
        <v>594.71771282293889</v>
      </c>
      <c r="M90" s="171">
        <f t="shared" si="45"/>
        <v>730.35508592290728</v>
      </c>
      <c r="N90" s="171">
        <f t="shared" si="45"/>
        <v>813.824238599811</v>
      </c>
      <c r="O90" s="171">
        <f t="shared" si="45"/>
        <v>834.69152676903707</v>
      </c>
      <c r="P90" s="171">
        <f t="shared" si="45"/>
        <v>834.69152676903707</v>
      </c>
      <c r="Q90" s="171">
        <f t="shared" si="45"/>
        <v>834.69152676903707</v>
      </c>
      <c r="R90" s="171">
        <f t="shared" si="45"/>
        <v>834.69152676903707</v>
      </c>
      <c r="S90" s="171">
        <f t="shared" si="45"/>
        <v>834.69152676903707</v>
      </c>
      <c r="T90" s="171">
        <f t="shared" si="45"/>
        <v>834.69152676903707</v>
      </c>
      <c r="U90" s="171">
        <f t="shared" si="45"/>
        <v>834.69152676903707</v>
      </c>
      <c r="V90" s="171">
        <f t="shared" si="45"/>
        <v>834.69152676903707</v>
      </c>
      <c r="W90" s="171">
        <f t="shared" si="45"/>
        <v>834.69152676903707</v>
      </c>
      <c r="X90" s="171">
        <f t="shared" si="45"/>
        <v>834.69152676903707</v>
      </c>
      <c r="Y90" s="171">
        <f t="shared" si="45"/>
        <v>834.69152676903707</v>
      </c>
      <c r="Z90" s="171">
        <f t="shared" si="45"/>
        <v>834.69152676903707</v>
      </c>
      <c r="AA90" s="171">
        <f t="shared" si="45"/>
        <v>834.69152676903707</v>
      </c>
      <c r="AB90" s="171">
        <f t="shared" si="45"/>
        <v>834.69152676903707</v>
      </c>
      <c r="AC90" s="171">
        <f t="shared" si="45"/>
        <v>834.69152676903707</v>
      </c>
      <c r="AD90" s="171">
        <f t="shared" si="45"/>
        <v>0</v>
      </c>
      <c r="AF90" s="189">
        <f>+AC90/SUM($AC$86:$AC$90)</f>
        <v>0.35063382944713434</v>
      </c>
    </row>
    <row r="93" spans="2:32">
      <c r="B93" s="12" t="s">
        <v>303</v>
      </c>
      <c r="C93" s="12" t="s">
        <v>271</v>
      </c>
      <c r="D93" s="12" t="s">
        <v>302</v>
      </c>
      <c r="E93" s="30">
        <f>+E43*E83*$C$85</f>
        <v>0</v>
      </c>
      <c r="F93" s="30">
        <f t="shared" ref="F93:AD93" si="46">+F43*F83*$C$85</f>
        <v>0</v>
      </c>
      <c r="G93" s="30">
        <f t="shared" si="46"/>
        <v>7.8751657487343752E-4</v>
      </c>
      <c r="H93" s="30">
        <f t="shared" si="46"/>
        <v>5.0503087230750008E-3</v>
      </c>
      <c r="I93" s="30">
        <f t="shared" si="46"/>
        <v>2.1253382542940624E-2</v>
      </c>
      <c r="J93" s="30">
        <f t="shared" si="46"/>
        <v>5.8489206731733738E-2</v>
      </c>
      <c r="K93" s="30">
        <f t="shared" si="46"/>
        <v>0.11559595521705</v>
      </c>
      <c r="L93" s="30">
        <f t="shared" si="46"/>
        <v>0.1647242361842963</v>
      </c>
      <c r="M93" s="30">
        <f t="shared" si="46"/>
        <v>0.20229292162983753</v>
      </c>
      <c r="N93" s="30">
        <f t="shared" si="46"/>
        <v>0.22541211267324754</v>
      </c>
      <c r="O93" s="30">
        <f t="shared" si="46"/>
        <v>0.23119191043410006</v>
      </c>
      <c r="P93" s="30">
        <f t="shared" si="46"/>
        <v>0.23119191043410006</v>
      </c>
      <c r="Q93" s="30">
        <f t="shared" si="46"/>
        <v>0.23119191043410006</v>
      </c>
      <c r="R93" s="30">
        <f t="shared" si="46"/>
        <v>0.23119191043410006</v>
      </c>
      <c r="S93" s="30">
        <f t="shared" si="46"/>
        <v>0.23119191043410006</v>
      </c>
      <c r="T93" s="30">
        <f t="shared" si="46"/>
        <v>0.23119191043410006</v>
      </c>
      <c r="U93" s="30">
        <f t="shared" si="46"/>
        <v>0.23119191043410006</v>
      </c>
      <c r="V93" s="30">
        <f t="shared" si="46"/>
        <v>0.23119191043410006</v>
      </c>
      <c r="W93" s="30">
        <f t="shared" si="46"/>
        <v>0.23119191043410006</v>
      </c>
      <c r="X93" s="30">
        <f t="shared" si="46"/>
        <v>0.23119191043410006</v>
      </c>
      <c r="Y93" s="30">
        <f t="shared" si="46"/>
        <v>0.23119191043410006</v>
      </c>
      <c r="Z93" s="30">
        <f t="shared" si="46"/>
        <v>0.23119191043410006</v>
      </c>
      <c r="AA93" s="30">
        <f t="shared" si="46"/>
        <v>0.23119191043410006</v>
      </c>
      <c r="AB93" s="30">
        <f t="shared" si="46"/>
        <v>0.23119191043410006</v>
      </c>
      <c r="AC93" s="30">
        <f t="shared" si="46"/>
        <v>0.23119191043410006</v>
      </c>
      <c r="AD93" s="30">
        <f t="shared" si="46"/>
        <v>0</v>
      </c>
    </row>
    <row r="94" spans="2:32">
      <c r="D94" s="12" t="s">
        <v>301</v>
      </c>
      <c r="E94" s="30">
        <f>+'Feed and Fodder (E) Zone.1'!E43*'Feed and Fodder (E) Zone.1'!$C$85*'Feed and Fodder (E) Zone.1'!E83</f>
        <v>0</v>
      </c>
      <c r="F94" s="30">
        <f>+'Feed and Fodder (E) Zone.1'!F43*'Feed and Fodder (E) Zone.1'!$C$85*'Feed and Fodder (E) Zone.1'!F83</f>
        <v>0</v>
      </c>
      <c r="G94" s="30">
        <f>+'Feed and Fodder (E) Zone.1'!G43*'Feed and Fodder (E) Zone.1'!$C$85*'Feed and Fodder (E) Zone.1'!G83</f>
        <v>7.8751657487343752E-4</v>
      </c>
      <c r="H94" s="30">
        <f>+'Feed and Fodder (E) Zone.1'!H43*'Feed and Fodder (E) Zone.1'!$C$85*'Feed and Fodder (E) Zone.1'!H83</f>
        <v>5.0503087230750008E-3</v>
      </c>
      <c r="I94" s="30">
        <f>+'Feed and Fodder (E) Zone.1'!I43*'Feed and Fodder (E) Zone.1'!$C$85*'Feed and Fodder (E) Zone.1'!I83</f>
        <v>2.1253382542940624E-2</v>
      </c>
      <c r="J94" s="30">
        <f>+'Feed and Fodder (E) Zone.1'!J43*'Feed and Fodder (E) Zone.1'!$C$85*'Feed and Fodder (E) Zone.1'!J83</f>
        <v>5.8489206731733738E-2</v>
      </c>
      <c r="K94" s="30">
        <f>+'Feed and Fodder (E) Zone.1'!K43*'Feed and Fodder (E) Zone.1'!$C$85*'Feed and Fodder (E) Zone.1'!K83</f>
        <v>0.11559595521705</v>
      </c>
      <c r="L94" s="30">
        <f>+'Feed and Fodder (E) Zone.1'!L43*'Feed and Fodder (E) Zone.1'!$C$85*'Feed and Fodder (E) Zone.1'!L83</f>
        <v>0.1647242361842963</v>
      </c>
      <c r="M94" s="30">
        <f>+'Feed and Fodder (E) Zone.1'!M43*'Feed and Fodder (E) Zone.1'!$C$85*'Feed and Fodder (E) Zone.1'!M83</f>
        <v>0.20229292162983753</v>
      </c>
      <c r="N94" s="30">
        <f>+'Feed and Fodder (E) Zone.1'!N43*'Feed and Fodder (E) Zone.1'!$C$85*'Feed and Fodder (E) Zone.1'!N83</f>
        <v>0.22541211267324754</v>
      </c>
      <c r="O94" s="30">
        <f>+'Feed and Fodder (E) Zone.1'!O43*'Feed and Fodder (E) Zone.1'!$C$85*'Feed and Fodder (E) Zone.1'!O83</f>
        <v>0.23119191043410006</v>
      </c>
      <c r="P94" s="30">
        <f>+'Feed and Fodder (E) Zone.1'!P43*'Feed and Fodder (E) Zone.1'!$C$85*'Feed and Fodder (E) Zone.1'!P83</f>
        <v>0.23119191043410006</v>
      </c>
      <c r="Q94" s="30">
        <f>+'Feed and Fodder (E) Zone.1'!Q43*'Feed and Fodder (E) Zone.1'!$C$85*'Feed and Fodder (E) Zone.1'!Q83</f>
        <v>0.23119191043410006</v>
      </c>
      <c r="R94" s="30">
        <f>+'Feed and Fodder (E) Zone.1'!R43*'Feed and Fodder (E) Zone.1'!$C$85*'Feed and Fodder (E) Zone.1'!R83</f>
        <v>0.23119191043410006</v>
      </c>
      <c r="S94" s="30">
        <f>+'Feed and Fodder (E) Zone.1'!S43*'Feed and Fodder (E) Zone.1'!$C$85*'Feed and Fodder (E) Zone.1'!S83</f>
        <v>0.23119191043410006</v>
      </c>
      <c r="T94" s="30">
        <f>+'Feed and Fodder (E) Zone.1'!T43*'Feed and Fodder (E) Zone.1'!$C$85*'Feed and Fodder (E) Zone.1'!T83</f>
        <v>0.23119191043410006</v>
      </c>
      <c r="U94" s="30">
        <f>+'Feed and Fodder (E) Zone.1'!U43*'Feed and Fodder (E) Zone.1'!$C$85*'Feed and Fodder (E) Zone.1'!U83</f>
        <v>0.23119191043410006</v>
      </c>
      <c r="V94" s="30">
        <f>+'Feed and Fodder (E) Zone.1'!V43*'Feed and Fodder (E) Zone.1'!$C$85*'Feed and Fodder (E) Zone.1'!V83</f>
        <v>0.23119191043410006</v>
      </c>
      <c r="W94" s="30">
        <f>+'Feed and Fodder (E) Zone.1'!W43*'Feed and Fodder (E) Zone.1'!$C$85*'Feed and Fodder (E) Zone.1'!W83</f>
        <v>0.23119191043410006</v>
      </c>
      <c r="X94" s="30">
        <f>+'Feed and Fodder (E) Zone.1'!X43*'Feed and Fodder (E) Zone.1'!$C$85*'Feed and Fodder (E) Zone.1'!X83</f>
        <v>0.23119191043410006</v>
      </c>
      <c r="Y94" s="30">
        <f>+'Feed and Fodder (E) Zone.1'!Y43*'Feed and Fodder (E) Zone.1'!$C$85*'Feed and Fodder (E) Zone.1'!Y83</f>
        <v>0.23119191043410006</v>
      </c>
      <c r="Z94" s="30">
        <f>+'Feed and Fodder (E) Zone.1'!Z43*'Feed and Fodder (E) Zone.1'!$C$85*'Feed and Fodder (E) Zone.1'!Z83</f>
        <v>0.23119191043410006</v>
      </c>
      <c r="AA94" s="30">
        <f>+'Feed and Fodder (E) Zone.1'!AA43*'Feed and Fodder (E) Zone.1'!$C$85*'Feed and Fodder (E) Zone.1'!AA83</f>
        <v>0.23119191043410006</v>
      </c>
      <c r="AB94" s="30">
        <f>+'Feed and Fodder (E) Zone.1'!AB43*'Feed and Fodder (E) Zone.1'!$C$85*'Feed and Fodder (E) Zone.1'!AB83</f>
        <v>0.23119191043410006</v>
      </c>
      <c r="AC94" s="30">
        <f>+'Feed and Fodder (E) Zone.1'!AC43*'Feed and Fodder (E) Zone.1'!$C$85*'Feed and Fodder (E) Zone.1'!AC83</f>
        <v>0.23119191043410006</v>
      </c>
      <c r="AD94" s="30">
        <f>+'Feed and Fodder (E) Zone.1'!AD43*'Feed and Fodder (E) Zone.1'!$C$85*'Feed and Fodder (E) Zone.1'!AD83</f>
        <v>0</v>
      </c>
    </row>
    <row r="96" spans="2:32">
      <c r="E96" s="30">
        <f>+SUM(E93:E94)</f>
        <v>0</v>
      </c>
      <c r="F96" s="30">
        <f t="shared" ref="F96:AD96" si="47">+SUM(F93:F94)</f>
        <v>0</v>
      </c>
      <c r="G96" s="30">
        <f t="shared" si="47"/>
        <v>1.575033149746875E-3</v>
      </c>
      <c r="H96" s="30">
        <f t="shared" si="47"/>
        <v>1.0100617446150002E-2</v>
      </c>
      <c r="I96" s="30">
        <f t="shared" si="47"/>
        <v>4.2506765085881248E-2</v>
      </c>
      <c r="J96" s="30">
        <f t="shared" si="47"/>
        <v>0.11697841346346748</v>
      </c>
      <c r="K96" s="30">
        <f t="shared" si="47"/>
        <v>0.23119191043410001</v>
      </c>
      <c r="L96" s="30">
        <f t="shared" si="47"/>
        <v>0.32944847236859259</v>
      </c>
      <c r="M96" s="30">
        <f t="shared" si="47"/>
        <v>0.40458584325967506</v>
      </c>
      <c r="N96" s="30">
        <f t="shared" si="47"/>
        <v>0.45082422534649508</v>
      </c>
      <c r="O96" s="202">
        <f t="shared" si="47"/>
        <v>0.46238382086820012</v>
      </c>
      <c r="P96" s="30">
        <f t="shared" si="47"/>
        <v>0.46238382086820012</v>
      </c>
      <c r="Q96" s="30">
        <f t="shared" si="47"/>
        <v>0.46238382086820012</v>
      </c>
      <c r="R96" s="30">
        <f t="shared" si="47"/>
        <v>0.46238382086820012</v>
      </c>
      <c r="S96" s="30">
        <f t="shared" si="47"/>
        <v>0.46238382086820012</v>
      </c>
      <c r="T96" s="30">
        <f t="shared" si="47"/>
        <v>0.46238382086820012</v>
      </c>
      <c r="U96" s="30">
        <f t="shared" si="47"/>
        <v>0.46238382086820012</v>
      </c>
      <c r="V96" s="30">
        <f t="shared" si="47"/>
        <v>0.46238382086820012</v>
      </c>
      <c r="W96" s="30">
        <f t="shared" si="47"/>
        <v>0.46238382086820012</v>
      </c>
      <c r="X96" s="30">
        <f t="shared" si="47"/>
        <v>0.46238382086820012</v>
      </c>
      <c r="Y96" s="30">
        <f t="shared" si="47"/>
        <v>0.46238382086820012</v>
      </c>
      <c r="Z96" s="30">
        <f t="shared" si="47"/>
        <v>0.46238382086820012</v>
      </c>
      <c r="AA96" s="30">
        <f t="shared" si="47"/>
        <v>0.46238382086820012</v>
      </c>
      <c r="AB96" s="30">
        <f t="shared" si="47"/>
        <v>0.46238382086820012</v>
      </c>
      <c r="AC96" s="30">
        <f t="shared" si="47"/>
        <v>0.46238382086820012</v>
      </c>
      <c r="AD96" s="30">
        <f t="shared" si="47"/>
        <v>0</v>
      </c>
    </row>
    <row r="98" spans="2:30">
      <c r="B98" s="12" t="s">
        <v>304</v>
      </c>
      <c r="E98" s="107">
        <f>'Feed and Fodder (F) Zone.1'!$E$59</f>
        <v>0.1</v>
      </c>
      <c r="F98" s="12" t="e">
        <f t="shared" ref="F98:AD98" si="48">+F93/F96</f>
        <v>#DIV/0!</v>
      </c>
      <c r="G98" s="12">
        <f t="shared" si="48"/>
        <v>0.5</v>
      </c>
      <c r="H98" s="12">
        <f t="shared" si="48"/>
        <v>0.5</v>
      </c>
      <c r="I98" s="12">
        <f t="shared" si="48"/>
        <v>0.5</v>
      </c>
      <c r="J98" s="12">
        <f t="shared" si="48"/>
        <v>0.5</v>
      </c>
      <c r="K98" s="12">
        <f t="shared" si="48"/>
        <v>0.5</v>
      </c>
      <c r="L98" s="12">
        <f t="shared" si="48"/>
        <v>0.5</v>
      </c>
      <c r="M98" s="12">
        <f t="shared" si="48"/>
        <v>0.5</v>
      </c>
      <c r="N98" s="12">
        <f t="shared" si="48"/>
        <v>0.5</v>
      </c>
      <c r="O98" s="12">
        <f t="shared" si="48"/>
        <v>0.5</v>
      </c>
      <c r="P98" s="12">
        <f t="shared" si="48"/>
        <v>0.5</v>
      </c>
      <c r="Q98" s="12">
        <f t="shared" si="48"/>
        <v>0.5</v>
      </c>
      <c r="R98" s="12">
        <f t="shared" si="48"/>
        <v>0.5</v>
      </c>
      <c r="S98" s="12">
        <f t="shared" si="48"/>
        <v>0.5</v>
      </c>
      <c r="T98" s="12">
        <f t="shared" si="48"/>
        <v>0.5</v>
      </c>
      <c r="U98" s="12">
        <f t="shared" si="48"/>
        <v>0.5</v>
      </c>
      <c r="V98" s="12">
        <f t="shared" si="48"/>
        <v>0.5</v>
      </c>
      <c r="W98" s="12">
        <f t="shared" si="48"/>
        <v>0.5</v>
      </c>
      <c r="X98" s="12">
        <f t="shared" si="48"/>
        <v>0.5</v>
      </c>
      <c r="Y98" s="12">
        <f t="shared" si="48"/>
        <v>0.5</v>
      </c>
      <c r="Z98" s="12">
        <f t="shared" si="48"/>
        <v>0.5</v>
      </c>
      <c r="AA98" s="12">
        <f t="shared" si="48"/>
        <v>0.5</v>
      </c>
      <c r="AB98" s="12">
        <f t="shared" si="48"/>
        <v>0.5</v>
      </c>
      <c r="AC98" s="12">
        <f t="shared" si="48"/>
        <v>0.5</v>
      </c>
      <c r="AD98" s="12" t="e">
        <f t="shared" si="48"/>
        <v>#DIV/0!</v>
      </c>
    </row>
    <row r="99" spans="2:30">
      <c r="E99" s="12" t="e">
        <f>+E94/E96</f>
        <v>#DIV/0!</v>
      </c>
      <c r="F99" s="12" t="e">
        <f t="shared" ref="F99:AD99" si="49">+F94/F96</f>
        <v>#DIV/0!</v>
      </c>
      <c r="G99" s="12">
        <f t="shared" si="49"/>
        <v>0.5</v>
      </c>
      <c r="H99" s="12">
        <f t="shared" si="49"/>
        <v>0.5</v>
      </c>
      <c r="I99" s="12">
        <f t="shared" si="49"/>
        <v>0.5</v>
      </c>
      <c r="J99" s="12">
        <f t="shared" si="49"/>
        <v>0.5</v>
      </c>
      <c r="K99" s="12">
        <f t="shared" si="49"/>
        <v>0.5</v>
      </c>
      <c r="L99" s="12">
        <f t="shared" si="49"/>
        <v>0.5</v>
      </c>
      <c r="M99" s="12">
        <f t="shared" si="49"/>
        <v>0.5</v>
      </c>
      <c r="N99" s="12">
        <f t="shared" si="49"/>
        <v>0.5</v>
      </c>
      <c r="O99" s="12">
        <f t="shared" si="49"/>
        <v>0.5</v>
      </c>
      <c r="P99" s="12">
        <f t="shared" si="49"/>
        <v>0.5</v>
      </c>
      <c r="Q99" s="12">
        <f t="shared" si="49"/>
        <v>0.5</v>
      </c>
      <c r="R99" s="12">
        <f t="shared" si="49"/>
        <v>0.5</v>
      </c>
      <c r="S99" s="12">
        <f t="shared" si="49"/>
        <v>0.5</v>
      </c>
      <c r="T99" s="12">
        <f t="shared" si="49"/>
        <v>0.5</v>
      </c>
      <c r="U99" s="12">
        <f t="shared" si="49"/>
        <v>0.5</v>
      </c>
      <c r="V99" s="12">
        <f t="shared" si="49"/>
        <v>0.5</v>
      </c>
      <c r="W99" s="12">
        <f t="shared" si="49"/>
        <v>0.5</v>
      </c>
      <c r="X99" s="12">
        <f t="shared" si="49"/>
        <v>0.5</v>
      </c>
      <c r="Y99" s="12">
        <f t="shared" si="49"/>
        <v>0.5</v>
      </c>
      <c r="Z99" s="12">
        <f t="shared" si="49"/>
        <v>0.5</v>
      </c>
      <c r="AA99" s="12">
        <f t="shared" si="49"/>
        <v>0.5</v>
      </c>
      <c r="AB99" s="12">
        <f t="shared" si="49"/>
        <v>0.5</v>
      </c>
      <c r="AC99" s="12">
        <f t="shared" si="49"/>
        <v>0.5</v>
      </c>
      <c r="AD99" s="12" t="e">
        <f t="shared" si="49"/>
        <v>#DIV/0!</v>
      </c>
    </row>
    <row r="101" spans="2:30">
      <c r="O101" s="12">
        <f>+O96*3064</f>
        <v>1416.7440271401651</v>
      </c>
    </row>
  </sheetData>
  <pageMargins left="0.75" right="0.75" top="1" bottom="1" header="0.5" footer="0.5"/>
  <pageSetup orientation="portrait" verticalDpi="3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BMC and Milk Procurement</vt:lpstr>
      <vt:lpstr>Comp B-BMC</vt:lpstr>
      <vt:lpstr>Feed and Fodder</vt:lpstr>
      <vt:lpstr>Feed and Fodder (F) Zone.1</vt:lpstr>
      <vt:lpstr>Feed and Fodder (F) Zone.2</vt:lpstr>
      <vt:lpstr>Feed and Fodder (E) Zone.1</vt:lpstr>
      <vt:lpstr>Feed and Fodder (E) Zone.2</vt:lpstr>
      <vt:lpstr>'Feed and Fodder'!Print_Area</vt:lpstr>
      <vt:lpstr>'Feed and Fodder'!Print_Titles</vt:lpstr>
    </vt:vector>
  </TitlesOfParts>
  <Company>IRMA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Jain</dc:creator>
  <cp:lastModifiedBy>Selva</cp:lastModifiedBy>
  <cp:lastPrinted>2011-02-23T10:04:30Z</cp:lastPrinted>
  <dcterms:created xsi:type="dcterms:W3CDTF">2010-07-16T06:09:31Z</dcterms:created>
  <dcterms:modified xsi:type="dcterms:W3CDTF">2011-09-18T11:51:18Z</dcterms:modified>
</cp:coreProperties>
</file>