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WORLD BANK DOCUMENTS\NDDB NDSP\ECONOMIC ANALYSIS\NDSP EFA FILES KAHNU\"/>
    </mc:Choice>
  </mc:AlternateContent>
  <bookViews>
    <workbookView xWindow="120" yWindow="15" windowWidth="15030" windowHeight="7380" tabRatio="1000"/>
  </bookViews>
  <sheets>
    <sheet name="Productivity" sheetId="24" r:id="rId1"/>
    <sheet name="Assumptions" sheetId="3" r:id="rId2"/>
    <sheet name="Summary" sheetId="11" r:id="rId3"/>
    <sheet name="NDSP Bull,SS,AI" sheetId="1" r:id="rId4"/>
    <sheet name="NDSP Bull, SS &amp; Non-NDSP AI" sheetId="18" r:id="rId5"/>
    <sheet name="NDSP-Bull &amp; Non-NDSP SS,AI" sheetId="19" r:id="rId6"/>
    <sheet name="NDSP - Bull &amp; Semen" sheetId="10" state="hidden" r:id="rId7"/>
    <sheet name="NDP Bull reqts." sheetId="9" state="hidden" r:id="rId8"/>
    <sheet name="NDSP-SS,Non-NDSP bull,AI" sheetId="22" r:id="rId9"/>
    <sheet name="Bull no. &amp; Semen Production" sheetId="20" r:id="rId10"/>
    <sheet name="Semen production" sheetId="21" r:id="rId11"/>
  </sheets>
  <externalReferences>
    <externalReference r:id="rId12"/>
  </externalReferences>
  <calcPr calcId="152511"/>
</workbook>
</file>

<file path=xl/calcChain.xml><?xml version="1.0" encoding="utf-8"?>
<calcChain xmlns="http://schemas.openxmlformats.org/spreadsheetml/2006/main">
  <c r="F307" i="24" l="1"/>
  <c r="G285" i="24" l="1"/>
  <c r="G286" i="24" s="1"/>
  <c r="G287" i="24" s="1"/>
  <c r="G288" i="24" s="1"/>
  <c r="G289" i="24" s="1"/>
  <c r="G290" i="24" s="1"/>
  <c r="G291" i="24" s="1"/>
  <c r="G292" i="24" s="1"/>
  <c r="G293" i="24" s="1"/>
  <c r="G294" i="24" s="1"/>
  <c r="G295" i="24" s="1"/>
  <c r="G296" i="24" s="1"/>
  <c r="G297" i="24" s="1"/>
  <c r="G298" i="24" s="1"/>
  <c r="G299" i="24" s="1"/>
  <c r="G300" i="24" s="1"/>
  <c r="G301" i="24" s="1"/>
  <c r="G302" i="24" s="1"/>
  <c r="G303" i="24" s="1"/>
  <c r="G304" i="24" s="1"/>
  <c r="AE264" i="24" l="1"/>
  <c r="AD262" i="24"/>
  <c r="AD263" i="24"/>
  <c r="AD264" i="24"/>
  <c r="AD261" i="24"/>
  <c r="AI254" i="24"/>
  <c r="AH251" i="24" l="1"/>
  <c r="AF261" i="24" s="1"/>
  <c r="AG252" i="24"/>
  <c r="AG251" i="24"/>
  <c r="AG249" i="24"/>
  <c r="AG254" i="24" s="1"/>
  <c r="AH249" i="24"/>
  <c r="AH254" i="24" s="1"/>
  <c r="AF253" i="24"/>
  <c r="AF249" i="24"/>
  <c r="AF252" i="24" s="1"/>
  <c r="AE249" i="24"/>
  <c r="AE252" i="24" s="1"/>
  <c r="AF254" i="24" l="1"/>
  <c r="AH252" i="24"/>
  <c r="AF262" i="24" s="1"/>
  <c r="AE253" i="24"/>
  <c r="AE251" i="24"/>
  <c r="AF251" i="24"/>
  <c r="AG253" i="24"/>
  <c r="AH253" i="24"/>
  <c r="AF263" i="24" s="1"/>
  <c r="AF264" i="24"/>
  <c r="AH261" i="24" s="1"/>
  <c r="AE254" i="24"/>
  <c r="AH263" i="24" l="1"/>
  <c r="AH262" i="24"/>
  <c r="U238" i="24" l="1"/>
  <c r="T241" i="24"/>
  <c r="T236" i="24"/>
  <c r="U236" i="24"/>
  <c r="U237" i="24"/>
  <c r="R237" i="24"/>
  <c r="R236" i="24"/>
  <c r="J345" i="24"/>
  <c r="K345" i="24" s="1"/>
  <c r="J349" i="24"/>
  <c r="K349" i="24" s="1"/>
  <c r="J353" i="24"/>
  <c r="K353" i="24" s="1"/>
  <c r="J357" i="24"/>
  <c r="K357" i="24" s="1"/>
  <c r="J361" i="24"/>
  <c r="K361" i="24" s="1"/>
  <c r="J365" i="24"/>
  <c r="K365" i="24" s="1"/>
  <c r="I343" i="24"/>
  <c r="J343" i="24" s="1"/>
  <c r="K343" i="24" s="1"/>
  <c r="I344" i="24"/>
  <c r="J344" i="24" s="1"/>
  <c r="K344" i="24" s="1"/>
  <c r="I345" i="24"/>
  <c r="I346" i="24"/>
  <c r="J346" i="24" s="1"/>
  <c r="K346" i="24" s="1"/>
  <c r="I347" i="24"/>
  <c r="J347" i="24" s="1"/>
  <c r="K347" i="24" s="1"/>
  <c r="I348" i="24"/>
  <c r="J348" i="24" s="1"/>
  <c r="K348" i="24" s="1"/>
  <c r="I349" i="24"/>
  <c r="I350" i="24"/>
  <c r="J350" i="24" s="1"/>
  <c r="K350" i="24" s="1"/>
  <c r="I351" i="24"/>
  <c r="J351" i="24" s="1"/>
  <c r="K351" i="24" s="1"/>
  <c r="I352" i="24"/>
  <c r="J352" i="24" s="1"/>
  <c r="K352" i="24" s="1"/>
  <c r="I353" i="24"/>
  <c r="I354" i="24"/>
  <c r="J354" i="24" s="1"/>
  <c r="K354" i="24" s="1"/>
  <c r="I355" i="24"/>
  <c r="J355" i="24" s="1"/>
  <c r="K355" i="24" s="1"/>
  <c r="I356" i="24"/>
  <c r="J356" i="24" s="1"/>
  <c r="K356" i="24" s="1"/>
  <c r="I357" i="24"/>
  <c r="I358" i="24"/>
  <c r="J358" i="24" s="1"/>
  <c r="K358" i="24" s="1"/>
  <c r="I359" i="24"/>
  <c r="J359" i="24" s="1"/>
  <c r="K359" i="24" s="1"/>
  <c r="I360" i="24"/>
  <c r="J360" i="24" s="1"/>
  <c r="K360" i="24" s="1"/>
  <c r="I361" i="24"/>
  <c r="I362" i="24"/>
  <c r="J362" i="24" s="1"/>
  <c r="K362" i="24" s="1"/>
  <c r="I363" i="24"/>
  <c r="J363" i="24" s="1"/>
  <c r="K363" i="24" s="1"/>
  <c r="I364" i="24"/>
  <c r="J364" i="24" s="1"/>
  <c r="K364" i="24" s="1"/>
  <c r="I365" i="24"/>
  <c r="I366" i="24"/>
  <c r="J366" i="24" s="1"/>
  <c r="K366" i="24" s="1"/>
  <c r="I342" i="24"/>
  <c r="J342" i="24" s="1"/>
  <c r="K342" i="24" s="1"/>
  <c r="F366" i="24"/>
  <c r="F365" i="24"/>
  <c r="F364" i="24"/>
  <c r="F363" i="24"/>
  <c r="F362" i="24"/>
  <c r="F361" i="24"/>
  <c r="F360" i="24"/>
  <c r="F359" i="24"/>
  <c r="F358" i="24"/>
  <c r="F357" i="24"/>
  <c r="F356" i="24"/>
  <c r="F355" i="24"/>
  <c r="F354" i="24"/>
  <c r="F353" i="24"/>
  <c r="F352" i="24"/>
  <c r="F351" i="24"/>
  <c r="F350" i="24"/>
  <c r="F349" i="24"/>
  <c r="F348" i="24"/>
  <c r="F347" i="24"/>
  <c r="F346" i="24"/>
  <c r="F345" i="24"/>
  <c r="F344" i="24"/>
  <c r="F343" i="24"/>
  <c r="G342" i="24"/>
  <c r="F342" i="24"/>
  <c r="G312" i="24"/>
  <c r="F313" i="24"/>
  <c r="F314" i="24"/>
  <c r="F315" i="24"/>
  <c r="F316" i="24"/>
  <c r="F317" i="24"/>
  <c r="F318" i="24"/>
  <c r="F319" i="24"/>
  <c r="F320" i="24"/>
  <c r="F321" i="24"/>
  <c r="F322" i="24"/>
  <c r="F323" i="24"/>
  <c r="F324" i="24"/>
  <c r="F325" i="24"/>
  <c r="F326" i="24"/>
  <c r="F327" i="24"/>
  <c r="F328" i="24"/>
  <c r="F329" i="24"/>
  <c r="F330" i="24"/>
  <c r="F331" i="24"/>
  <c r="F332" i="24"/>
  <c r="F333" i="24"/>
  <c r="F334" i="24"/>
  <c r="F335" i="24"/>
  <c r="F336" i="24"/>
  <c r="F312" i="24"/>
  <c r="C222" i="24" l="1"/>
  <c r="D222" i="24" s="1"/>
  <c r="E222" i="24" s="1"/>
  <c r="F222" i="24" s="1"/>
  <c r="G222" i="24" s="1"/>
  <c r="H222" i="24" s="1"/>
  <c r="I222" i="24" s="1"/>
  <c r="J222" i="24" s="1"/>
  <c r="K222" i="24" s="1"/>
  <c r="L222" i="24" s="1"/>
  <c r="M222" i="24" s="1"/>
  <c r="N222" i="24" s="1"/>
  <c r="O222" i="24" s="1"/>
  <c r="P222" i="24" s="1"/>
  <c r="Q222" i="24" s="1"/>
  <c r="R222" i="24" s="1"/>
  <c r="S222" i="24" s="1"/>
  <c r="T222" i="24" s="1"/>
  <c r="U222" i="24" s="1"/>
  <c r="V222" i="24" s="1"/>
  <c r="W222" i="24" s="1"/>
  <c r="X222" i="24" s="1"/>
  <c r="Y222" i="24" s="1"/>
  <c r="Z222" i="24" s="1"/>
  <c r="AA222" i="24" s="1"/>
  <c r="B265" i="24" l="1"/>
  <c r="E250" i="24"/>
  <c r="E255" i="24" s="1"/>
  <c r="E249" i="24"/>
  <c r="E254" i="24" s="1"/>
  <c r="D249" i="24"/>
  <c r="D250" i="24"/>
  <c r="C249" i="24"/>
  <c r="B263" i="24" s="1"/>
  <c r="C250" i="24"/>
  <c r="C248" i="24"/>
  <c r="B262" i="24" s="1"/>
  <c r="A226" i="24"/>
  <c r="A227" i="24"/>
  <c r="A228" i="24"/>
  <c r="A229" i="24"/>
  <c r="A230" i="24"/>
  <c r="A225" i="24"/>
  <c r="AE206" i="24"/>
  <c r="AD206" i="24"/>
  <c r="AE205" i="24"/>
  <c r="AD205" i="24"/>
  <c r="AD190" i="24"/>
  <c r="AE203" i="24" s="1"/>
  <c r="G163" i="24"/>
  <c r="G186" i="24" s="1"/>
  <c r="G193" i="24" s="1"/>
  <c r="F163" i="24"/>
  <c r="F186" i="24" s="1"/>
  <c r="F193" i="24" s="1"/>
  <c r="E163" i="24"/>
  <c r="E186" i="24" s="1"/>
  <c r="E193" i="24" s="1"/>
  <c r="D163" i="24"/>
  <c r="D186" i="24" s="1"/>
  <c r="D193" i="24" s="1"/>
  <c r="C163" i="24"/>
  <c r="C186" i="24" s="1"/>
  <c r="C193" i="24" s="1"/>
  <c r="F162" i="24"/>
  <c r="F185" i="24" s="1"/>
  <c r="F192" i="24" s="1"/>
  <c r="E162" i="24"/>
  <c r="E185" i="24" s="1"/>
  <c r="E192" i="24" s="1"/>
  <c r="D162" i="24"/>
  <c r="D185" i="24" s="1"/>
  <c r="D192" i="24" s="1"/>
  <c r="C162" i="24"/>
  <c r="C185" i="24" s="1"/>
  <c r="C192" i="24" s="1"/>
  <c r="F161" i="24"/>
  <c r="F184" i="24" s="1"/>
  <c r="F191" i="24" s="1"/>
  <c r="E161" i="24"/>
  <c r="E184" i="24" s="1"/>
  <c r="E191" i="24" s="1"/>
  <c r="D161" i="24"/>
  <c r="D184" i="24" s="1"/>
  <c r="D191" i="24" s="1"/>
  <c r="C161" i="24"/>
  <c r="C184" i="24" s="1"/>
  <c r="C191" i="24" s="1"/>
  <c r="G160" i="24"/>
  <c r="G183" i="24" s="1"/>
  <c r="G190" i="24" s="1"/>
  <c r="F160" i="24"/>
  <c r="E160" i="24"/>
  <c r="E183" i="24" s="1"/>
  <c r="E190" i="24" s="1"/>
  <c r="D160" i="24"/>
  <c r="C160" i="24"/>
  <c r="C183" i="24" s="1"/>
  <c r="C190" i="24" s="1"/>
  <c r="G156" i="24"/>
  <c r="G179" i="24" s="1"/>
  <c r="F156" i="24"/>
  <c r="F179" i="24" s="1"/>
  <c r="E156" i="24"/>
  <c r="E179" i="24" s="1"/>
  <c r="D156" i="24"/>
  <c r="D179" i="24" s="1"/>
  <c r="C156" i="24"/>
  <c r="C179" i="24" s="1"/>
  <c r="F155" i="24"/>
  <c r="F178" i="24" s="1"/>
  <c r="E155" i="24"/>
  <c r="E178" i="24" s="1"/>
  <c r="D155" i="24"/>
  <c r="D178" i="24" s="1"/>
  <c r="C155" i="24"/>
  <c r="C178" i="24" s="1"/>
  <c r="F154" i="24"/>
  <c r="F177" i="24" s="1"/>
  <c r="E154" i="24"/>
  <c r="E177" i="24" s="1"/>
  <c r="D154" i="24"/>
  <c r="D177" i="24" s="1"/>
  <c r="C154" i="24"/>
  <c r="C177" i="24" s="1"/>
  <c r="G153" i="24"/>
  <c r="G176" i="24" s="1"/>
  <c r="F153" i="24"/>
  <c r="F176" i="24" s="1"/>
  <c r="E153" i="24"/>
  <c r="E176" i="24" s="1"/>
  <c r="D153" i="24"/>
  <c r="D176" i="24" s="1"/>
  <c r="C153" i="24"/>
  <c r="C176" i="24" s="1"/>
  <c r="F135" i="24"/>
  <c r="E135" i="24"/>
  <c r="D135" i="24"/>
  <c r="C135" i="24"/>
  <c r="C134" i="24"/>
  <c r="C136" i="24" s="1"/>
  <c r="C101" i="24"/>
  <c r="H26" i="24"/>
  <c r="G26" i="24"/>
  <c r="F26" i="24"/>
  <c r="E26" i="24"/>
  <c r="D26" i="24"/>
  <c r="C26" i="24"/>
  <c r="J25" i="24"/>
  <c r="J26" i="24" s="1"/>
  <c r="I25" i="24"/>
  <c r="I26" i="24" s="1"/>
  <c r="E22" i="24"/>
  <c r="D22" i="24"/>
  <c r="C22" i="24"/>
  <c r="D20" i="24"/>
  <c r="C20" i="24"/>
  <c r="C31" i="24" s="1"/>
  <c r="E16" i="24"/>
  <c r="D16" i="24"/>
  <c r="C16" i="24"/>
  <c r="E15" i="24"/>
  <c r="D15" i="24"/>
  <c r="C15" i="24"/>
  <c r="E14" i="24"/>
  <c r="D14" i="24"/>
  <c r="C14" i="24"/>
  <c r="E13" i="24"/>
  <c r="D13" i="24"/>
  <c r="C13" i="24"/>
  <c r="E12" i="24"/>
  <c r="D12" i="24"/>
  <c r="C12" i="24"/>
  <c r="G11" i="24"/>
  <c r="H16" i="24" s="1"/>
  <c r="H17" i="24" s="1"/>
  <c r="D180" i="24" l="1"/>
  <c r="D267" i="24" s="1"/>
  <c r="F180" i="24"/>
  <c r="F267" i="24" s="1"/>
  <c r="D164" i="24"/>
  <c r="F164" i="24"/>
  <c r="F187" i="24" s="1"/>
  <c r="F194" i="24" s="1"/>
  <c r="I76" i="24"/>
  <c r="I30" i="24"/>
  <c r="J76" i="24"/>
  <c r="J30" i="24"/>
  <c r="D106" i="24"/>
  <c r="D77" i="24"/>
  <c r="C76" i="24"/>
  <c r="D82" i="24" s="1"/>
  <c r="E76" i="24"/>
  <c r="G76" i="24"/>
  <c r="K25" i="24"/>
  <c r="C30" i="24"/>
  <c r="E30" i="24"/>
  <c r="G30" i="24"/>
  <c r="C106" i="24"/>
  <c r="E106" i="24" s="1"/>
  <c r="C77" i="24"/>
  <c r="E77" i="24" s="1"/>
  <c r="B140" i="24" s="1"/>
  <c r="D76" i="24"/>
  <c r="E82" i="24" s="1"/>
  <c r="F76" i="24"/>
  <c r="G82" i="24" s="1"/>
  <c r="H76" i="24"/>
  <c r="I82" i="24" s="1"/>
  <c r="D30" i="24"/>
  <c r="F30" i="24"/>
  <c r="H30" i="24"/>
  <c r="D31" i="24"/>
  <c r="E31" i="24" s="1"/>
  <c r="C180" i="24"/>
  <c r="C267" i="24" s="1"/>
  <c r="E180" i="24"/>
  <c r="E267" i="24" s="1"/>
  <c r="D187" i="24"/>
  <c r="D194" i="24" s="1"/>
  <c r="C157" i="24"/>
  <c r="C158" i="24" s="1"/>
  <c r="E157" i="24"/>
  <c r="E158" i="24" s="1"/>
  <c r="C164" i="24"/>
  <c r="E164" i="24"/>
  <c r="D183" i="24"/>
  <c r="D190" i="24" s="1"/>
  <c r="F183" i="24"/>
  <c r="F190" i="24" s="1"/>
  <c r="D157" i="24"/>
  <c r="D158" i="24" s="1"/>
  <c r="D165" i="24" s="1"/>
  <c r="F157" i="24"/>
  <c r="F158" i="24" s="1"/>
  <c r="AD203" i="24"/>
  <c r="AD191" i="24"/>
  <c r="F165" i="24" l="1"/>
  <c r="AD204" i="24"/>
  <c r="AE204" i="24"/>
  <c r="E187" i="24"/>
  <c r="E194" i="24" s="1"/>
  <c r="E165" i="24"/>
  <c r="L25" i="24"/>
  <c r="K26" i="24"/>
  <c r="AD194" i="24"/>
  <c r="AE191" i="24" s="1"/>
  <c r="I36" i="24"/>
  <c r="E36" i="24"/>
  <c r="F36" i="24"/>
  <c r="K82" i="24"/>
  <c r="J36" i="24"/>
  <c r="C187" i="24"/>
  <c r="C194" i="24" s="1"/>
  <c r="C165" i="24"/>
  <c r="I143" i="24"/>
  <c r="I86" i="24"/>
  <c r="G143" i="24"/>
  <c r="G86" i="24"/>
  <c r="E143" i="24"/>
  <c r="E86" i="24"/>
  <c r="D143" i="24"/>
  <c r="D86" i="24"/>
  <c r="G36" i="24"/>
  <c r="H36" i="24"/>
  <c r="D36" i="24"/>
  <c r="H82" i="24"/>
  <c r="F82" i="24"/>
  <c r="K36" i="24"/>
  <c r="J82" i="24"/>
  <c r="F143" i="24" l="1"/>
  <c r="F86" i="24"/>
  <c r="J143" i="24"/>
  <c r="J86" i="24"/>
  <c r="H143" i="24"/>
  <c r="H86" i="24"/>
  <c r="H142" i="24"/>
  <c r="G142" i="24"/>
  <c r="K87" i="24"/>
  <c r="K155" i="24" s="1"/>
  <c r="K178" i="24" s="1"/>
  <c r="I87" i="24"/>
  <c r="I155" i="24" s="1"/>
  <c r="I178" i="24" s="1"/>
  <c r="G87" i="24"/>
  <c r="G155" i="24" s="1"/>
  <c r="G178" i="24" s="1"/>
  <c r="J87" i="24"/>
  <c r="J155" i="24" s="1"/>
  <c r="J178" i="24" s="1"/>
  <c r="H87" i="24"/>
  <c r="H155" i="24" s="1"/>
  <c r="H178" i="24" s="1"/>
  <c r="AF205" i="24" s="1"/>
  <c r="AH205" i="24" s="1"/>
  <c r="J142" i="24"/>
  <c r="F142" i="24"/>
  <c r="I142" i="24"/>
  <c r="K76" i="24"/>
  <c r="L82" i="24" s="1"/>
  <c r="K30" i="24"/>
  <c r="L36" i="24" s="1"/>
  <c r="L87" i="24"/>
  <c r="L155" i="24" s="1"/>
  <c r="L178" i="24" s="1"/>
  <c r="K142" i="24"/>
  <c r="D142" i="24"/>
  <c r="K143" i="24"/>
  <c r="K86" i="24"/>
  <c r="E142" i="24"/>
  <c r="AE192" i="24"/>
  <c r="AD207" i="24"/>
  <c r="AE194" i="24"/>
  <c r="AE193" i="24"/>
  <c r="AE190" i="24"/>
  <c r="L26" i="24"/>
  <c r="M25" i="24"/>
  <c r="AE207" i="24"/>
  <c r="N87" i="24"/>
  <c r="N155" i="24" s="1"/>
  <c r="N178" i="24" s="1"/>
  <c r="L76" i="24" l="1"/>
  <c r="M82" i="24" s="1"/>
  <c r="L30" i="24"/>
  <c r="M36" i="24" s="1"/>
  <c r="N25" i="24"/>
  <c r="M26" i="24"/>
  <c r="L143" i="24"/>
  <c r="L86" i="24"/>
  <c r="O87" i="24"/>
  <c r="O155" i="24" s="1"/>
  <c r="O178" i="24" s="1"/>
  <c r="M87" i="24"/>
  <c r="M155" i="24" s="1"/>
  <c r="M178" i="24" s="1"/>
  <c r="L142" i="24"/>
  <c r="N26" i="24" l="1"/>
  <c r="O25" i="24"/>
  <c r="M143" i="24"/>
  <c r="M86" i="24"/>
  <c r="M76" i="24"/>
  <c r="N82" i="24" s="1"/>
  <c r="M30" i="24"/>
  <c r="N36" i="24" s="1"/>
  <c r="M142" i="24"/>
  <c r="N143" i="24" l="1"/>
  <c r="N86" i="24"/>
  <c r="N142" i="24"/>
  <c r="P25" i="24"/>
  <c r="O26" i="24"/>
  <c r="Q87" i="24"/>
  <c r="Q155" i="24" s="1"/>
  <c r="Q178" i="24" s="1"/>
  <c r="P87" i="24"/>
  <c r="P155" i="24" s="1"/>
  <c r="P178" i="24" s="1"/>
  <c r="N76" i="24"/>
  <c r="O82" i="24" s="1"/>
  <c r="N30" i="24"/>
  <c r="O36" i="24" s="1"/>
  <c r="O143" i="24" l="1"/>
  <c r="O86" i="24"/>
  <c r="O76" i="24"/>
  <c r="P82" i="24" s="1"/>
  <c r="O30" i="24"/>
  <c r="P36" i="24" s="1"/>
  <c r="O142" i="24"/>
  <c r="P26" i="24"/>
  <c r="Q25" i="24"/>
  <c r="R25" i="24" l="1"/>
  <c r="Q26" i="24"/>
  <c r="P76" i="24"/>
  <c r="Q82" i="24" s="1"/>
  <c r="P30" i="24"/>
  <c r="Q36" i="24" s="1"/>
  <c r="P143" i="24"/>
  <c r="P86" i="24"/>
  <c r="R87" i="24"/>
  <c r="R155" i="24" s="1"/>
  <c r="R178" i="24" s="1"/>
  <c r="P142" i="24"/>
  <c r="S87" i="24" l="1"/>
  <c r="S155" i="24" s="1"/>
  <c r="S178" i="24" s="1"/>
  <c r="Q142" i="24"/>
  <c r="R26" i="24"/>
  <c r="S25" i="24"/>
  <c r="Q143" i="24"/>
  <c r="Q86" i="24"/>
  <c r="Q76" i="24"/>
  <c r="R82" i="24" s="1"/>
  <c r="Q30" i="24"/>
  <c r="R36" i="24" s="1"/>
  <c r="R142" i="24" l="1"/>
  <c r="R143" i="24"/>
  <c r="R86" i="24"/>
  <c r="T25" i="24"/>
  <c r="S26" i="24"/>
  <c r="T87" i="24"/>
  <c r="T155" i="24" s="1"/>
  <c r="T178" i="24" s="1"/>
  <c r="U87" i="24"/>
  <c r="U155" i="24" s="1"/>
  <c r="U178" i="24" s="1"/>
  <c r="R76" i="24"/>
  <c r="S82" i="24" s="1"/>
  <c r="R30" i="24"/>
  <c r="S36" i="24" s="1"/>
  <c r="S142" i="24" l="1"/>
  <c r="T26" i="24"/>
  <c r="U25" i="24"/>
  <c r="S143" i="24"/>
  <c r="S86" i="24"/>
  <c r="S76" i="24"/>
  <c r="T82" i="24" s="1"/>
  <c r="S30" i="24"/>
  <c r="T36" i="24" s="1"/>
  <c r="T142" i="24" l="1"/>
  <c r="V87" i="24"/>
  <c r="V155" i="24" s="1"/>
  <c r="V178" i="24" s="1"/>
  <c r="T143" i="24"/>
  <c r="T86" i="24"/>
  <c r="W87" i="24" s="1"/>
  <c r="W155" i="24" s="1"/>
  <c r="W178" i="24" s="1"/>
  <c r="T76" i="24"/>
  <c r="U82" i="24" s="1"/>
  <c r="T30" i="24"/>
  <c r="U36" i="24" s="1"/>
  <c r="V25" i="24"/>
  <c r="U26" i="24"/>
  <c r="V26" i="24" l="1"/>
  <c r="W25" i="24"/>
  <c r="U142" i="24"/>
  <c r="U76" i="24"/>
  <c r="V82" i="24" s="1"/>
  <c r="U30" i="24"/>
  <c r="V36" i="24" s="1"/>
  <c r="U143" i="24"/>
  <c r="U86" i="24"/>
  <c r="V143" i="24" l="1"/>
  <c r="V86" i="24"/>
  <c r="Y87" i="24" s="1"/>
  <c r="Y155" i="24" s="1"/>
  <c r="Y178" i="24" s="1"/>
  <c r="X25" i="24"/>
  <c r="W26" i="24"/>
  <c r="V142" i="24"/>
  <c r="V76" i="24"/>
  <c r="W82" i="24" s="1"/>
  <c r="V30" i="24"/>
  <c r="W36" i="24" s="1"/>
  <c r="X87" i="24"/>
  <c r="X155" i="24" s="1"/>
  <c r="X178" i="24" s="1"/>
  <c r="W142" i="24" l="1"/>
  <c r="W143" i="24"/>
  <c r="W86" i="24"/>
  <c r="Z87" i="24" s="1"/>
  <c r="Z155" i="24" s="1"/>
  <c r="Z178" i="24" s="1"/>
  <c r="X26" i="24"/>
  <c r="Y25" i="24"/>
  <c r="W76" i="24"/>
  <c r="X82" i="24" s="1"/>
  <c r="W30" i="24"/>
  <c r="X36" i="24" s="1"/>
  <c r="X143" i="24" l="1"/>
  <c r="X86" i="24"/>
  <c r="X142" i="24"/>
  <c r="X76" i="24"/>
  <c r="Y82" i="24" s="1"/>
  <c r="X30" i="24"/>
  <c r="Y36" i="24" s="1"/>
  <c r="Z25" i="24"/>
  <c r="Y26" i="24"/>
  <c r="AA87" i="24"/>
  <c r="AA155" i="24" s="1"/>
  <c r="AA178" i="24" s="1"/>
  <c r="Y76" i="24" l="1"/>
  <c r="Z82" i="24" s="1"/>
  <c r="Y30" i="24"/>
  <c r="Z36" i="24" s="1"/>
  <c r="Y142" i="24"/>
  <c r="AG205" i="24"/>
  <c r="AI205" i="24" s="1"/>
  <c r="Z26" i="24"/>
  <c r="AA25" i="24"/>
  <c r="Y143" i="24"/>
  <c r="Y86" i="24"/>
  <c r="AB87" i="24" s="1"/>
  <c r="AB155" i="24" s="1"/>
  <c r="Z76" i="24" l="1"/>
  <c r="AA82" i="24" s="1"/>
  <c r="Z30" i="24"/>
  <c r="AA36" i="24" s="1"/>
  <c r="Z143" i="24"/>
  <c r="Z86" i="24"/>
  <c r="AB25" i="24"/>
  <c r="AB26" i="24" s="1"/>
  <c r="AA26" i="24"/>
  <c r="Z142" i="24"/>
  <c r="AB76" i="24" l="1"/>
  <c r="AB30" i="24"/>
  <c r="AA76" i="24"/>
  <c r="AB82" i="24" s="1"/>
  <c r="AA30" i="24"/>
  <c r="AB36" i="24" s="1"/>
  <c r="AA142" i="24"/>
  <c r="AA143" i="24"/>
  <c r="AA86" i="24"/>
  <c r="AB143" i="24" l="1"/>
  <c r="AB86" i="24"/>
  <c r="AB142" i="24"/>
  <c r="AD205" i="1" l="1"/>
  <c r="AD206" i="1"/>
  <c r="AE205" i="1"/>
  <c r="AE206" i="1"/>
  <c r="AD190" i="1"/>
  <c r="AD191" i="1" l="1"/>
  <c r="AD203" i="1"/>
  <c r="AD194" i="1"/>
  <c r="AE203" i="1"/>
  <c r="D163" i="1"/>
  <c r="D186" i="1" s="1"/>
  <c r="D193" i="1" s="1"/>
  <c r="E163" i="1"/>
  <c r="E186" i="1" s="1"/>
  <c r="E193" i="1" s="1"/>
  <c r="F163" i="1"/>
  <c r="F186" i="1" s="1"/>
  <c r="F193" i="1" s="1"/>
  <c r="G163" i="1"/>
  <c r="G186" i="1" s="1"/>
  <c r="G193" i="1" s="1"/>
  <c r="C163" i="1"/>
  <c r="C186" i="1" s="1"/>
  <c r="C193" i="1" s="1"/>
  <c r="D160" i="1"/>
  <c r="D183" i="1" s="1"/>
  <c r="D190" i="1" s="1"/>
  <c r="E160" i="1"/>
  <c r="E183" i="1" s="1"/>
  <c r="E190" i="1" s="1"/>
  <c r="F160" i="1"/>
  <c r="F183" i="1" s="1"/>
  <c r="F190" i="1" s="1"/>
  <c r="G160" i="1"/>
  <c r="G183" i="1" s="1"/>
  <c r="G190" i="1" s="1"/>
  <c r="D161" i="1"/>
  <c r="D184" i="1" s="1"/>
  <c r="D191" i="1" s="1"/>
  <c r="E161" i="1"/>
  <c r="F161" i="1"/>
  <c r="F184" i="1" s="1"/>
  <c r="F191" i="1" s="1"/>
  <c r="D162" i="1"/>
  <c r="D185" i="1" s="1"/>
  <c r="D192" i="1" s="1"/>
  <c r="E162" i="1"/>
  <c r="E185" i="1" s="1"/>
  <c r="E192" i="1" s="1"/>
  <c r="F162" i="1"/>
  <c r="F185" i="1" s="1"/>
  <c r="F192" i="1" s="1"/>
  <c r="F164" i="1"/>
  <c r="C162" i="1"/>
  <c r="C185" i="1" s="1"/>
  <c r="C192" i="1" s="1"/>
  <c r="C161" i="1"/>
  <c r="C184" i="1" s="1"/>
  <c r="C191" i="1" s="1"/>
  <c r="C160" i="1"/>
  <c r="C183" i="1" s="1"/>
  <c r="C190" i="1" s="1"/>
  <c r="G153" i="1"/>
  <c r="G176" i="1" s="1"/>
  <c r="G156" i="1"/>
  <c r="G179" i="1" s="1"/>
  <c r="E153" i="1"/>
  <c r="E176" i="1" s="1"/>
  <c r="F153" i="1"/>
  <c r="F176" i="1" s="1"/>
  <c r="E154" i="1"/>
  <c r="E177" i="1" s="1"/>
  <c r="F154" i="1"/>
  <c r="F177" i="1" s="1"/>
  <c r="E155" i="1"/>
  <c r="E178" i="1" s="1"/>
  <c r="F155" i="1"/>
  <c r="F178" i="1" s="1"/>
  <c r="E156" i="1"/>
  <c r="E179" i="1" s="1"/>
  <c r="F156" i="1"/>
  <c r="F179" i="1" s="1"/>
  <c r="C153" i="1"/>
  <c r="C176" i="1" s="1"/>
  <c r="C154" i="1"/>
  <c r="C177" i="1" s="1"/>
  <c r="C155" i="1"/>
  <c r="C178" i="1" s="1"/>
  <c r="C156" i="1"/>
  <c r="C179" i="1" s="1"/>
  <c r="D156" i="1"/>
  <c r="D179" i="1" s="1"/>
  <c r="D155" i="1"/>
  <c r="D178" i="1" s="1"/>
  <c r="D154" i="1"/>
  <c r="D177" i="1" s="1"/>
  <c r="D153" i="1"/>
  <c r="D176" i="1" s="1"/>
  <c r="F180" i="1" l="1"/>
  <c r="F187" i="1"/>
  <c r="F194" i="1" s="1"/>
  <c r="F165" i="1"/>
  <c r="C180" i="1"/>
  <c r="E180" i="1"/>
  <c r="F157" i="1"/>
  <c r="F158" i="1" s="1"/>
  <c r="D164" i="1"/>
  <c r="AD207" i="1"/>
  <c r="AE192" i="1"/>
  <c r="AE194" i="1"/>
  <c r="AE193" i="1"/>
  <c r="D180" i="1"/>
  <c r="E157" i="1"/>
  <c r="E158" i="1" s="1"/>
  <c r="E164" i="1"/>
  <c r="E184" i="1"/>
  <c r="E191" i="1" s="1"/>
  <c r="AE204" i="1"/>
  <c r="AE207" i="1" s="1"/>
  <c r="AE191" i="1"/>
  <c r="AD204" i="1"/>
  <c r="C157" i="1"/>
  <c r="C158" i="1" s="1"/>
  <c r="D157" i="1"/>
  <c r="D158" i="1" s="1"/>
  <c r="C164" i="1"/>
  <c r="AE190" i="1"/>
  <c r="G11" i="1"/>
  <c r="H16" i="1" s="1"/>
  <c r="H17" i="1" s="1"/>
  <c r="D165" i="1" l="1"/>
  <c r="D187" i="1"/>
  <c r="D194" i="1" s="1"/>
  <c r="E187" i="1"/>
  <c r="E194" i="1" s="1"/>
  <c r="E165" i="1"/>
  <c r="C187" i="1"/>
  <c r="C194" i="1" s="1"/>
  <c r="C165" i="1"/>
  <c r="D118" i="11" l="1"/>
  <c r="D117" i="11"/>
  <c r="D116" i="11"/>
  <c r="F118" i="11" l="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E118" i="11"/>
  <c r="B117" i="11"/>
  <c r="B129" i="11" s="1"/>
  <c r="B141" i="11" s="1"/>
  <c r="B118" i="11"/>
  <c r="B130" i="11" s="1"/>
  <c r="B142" i="11" s="1"/>
  <c r="B116" i="11"/>
  <c r="B128" i="11" s="1"/>
  <c r="B140" i="11" s="1"/>
  <c r="D24" i="18" l="1"/>
  <c r="E24" i="18"/>
  <c r="C24" i="18"/>
  <c r="D22" i="1"/>
  <c r="E22" i="1"/>
  <c r="C22" i="1"/>
  <c r="G44" i="21"/>
  <c r="G47" i="21" s="1"/>
  <c r="H44" i="21"/>
  <c r="I44" i="21"/>
  <c r="J44" i="21"/>
  <c r="K44" i="21"/>
  <c r="L44" i="21"/>
  <c r="F81" i="11"/>
  <c r="G81" i="11"/>
  <c r="H81" i="11"/>
  <c r="I81" i="11"/>
  <c r="F80" i="11"/>
  <c r="G80" i="11"/>
  <c r="H80" i="11"/>
  <c r="F79" i="11"/>
  <c r="G79" i="11"/>
  <c r="H79" i="11"/>
  <c r="F78" i="11"/>
  <c r="G78" i="11"/>
  <c r="G77" i="11" s="1"/>
  <c r="H78" i="11"/>
  <c r="H77" i="11" s="1"/>
  <c r="I78" i="11"/>
  <c r="E81" i="11"/>
  <c r="E80" i="11"/>
  <c r="E79" i="11"/>
  <c r="E78" i="11"/>
  <c r="H65" i="11"/>
  <c r="E56" i="11"/>
  <c r="E55" i="11"/>
  <c r="E54" i="11"/>
  <c r="E51" i="11"/>
  <c r="E50" i="11"/>
  <c r="E49" i="11"/>
  <c r="E43" i="11"/>
  <c r="E111" i="11" s="1"/>
  <c r="J46" i="21"/>
  <c r="K46" i="21"/>
  <c r="L46" i="21"/>
  <c r="I46" i="21"/>
  <c r="I45" i="21"/>
  <c r="J45" i="21"/>
  <c r="K45" i="21"/>
  <c r="L45" i="21"/>
  <c r="H45" i="21"/>
  <c r="C64" i="22"/>
  <c r="D20" i="22"/>
  <c r="C20" i="22"/>
  <c r="D53" i="22"/>
  <c r="C53" i="22"/>
  <c r="E16" i="22"/>
  <c r="D16" i="22"/>
  <c r="C16" i="22"/>
  <c r="E15" i="22"/>
  <c r="D15" i="22"/>
  <c r="C15" i="22"/>
  <c r="E14" i="22"/>
  <c r="D14" i="22"/>
  <c r="C14" i="22"/>
  <c r="E13" i="22"/>
  <c r="D13" i="22"/>
  <c r="C13" i="22"/>
  <c r="E12" i="22"/>
  <c r="D12" i="22"/>
  <c r="C12" i="22"/>
  <c r="F40" i="21"/>
  <c r="G40" i="21"/>
  <c r="C25" i="18" s="1"/>
  <c r="H40" i="21"/>
  <c r="D25" i="18"/>
  <c r="I40" i="21"/>
  <c r="E25" i="18"/>
  <c r="J40" i="21"/>
  <c r="F25" i="18"/>
  <c r="K40" i="21"/>
  <c r="G25" i="18"/>
  <c r="L40" i="21"/>
  <c r="H25" i="18"/>
  <c r="E40" i="21"/>
  <c r="F31" i="21"/>
  <c r="G31" i="21"/>
  <c r="C26" i="18"/>
  <c r="H31" i="21"/>
  <c r="D26" i="18"/>
  <c r="I31" i="21"/>
  <c r="E26" i="18" s="1"/>
  <c r="J31" i="21"/>
  <c r="F26" i="18" s="1"/>
  <c r="F27" i="18" s="1"/>
  <c r="K31" i="21"/>
  <c r="G26" i="18" s="1"/>
  <c r="L31" i="21"/>
  <c r="H26" i="18" s="1"/>
  <c r="E31" i="21"/>
  <c r="C43" i="20"/>
  <c r="G43" i="20"/>
  <c r="F43" i="20"/>
  <c r="D43" i="20"/>
  <c r="I42" i="20"/>
  <c r="H42" i="20"/>
  <c r="G42" i="20"/>
  <c r="F42" i="20"/>
  <c r="I55" i="20" s="1"/>
  <c r="I68" i="20" s="1"/>
  <c r="C42" i="20"/>
  <c r="I41" i="20"/>
  <c r="H41" i="20"/>
  <c r="G41" i="20"/>
  <c r="F41" i="20"/>
  <c r="C41" i="20"/>
  <c r="I40" i="20"/>
  <c r="H40" i="20"/>
  <c r="G40" i="20"/>
  <c r="F40" i="20"/>
  <c r="D40" i="20"/>
  <c r="D53" i="20" s="1"/>
  <c r="D66" i="20" s="1"/>
  <c r="C40" i="20"/>
  <c r="I39" i="20"/>
  <c r="H39" i="20"/>
  <c r="G39" i="20"/>
  <c r="F39" i="20"/>
  <c r="E39" i="20"/>
  <c r="D39" i="20"/>
  <c r="C39" i="20"/>
  <c r="C52" i="20" s="1"/>
  <c r="C65" i="20" s="1"/>
  <c r="G38" i="20"/>
  <c r="F38" i="20"/>
  <c r="C38" i="20"/>
  <c r="I37" i="20"/>
  <c r="H37" i="20"/>
  <c r="G37" i="20"/>
  <c r="F37" i="20"/>
  <c r="E37" i="20"/>
  <c r="D37" i="20"/>
  <c r="C37" i="20"/>
  <c r="C36" i="20"/>
  <c r="D32" i="20"/>
  <c r="K31" i="20"/>
  <c r="I36" i="20"/>
  <c r="H36" i="20"/>
  <c r="G36" i="20"/>
  <c r="F36" i="20"/>
  <c r="J28" i="20"/>
  <c r="I43" i="20"/>
  <c r="I28" i="20"/>
  <c r="F22" i="20"/>
  <c r="F20" i="20"/>
  <c r="E43" i="20"/>
  <c r="E44" i="20" s="1"/>
  <c r="J19" i="20"/>
  <c r="I38" i="20" s="1"/>
  <c r="I19" i="20"/>
  <c r="H38" i="20" s="1"/>
  <c r="F13" i="20"/>
  <c r="E40" i="20" s="1"/>
  <c r="H53" i="20" s="1"/>
  <c r="H66" i="20" s="1"/>
  <c r="F9" i="20"/>
  <c r="F8" i="20"/>
  <c r="E42" i="20" s="1"/>
  <c r="H55" i="20" s="1"/>
  <c r="H68" i="20" s="1"/>
  <c r="E8" i="20"/>
  <c r="E32" i="20" s="1"/>
  <c r="F7" i="20"/>
  <c r="E7" i="20"/>
  <c r="D42" i="20"/>
  <c r="F6" i="20"/>
  <c r="E41" i="20"/>
  <c r="E6" i="20"/>
  <c r="D41" i="20"/>
  <c r="F5" i="20"/>
  <c r="E38" i="20"/>
  <c r="E5" i="20"/>
  <c r="D38" i="20"/>
  <c r="F4" i="20"/>
  <c r="E36" i="20"/>
  <c r="E4" i="20"/>
  <c r="D36" i="20"/>
  <c r="I25" i="1"/>
  <c r="J25" i="1"/>
  <c r="J34" i="18"/>
  <c r="E3" i="3"/>
  <c r="D3" i="3"/>
  <c r="D11" i="24" s="1"/>
  <c r="D11" i="22"/>
  <c r="C44" i="22" s="1"/>
  <c r="C3" i="3"/>
  <c r="S25" i="18"/>
  <c r="T25" i="18"/>
  <c r="T27" i="18" s="1"/>
  <c r="U25" i="18"/>
  <c r="U27" i="18" s="1"/>
  <c r="V25" i="18"/>
  <c r="W25" i="18"/>
  <c r="X25" i="18"/>
  <c r="X27" i="18" s="1"/>
  <c r="Y25" i="18"/>
  <c r="Y27" i="18" s="1"/>
  <c r="Z25" i="18"/>
  <c r="AA25" i="18"/>
  <c r="AB25" i="18"/>
  <c r="R25" i="18"/>
  <c r="R27" i="18" s="1"/>
  <c r="Q25" i="18"/>
  <c r="P25" i="18"/>
  <c r="O25" i="18"/>
  <c r="N25" i="18"/>
  <c r="N27" i="18" s="1"/>
  <c r="M25" i="18"/>
  <c r="L25" i="18"/>
  <c r="K25" i="18"/>
  <c r="J25" i="18"/>
  <c r="I25" i="18"/>
  <c r="E30" i="10"/>
  <c r="F30" i="10"/>
  <c r="G30" i="10"/>
  <c r="H30" i="10"/>
  <c r="I30" i="10"/>
  <c r="J30" i="10"/>
  <c r="K30" i="10"/>
  <c r="D30" i="10"/>
  <c r="K3" i="10"/>
  <c r="C139" i="19"/>
  <c r="C138" i="19"/>
  <c r="F139" i="19"/>
  <c r="E139" i="19"/>
  <c r="D139" i="19"/>
  <c r="C104" i="19"/>
  <c r="C75" i="19"/>
  <c r="C113" i="18"/>
  <c r="C101" i="1"/>
  <c r="C84" i="18"/>
  <c r="F135" i="1"/>
  <c r="E135" i="1"/>
  <c r="D135" i="1"/>
  <c r="C135" i="1"/>
  <c r="C136" i="1" s="1"/>
  <c r="C134" i="1"/>
  <c r="D21" i="19"/>
  <c r="D109" i="19" s="1"/>
  <c r="D23" i="18"/>
  <c r="C21" i="19"/>
  <c r="C109" i="19" s="1"/>
  <c r="E17" i="19"/>
  <c r="D17" i="19"/>
  <c r="C17" i="19"/>
  <c r="E16" i="19"/>
  <c r="D16" i="19"/>
  <c r="C16" i="19"/>
  <c r="E15" i="19"/>
  <c r="D15" i="19"/>
  <c r="C15" i="19"/>
  <c r="E14" i="19"/>
  <c r="D14" i="19"/>
  <c r="C14" i="19"/>
  <c r="E13" i="19"/>
  <c r="D13" i="19"/>
  <c r="C13" i="19"/>
  <c r="D12" i="19"/>
  <c r="C83" i="19" s="1"/>
  <c r="C12" i="19"/>
  <c r="C36" i="19" s="1"/>
  <c r="H34" i="18"/>
  <c r="G34" i="18"/>
  <c r="F34" i="18"/>
  <c r="E34" i="18"/>
  <c r="D34" i="18"/>
  <c r="C34" i="18"/>
  <c r="I27" i="18"/>
  <c r="D118" i="18"/>
  <c r="C23" i="18"/>
  <c r="C118" i="18" s="1"/>
  <c r="E19" i="18"/>
  <c r="D19" i="18"/>
  <c r="C19" i="18"/>
  <c r="E18" i="18"/>
  <c r="D18" i="18"/>
  <c r="C18" i="18"/>
  <c r="E17" i="18"/>
  <c r="D17" i="18"/>
  <c r="C17" i="18"/>
  <c r="E16" i="18"/>
  <c r="D16" i="18"/>
  <c r="C16" i="18"/>
  <c r="E15" i="18"/>
  <c r="D15" i="18"/>
  <c r="C15" i="18"/>
  <c r="D14" i="18"/>
  <c r="AB60" i="19" s="1"/>
  <c r="G91" i="19"/>
  <c r="W60" i="19"/>
  <c r="U60" i="19"/>
  <c r="S60" i="19"/>
  <c r="O60" i="19"/>
  <c r="M60" i="19"/>
  <c r="K60" i="19"/>
  <c r="K61" i="19" s="1"/>
  <c r="G60" i="19"/>
  <c r="AA69" i="18"/>
  <c r="Y69" i="18"/>
  <c r="U69" i="18"/>
  <c r="S69" i="18"/>
  <c r="Q69" i="18"/>
  <c r="N69" i="18"/>
  <c r="M69" i="18"/>
  <c r="L69" i="18"/>
  <c r="J69" i="18"/>
  <c r="I69" i="18"/>
  <c r="H69" i="18"/>
  <c r="G100" i="18"/>
  <c r="G101" i="18" s="1"/>
  <c r="C33" i="19"/>
  <c r="D33" i="19"/>
  <c r="E33" i="19" s="1"/>
  <c r="C80" i="19"/>
  <c r="C42" i="18"/>
  <c r="C89" i="18"/>
  <c r="E14" i="1"/>
  <c r="D14" i="1"/>
  <c r="C14" i="1"/>
  <c r="J27" i="18"/>
  <c r="K27" i="18"/>
  <c r="L27" i="18"/>
  <c r="M27" i="18"/>
  <c r="O27" i="18"/>
  <c r="P27" i="18"/>
  <c r="Q27" i="18"/>
  <c r="S27" i="18"/>
  <c r="V27" i="18"/>
  <c r="W27" i="18"/>
  <c r="D20" i="1"/>
  <c r="D106" i="1" s="1"/>
  <c r="C20" i="1"/>
  <c r="C31" i="1" s="1"/>
  <c r="E9" i="3"/>
  <c r="D9" i="3"/>
  <c r="D17" i="22"/>
  <c r="C9" i="3"/>
  <c r="E16" i="1"/>
  <c r="D16" i="1"/>
  <c r="C16" i="1"/>
  <c r="E15" i="1"/>
  <c r="D15" i="1"/>
  <c r="C15" i="1"/>
  <c r="E13" i="1"/>
  <c r="D13" i="1"/>
  <c r="E12" i="1"/>
  <c r="D12" i="1"/>
  <c r="K29" i="10"/>
  <c r="J29" i="10"/>
  <c r="I29" i="10"/>
  <c r="H29" i="10"/>
  <c r="G29" i="10"/>
  <c r="F29" i="10"/>
  <c r="E29" i="10"/>
  <c r="H43" i="10"/>
  <c r="H57" i="10" s="1"/>
  <c r="D29" i="10"/>
  <c r="K28" i="10"/>
  <c r="J28" i="10"/>
  <c r="I28" i="10"/>
  <c r="H28" i="10"/>
  <c r="G28" i="10"/>
  <c r="H42" i="10" s="1"/>
  <c r="H56" i="10" s="1"/>
  <c r="J42" i="10"/>
  <c r="J56" i="10" s="1"/>
  <c r="F28" i="10"/>
  <c r="E28" i="10"/>
  <c r="D28" i="10"/>
  <c r="K27" i="10"/>
  <c r="J27" i="10"/>
  <c r="I27" i="10"/>
  <c r="H27" i="10"/>
  <c r="G27" i="10"/>
  <c r="F27" i="10"/>
  <c r="E27" i="10"/>
  <c r="E41" i="10" s="1"/>
  <c r="E55" i="10" s="1"/>
  <c r="H41" i="10"/>
  <c r="H55" i="10" s="1"/>
  <c r="D27" i="10"/>
  <c r="K26" i="10"/>
  <c r="J26" i="10"/>
  <c r="I26" i="10"/>
  <c r="H26" i="10"/>
  <c r="G26" i="10"/>
  <c r="H40" i="10" s="1"/>
  <c r="H54" i="10" s="1"/>
  <c r="J40" i="10"/>
  <c r="J54" i="10" s="1"/>
  <c r="F26" i="10"/>
  <c r="E26" i="10"/>
  <c r="D26" i="10"/>
  <c r="E40" i="10" s="1"/>
  <c r="E54" i="10" s="1"/>
  <c r="E25" i="10"/>
  <c r="D25" i="10"/>
  <c r="E39" i="10" s="1"/>
  <c r="E24" i="10"/>
  <c r="E31" i="10" s="1"/>
  <c r="D24" i="10"/>
  <c r="G38" i="10" s="1"/>
  <c r="G52" i="10" s="1"/>
  <c r="E20" i="10"/>
  <c r="D20" i="10"/>
  <c r="K25" i="10"/>
  <c r="J25" i="10"/>
  <c r="K39" i="10" s="1"/>
  <c r="I25" i="10"/>
  <c r="H25" i="10"/>
  <c r="K53" i="10"/>
  <c r="G25" i="10"/>
  <c r="J39" i="10" s="1"/>
  <c r="J53" i="10" s="1"/>
  <c r="F25" i="10"/>
  <c r="I39" i="10" s="1"/>
  <c r="I53" i="10" s="1"/>
  <c r="K24" i="10"/>
  <c r="K31" i="10"/>
  <c r="J24" i="10"/>
  <c r="I24" i="10"/>
  <c r="I31" i="10"/>
  <c r="H24" i="10"/>
  <c r="H31" i="10" s="1"/>
  <c r="G24" i="10"/>
  <c r="F24" i="10"/>
  <c r="Z27" i="18"/>
  <c r="J38" i="10"/>
  <c r="J52" i="10" s="1"/>
  <c r="G31" i="10"/>
  <c r="K38" i="10"/>
  <c r="G39" i="10"/>
  <c r="G53" i="10" s="1"/>
  <c r="F20" i="10"/>
  <c r="G20" i="10"/>
  <c r="H20" i="10"/>
  <c r="I20" i="10"/>
  <c r="J20" i="10"/>
  <c r="K20" i="10"/>
  <c r="E38" i="10"/>
  <c r="E52" i="10" s="1"/>
  <c r="D39" i="10"/>
  <c r="D53" i="10" s="1"/>
  <c r="E53" i="10"/>
  <c r="F39" i="10"/>
  <c r="F53" i="10" s="1"/>
  <c r="D41" i="10"/>
  <c r="D55" i="10" s="1"/>
  <c r="F41" i="10"/>
  <c r="F55" i="10" s="1"/>
  <c r="D43" i="10"/>
  <c r="D57" i="10" s="1"/>
  <c r="E43" i="10"/>
  <c r="E57" i="10"/>
  <c r="F43" i="10"/>
  <c r="F57" i="10" s="1"/>
  <c r="D44" i="10"/>
  <c r="D58" i="10"/>
  <c r="E44" i="10"/>
  <c r="E58" i="10" s="1"/>
  <c r="F44" i="10"/>
  <c r="F58" i="10"/>
  <c r="AA27" i="18"/>
  <c r="AB27" i="18"/>
  <c r="L50" i="9"/>
  <c r="F50" i="9" s="1"/>
  <c r="G50" i="9"/>
  <c r="H50" i="9"/>
  <c r="I50" i="9" s="1"/>
  <c r="J33" i="9"/>
  <c r="I33" i="9"/>
  <c r="I37" i="9" s="1"/>
  <c r="H33" i="9"/>
  <c r="H37" i="9" s="1"/>
  <c r="G33" i="9"/>
  <c r="F33" i="9"/>
  <c r="E33" i="9"/>
  <c r="E37" i="9" s="1"/>
  <c r="D33" i="9"/>
  <c r="C33" i="9"/>
  <c r="J24" i="9"/>
  <c r="I24" i="9"/>
  <c r="H24" i="9"/>
  <c r="G24" i="9"/>
  <c r="F24" i="9"/>
  <c r="E24" i="9"/>
  <c r="D24" i="9"/>
  <c r="C24" i="9"/>
  <c r="J17" i="9"/>
  <c r="I17" i="9"/>
  <c r="H17" i="9"/>
  <c r="G17" i="9"/>
  <c r="F17" i="9"/>
  <c r="E17" i="9"/>
  <c r="D17" i="9"/>
  <c r="C17" i="9"/>
  <c r="J10" i="9"/>
  <c r="J53" i="9"/>
  <c r="J38" i="9"/>
  <c r="I10" i="9"/>
  <c r="H10" i="9"/>
  <c r="H53" i="9"/>
  <c r="H38" i="9"/>
  <c r="G10" i="9"/>
  <c r="F10" i="9"/>
  <c r="F53" i="9"/>
  <c r="F38" i="9"/>
  <c r="E10" i="9"/>
  <c r="D10" i="9"/>
  <c r="D53" i="9"/>
  <c r="D38" i="9"/>
  <c r="C10" i="9"/>
  <c r="B10" i="9"/>
  <c r="C37" i="9"/>
  <c r="D37" i="9"/>
  <c r="F37" i="9"/>
  <c r="G37" i="9"/>
  <c r="J37" i="9"/>
  <c r="C53" i="9"/>
  <c r="C38" i="9" s="1"/>
  <c r="E53" i="9"/>
  <c r="E38" i="9" s="1"/>
  <c r="G53" i="9"/>
  <c r="G38" i="9"/>
  <c r="I53" i="9"/>
  <c r="I38" i="9" s="1"/>
  <c r="C56" i="9"/>
  <c r="C39" i="9"/>
  <c r="E56" i="9"/>
  <c r="E39" i="9" s="1"/>
  <c r="G56" i="9"/>
  <c r="G39" i="9" s="1"/>
  <c r="I56" i="9"/>
  <c r="I39" i="9" s="1"/>
  <c r="C59" i="9"/>
  <c r="C40" i="9" s="1"/>
  <c r="E59" i="9"/>
  <c r="E40" i="9" s="1"/>
  <c r="G59" i="9"/>
  <c r="G40" i="9"/>
  <c r="I59" i="9"/>
  <c r="I40" i="9" s="1"/>
  <c r="C13" i="1"/>
  <c r="C12" i="1"/>
  <c r="D11" i="1"/>
  <c r="AH192" i="1" s="1"/>
  <c r="AI192" i="1" s="1"/>
  <c r="G58" i="1"/>
  <c r="H26" i="1"/>
  <c r="H30" i="1"/>
  <c r="G26" i="1"/>
  <c r="F26" i="1"/>
  <c r="E26" i="1"/>
  <c r="D26" i="1"/>
  <c r="C26" i="1"/>
  <c r="C76" i="1"/>
  <c r="D82" i="1" s="1"/>
  <c r="D76" i="1"/>
  <c r="D30" i="1"/>
  <c r="F76" i="1"/>
  <c r="F30" i="1"/>
  <c r="H76" i="1"/>
  <c r="I34" i="18"/>
  <c r="F44" i="20"/>
  <c r="F53" i="20"/>
  <c r="F66" i="20" s="1"/>
  <c r="G53" i="20"/>
  <c r="G66" i="20" s="1"/>
  <c r="G56" i="20"/>
  <c r="G69" i="20" s="1"/>
  <c r="K19" i="20"/>
  <c r="K28" i="20"/>
  <c r="K32" i="20"/>
  <c r="K29" i="20"/>
  <c r="F32" i="20"/>
  <c r="G32" i="20"/>
  <c r="H32" i="20"/>
  <c r="J32" i="20"/>
  <c r="C44" i="20"/>
  <c r="C49" i="20"/>
  <c r="C62" i="20" s="1"/>
  <c r="E49" i="20"/>
  <c r="E62" i="20" s="1"/>
  <c r="C50" i="20"/>
  <c r="C63" i="20" s="1"/>
  <c r="D50" i="20"/>
  <c r="D63" i="20" s="1"/>
  <c r="C51" i="20"/>
  <c r="C64" i="20" s="1"/>
  <c r="D51" i="20"/>
  <c r="D64" i="20" s="1"/>
  <c r="D52" i="20"/>
  <c r="D65" i="20" s="1"/>
  <c r="E52" i="20"/>
  <c r="E65" i="20" s="1"/>
  <c r="C53" i="20"/>
  <c r="C66" i="20" s="1"/>
  <c r="E53" i="20"/>
  <c r="E66" i="20" s="1"/>
  <c r="C54" i="20"/>
  <c r="C67" i="20" s="1"/>
  <c r="C55" i="20"/>
  <c r="C68" i="20" s="1"/>
  <c r="D55" i="20"/>
  <c r="D68" i="20" s="1"/>
  <c r="C56" i="20"/>
  <c r="C69" i="20" s="1"/>
  <c r="D56" i="20"/>
  <c r="D69" i="20" s="1"/>
  <c r="C30" i="22"/>
  <c r="D30" i="22"/>
  <c r="E30" i="22" s="1"/>
  <c r="C41" i="22"/>
  <c r="C65" i="22"/>
  <c r="D41" i="22"/>
  <c r="E41" i="22"/>
  <c r="C141" i="19"/>
  <c r="AA60" i="19"/>
  <c r="I26" i="1"/>
  <c r="I30" i="1" s="1"/>
  <c r="D77" i="1"/>
  <c r="J26" i="1"/>
  <c r="K25" i="1"/>
  <c r="E53" i="11"/>
  <c r="E58" i="11"/>
  <c r="E71" i="11"/>
  <c r="E117" i="11" s="1"/>
  <c r="E77" i="11"/>
  <c r="E48" i="11"/>
  <c r="E112" i="11" s="1"/>
  <c r="J76" i="1"/>
  <c r="J30" i="1"/>
  <c r="G51" i="20"/>
  <c r="G64" i="20" s="1"/>
  <c r="G55" i="20"/>
  <c r="G68" i="20" s="1"/>
  <c r="C27" i="18"/>
  <c r="D27" i="18"/>
  <c r="C30" i="1"/>
  <c r="J59" i="9"/>
  <c r="J40" i="9" s="1"/>
  <c r="H59" i="9"/>
  <c r="H40" i="9"/>
  <c r="F59" i="9"/>
  <c r="F40" i="9" s="1"/>
  <c r="D59" i="9"/>
  <c r="D40" i="9"/>
  <c r="J56" i="9"/>
  <c r="J39" i="9" s="1"/>
  <c r="H56" i="9"/>
  <c r="H39" i="9"/>
  <c r="F56" i="9"/>
  <c r="F39" i="9" s="1"/>
  <c r="D56" i="9"/>
  <c r="D39" i="9"/>
  <c r="H38" i="10"/>
  <c r="C20" i="18"/>
  <c r="D18" i="19"/>
  <c r="C17" i="22"/>
  <c r="E17" i="22"/>
  <c r="K47" i="21"/>
  <c r="I47" i="21"/>
  <c r="D20" i="18"/>
  <c r="L47" i="21"/>
  <c r="J47" i="21"/>
  <c r="H47" i="21"/>
  <c r="E94" i="11"/>
  <c r="H52" i="10"/>
  <c r="E99" i="11"/>
  <c r="E102" i="11" s="1"/>
  <c r="J99" i="11"/>
  <c r="E100" i="11"/>
  <c r="E101" i="11"/>
  <c r="K99" i="11"/>
  <c r="K102" i="11" s="1"/>
  <c r="H99" i="11"/>
  <c r="H102" i="11" s="1"/>
  <c r="L99" i="11"/>
  <c r="L102" i="11" s="1"/>
  <c r="I99" i="11"/>
  <c r="I102" i="11" s="1"/>
  <c r="M99" i="11"/>
  <c r="N99" i="11"/>
  <c r="N102" i="11" s="1"/>
  <c r="P99" i="11"/>
  <c r="P102" i="11" s="1"/>
  <c r="G99" i="11"/>
  <c r="G102" i="11" s="1"/>
  <c r="O99" i="11"/>
  <c r="F99" i="11"/>
  <c r="F102" i="11" s="1"/>
  <c r="Q99" i="11"/>
  <c r="Q102" i="11" s="1"/>
  <c r="J101" i="11"/>
  <c r="R99" i="11"/>
  <c r="R102" i="11" s="1"/>
  <c r="L101" i="11"/>
  <c r="M100" i="11"/>
  <c r="I100" i="11"/>
  <c r="F100" i="11"/>
  <c r="F101" i="11"/>
  <c r="L100" i="11"/>
  <c r="K100" i="11"/>
  <c r="K101" i="11"/>
  <c r="H101" i="11"/>
  <c r="I101" i="11"/>
  <c r="S99" i="11"/>
  <c r="S102" i="11" s="1"/>
  <c r="G101" i="11"/>
  <c r="J100" i="11"/>
  <c r="J102" i="11"/>
  <c r="M101" i="11"/>
  <c r="M102" i="11"/>
  <c r="T99" i="11"/>
  <c r="T102" i="11" s="1"/>
  <c r="G100" i="11"/>
  <c r="H100" i="11"/>
  <c r="N100" i="11"/>
  <c r="N101" i="11"/>
  <c r="P101" i="11"/>
  <c r="P100" i="11"/>
  <c r="O100" i="11"/>
  <c r="O101" i="11"/>
  <c r="U99" i="11"/>
  <c r="V99" i="11"/>
  <c r="V102" i="11" s="1"/>
  <c r="O102" i="11"/>
  <c r="X99" i="11"/>
  <c r="W99" i="11"/>
  <c r="W102" i="11" s="1"/>
  <c r="Q101" i="11"/>
  <c r="Q100" i="11"/>
  <c r="R101" i="11"/>
  <c r="R100" i="11"/>
  <c r="S100" i="11"/>
  <c r="Y99" i="11"/>
  <c r="Y102" i="11" s="1"/>
  <c r="S101" i="11"/>
  <c r="Z99" i="11"/>
  <c r="Z102" i="11" s="1"/>
  <c r="T101" i="11"/>
  <c r="T100" i="11"/>
  <c r="U101" i="11"/>
  <c r="U100" i="11"/>
  <c r="U102" i="11"/>
  <c r="AA99" i="11"/>
  <c r="W101" i="11"/>
  <c r="V101" i="11"/>
  <c r="V100" i="11"/>
  <c r="AB99" i="11"/>
  <c r="AB102" i="11" s="1"/>
  <c r="AC99" i="11"/>
  <c r="AC102" i="11" s="1"/>
  <c r="W100" i="11"/>
  <c r="X100" i="11"/>
  <c r="X101" i="11"/>
  <c r="X102" i="11"/>
  <c r="Y100" i="11"/>
  <c r="Y101" i="11"/>
  <c r="Z101" i="11"/>
  <c r="Z100" i="11"/>
  <c r="AA100" i="11"/>
  <c r="AA101" i="11"/>
  <c r="AA102" i="11"/>
  <c r="AB100" i="11"/>
  <c r="AB101" i="11"/>
  <c r="AC101" i="11"/>
  <c r="AC100" i="11"/>
  <c r="G44" i="20"/>
  <c r="G49" i="20"/>
  <c r="H49" i="20"/>
  <c r="I49" i="20"/>
  <c r="F50" i="20"/>
  <c r="F52" i="20"/>
  <c r="F65" i="20" s="1"/>
  <c r="I62" i="20"/>
  <c r="G62" i="20"/>
  <c r="F63" i="20"/>
  <c r="H62" i="20"/>
  <c r="K34" i="18" l="1"/>
  <c r="L25" i="1"/>
  <c r="F56" i="20"/>
  <c r="F69" i="20" s="1"/>
  <c r="K52" i="10"/>
  <c r="I38" i="10"/>
  <c r="F31" i="10"/>
  <c r="I40" i="10"/>
  <c r="I54" i="10" s="1"/>
  <c r="K40" i="10"/>
  <c r="K54" i="10" s="1"/>
  <c r="G41" i="10"/>
  <c r="G55" i="10" s="1"/>
  <c r="I41" i="10"/>
  <c r="I55" i="10" s="1"/>
  <c r="E17" i="24"/>
  <c r="E17" i="1"/>
  <c r="E20" i="18"/>
  <c r="E18" i="19"/>
  <c r="J44" i="10"/>
  <c r="J58" i="10" s="1"/>
  <c r="H44" i="10"/>
  <c r="H58" i="10" s="1"/>
  <c r="D42" i="10"/>
  <c r="D56" i="10" s="1"/>
  <c r="F42" i="10"/>
  <c r="F56" i="10" s="1"/>
  <c r="G42" i="10"/>
  <c r="G56" i="10" s="1"/>
  <c r="C11" i="24"/>
  <c r="C14" i="18"/>
  <c r="C11" i="22"/>
  <c r="C33" i="22" s="1"/>
  <c r="I76" i="1"/>
  <c r="G30" i="1"/>
  <c r="G76" i="1"/>
  <c r="J31" i="10"/>
  <c r="D31" i="10"/>
  <c r="H39" i="10"/>
  <c r="J41" i="10"/>
  <c r="K41" i="10"/>
  <c r="K55" i="10" s="1"/>
  <c r="I42" i="10"/>
  <c r="I56" i="10" s="1"/>
  <c r="K42" i="10"/>
  <c r="K56" i="10" s="1"/>
  <c r="G43" i="10"/>
  <c r="G57" i="10" s="1"/>
  <c r="I43" i="10"/>
  <c r="I57" i="10" s="1"/>
  <c r="C10" i="3"/>
  <c r="C18" i="19"/>
  <c r="Q70" i="18"/>
  <c r="H91" i="19"/>
  <c r="G92" i="19"/>
  <c r="D42" i="18"/>
  <c r="D89" i="18"/>
  <c r="E89" i="18" s="1"/>
  <c r="K44" i="10"/>
  <c r="K58" i="10" s="1"/>
  <c r="I44" i="10"/>
  <c r="I58" i="10" s="1"/>
  <c r="E105" i="1"/>
  <c r="K26" i="1"/>
  <c r="E30" i="1"/>
  <c r="E56" i="20"/>
  <c r="E69" i="20" s="1"/>
  <c r="E76" i="1"/>
  <c r="C11" i="1"/>
  <c r="H44" i="1" s="1"/>
  <c r="I44" i="1" s="1"/>
  <c r="J44" i="1" s="1"/>
  <c r="K44" i="1" s="1"/>
  <c r="L44" i="1" s="1"/>
  <c r="M44" i="1" s="1"/>
  <c r="N44" i="1" s="1"/>
  <c r="E42" i="10"/>
  <c r="E56" i="10" s="1"/>
  <c r="E59" i="10" s="1"/>
  <c r="D40" i="10"/>
  <c r="D54" i="10" s="1"/>
  <c r="F40" i="10"/>
  <c r="F54" i="10" s="1"/>
  <c r="G40" i="10"/>
  <c r="G54" i="10" s="1"/>
  <c r="G59" i="10" s="1"/>
  <c r="J43" i="10"/>
  <c r="J57" i="10" s="1"/>
  <c r="K43" i="10"/>
  <c r="K57" i="10" s="1"/>
  <c r="L70" i="18"/>
  <c r="S61" i="19"/>
  <c r="E11" i="24"/>
  <c r="E12" i="19"/>
  <c r="C112" i="19" s="1"/>
  <c r="E11" i="1"/>
  <c r="H118" i="1" s="1"/>
  <c r="I118" i="1" s="1"/>
  <c r="J118" i="1" s="1"/>
  <c r="E11" i="22"/>
  <c r="C56" i="22" s="1"/>
  <c r="E14" i="18"/>
  <c r="C121" i="18" s="1"/>
  <c r="D44" i="20"/>
  <c r="D49" i="20"/>
  <c r="F49" i="20"/>
  <c r="F62" i="20" s="1"/>
  <c r="F51" i="20"/>
  <c r="F64" i="20" s="1"/>
  <c r="E51" i="20"/>
  <c r="E64" i="20" s="1"/>
  <c r="E54" i="20"/>
  <c r="E67" i="20" s="1"/>
  <c r="G54" i="20"/>
  <c r="G67" i="20" s="1"/>
  <c r="F54" i="20"/>
  <c r="F67" i="20" s="1"/>
  <c r="D54" i="20"/>
  <c r="D67" i="20" s="1"/>
  <c r="F55" i="20"/>
  <c r="F68" i="20" s="1"/>
  <c r="F70" i="20" s="1"/>
  <c r="E55" i="20"/>
  <c r="E68" i="20" s="1"/>
  <c r="I32" i="20"/>
  <c r="H43" i="20"/>
  <c r="I56" i="20" s="1"/>
  <c r="I69" i="20" s="1"/>
  <c r="H50" i="20"/>
  <c r="H63" i="20" s="1"/>
  <c r="E50" i="20"/>
  <c r="AA61" i="19"/>
  <c r="G59" i="1"/>
  <c r="F38" i="10"/>
  <c r="D38" i="10"/>
  <c r="G44" i="10"/>
  <c r="G58" i="10" s="1"/>
  <c r="D80" i="19"/>
  <c r="E80" i="19" s="1"/>
  <c r="C84" i="19" s="1"/>
  <c r="G69" i="18"/>
  <c r="G70" i="18" s="1"/>
  <c r="K69" i="18"/>
  <c r="K70" i="18" s="1"/>
  <c r="O69" i="18"/>
  <c r="O70" i="18" s="1"/>
  <c r="W69" i="18"/>
  <c r="W70" i="18" s="1"/>
  <c r="I60" i="19"/>
  <c r="I61" i="19" s="1"/>
  <c r="Q60" i="19"/>
  <c r="Q61" i="19" s="1"/>
  <c r="Y60" i="19"/>
  <c r="Y61" i="19" s="1"/>
  <c r="G50" i="20"/>
  <c r="G57" i="20" s="1"/>
  <c r="I52" i="20"/>
  <c r="I65" i="20" s="1"/>
  <c r="F77" i="11"/>
  <c r="I70" i="18"/>
  <c r="M70" i="18"/>
  <c r="S70" i="18"/>
  <c r="AA70" i="18"/>
  <c r="M61" i="19"/>
  <c r="U61" i="19"/>
  <c r="C140" i="19"/>
  <c r="I50" i="20"/>
  <c r="G52" i="20"/>
  <c r="G65" i="20" s="1"/>
  <c r="I53" i="20"/>
  <c r="I66" i="20" s="1"/>
  <c r="H27" i="18"/>
  <c r="C77" i="1"/>
  <c r="E77" i="1" s="1"/>
  <c r="J70" i="18"/>
  <c r="N70" i="18"/>
  <c r="U70" i="18"/>
  <c r="G61" i="19"/>
  <c r="O61" i="19"/>
  <c r="W61" i="19"/>
  <c r="AB61" i="19"/>
  <c r="G88" i="24"/>
  <c r="I58" i="24"/>
  <c r="I59" i="24" s="1"/>
  <c r="Q58" i="24"/>
  <c r="Q59" i="24" s="1"/>
  <c r="Y58" i="24"/>
  <c r="Y59" i="24" s="1"/>
  <c r="J58" i="24"/>
  <c r="J59" i="24" s="1"/>
  <c r="R58" i="24"/>
  <c r="R59" i="24" s="1"/>
  <c r="Z58" i="24"/>
  <c r="Z59" i="24" s="1"/>
  <c r="I11" i="24"/>
  <c r="K58" i="24"/>
  <c r="K59" i="24" s="1"/>
  <c r="S58" i="24"/>
  <c r="S59" i="24" s="1"/>
  <c r="AA58" i="24"/>
  <c r="AA59" i="24" s="1"/>
  <c r="L58" i="24"/>
  <c r="L59" i="24" s="1"/>
  <c r="T58" i="24"/>
  <c r="T59" i="24" s="1"/>
  <c r="AB58" i="24"/>
  <c r="AB59" i="24" s="1"/>
  <c r="V58" i="24"/>
  <c r="V59" i="24" s="1"/>
  <c r="C80" i="24"/>
  <c r="O58" i="24"/>
  <c r="O59" i="24" s="1"/>
  <c r="H58" i="24"/>
  <c r="H59" i="24" s="1"/>
  <c r="P58" i="24"/>
  <c r="P59" i="24" s="1"/>
  <c r="X58" i="24"/>
  <c r="X59" i="24" s="1"/>
  <c r="AH192" i="24"/>
  <c r="M58" i="24"/>
  <c r="M59" i="24" s="1"/>
  <c r="U58" i="24"/>
  <c r="U59" i="24" s="1"/>
  <c r="N58" i="24"/>
  <c r="N59" i="24" s="1"/>
  <c r="G58" i="24"/>
  <c r="G59" i="24" s="1"/>
  <c r="W58" i="24"/>
  <c r="W59" i="24" s="1"/>
  <c r="H51" i="20"/>
  <c r="H64" i="20" s="1"/>
  <c r="H54" i="20"/>
  <c r="H67" i="20" s="1"/>
  <c r="H52" i="20"/>
  <c r="H65" i="20" s="1"/>
  <c r="I54" i="20"/>
  <c r="I67" i="20" s="1"/>
  <c r="E93" i="11"/>
  <c r="AH190" i="1"/>
  <c r="AH191" i="1"/>
  <c r="AI191" i="1" s="1"/>
  <c r="G16" i="1"/>
  <c r="G17" i="1" s="1"/>
  <c r="G88" i="1"/>
  <c r="G89" i="1" s="1"/>
  <c r="K96" i="1" s="1"/>
  <c r="K105" i="1"/>
  <c r="J82" i="1"/>
  <c r="J143" i="1" s="1"/>
  <c r="H88" i="1"/>
  <c r="K82" i="1"/>
  <c r="K143" i="1" s="1"/>
  <c r="F82" i="1"/>
  <c r="C105" i="1"/>
  <c r="D111" i="1" s="1"/>
  <c r="D144" i="1" s="1"/>
  <c r="D31" i="1"/>
  <c r="E31" i="1" s="1"/>
  <c r="I105" i="1"/>
  <c r="H105" i="1"/>
  <c r="D105" i="1"/>
  <c r="F111" i="1" s="1"/>
  <c r="F144" i="1" s="1"/>
  <c r="O44" i="1"/>
  <c r="F11" i="1"/>
  <c r="H42" i="1"/>
  <c r="I42" i="1" s="1"/>
  <c r="J42" i="1" s="1"/>
  <c r="K42" i="1" s="1"/>
  <c r="L42" i="1" s="1"/>
  <c r="M42" i="1" s="1"/>
  <c r="N42" i="1" s="1"/>
  <c r="O42" i="1" s="1"/>
  <c r="P42" i="1" s="1"/>
  <c r="Q42" i="1" s="1"/>
  <c r="R42" i="1" s="1"/>
  <c r="S42" i="1" s="1"/>
  <c r="T42" i="1" s="1"/>
  <c r="U42" i="1" s="1"/>
  <c r="V42" i="1" s="1"/>
  <c r="W42" i="1" s="1"/>
  <c r="X42" i="1" s="1"/>
  <c r="Y42" i="1" s="1"/>
  <c r="Z42" i="1" s="1"/>
  <c r="AA42" i="1" s="1"/>
  <c r="AB42" i="1" s="1"/>
  <c r="C80" i="1"/>
  <c r="B143" i="1" s="1"/>
  <c r="I11" i="1"/>
  <c r="J58" i="1"/>
  <c r="J59" i="1" s="1"/>
  <c r="P58" i="1"/>
  <c r="P59" i="1" s="1"/>
  <c r="T58" i="1"/>
  <c r="T59" i="1" s="1"/>
  <c r="X58" i="1"/>
  <c r="X59" i="1" s="1"/>
  <c r="AB58" i="1"/>
  <c r="AB59" i="1" s="1"/>
  <c r="I58" i="1"/>
  <c r="I59" i="1" s="1"/>
  <c r="K58" i="1"/>
  <c r="K59" i="1" s="1"/>
  <c r="M58" i="1"/>
  <c r="M59" i="1" s="1"/>
  <c r="O58" i="1"/>
  <c r="O59" i="1" s="1"/>
  <c r="Q58" i="1"/>
  <c r="Q59" i="1" s="1"/>
  <c r="S58" i="1"/>
  <c r="S59" i="1" s="1"/>
  <c r="U58" i="1"/>
  <c r="U59" i="1" s="1"/>
  <c r="W58" i="1"/>
  <c r="W59" i="1" s="1"/>
  <c r="Y58" i="1"/>
  <c r="Y59" i="1" s="1"/>
  <c r="AA58" i="1"/>
  <c r="AA59" i="1" s="1"/>
  <c r="H58" i="1"/>
  <c r="H59" i="1" s="1"/>
  <c r="L58" i="1"/>
  <c r="L59" i="1" s="1"/>
  <c r="N58" i="1"/>
  <c r="N59" i="1" s="1"/>
  <c r="R58" i="1"/>
  <c r="R59" i="1" s="1"/>
  <c r="V58" i="1"/>
  <c r="V59" i="1" s="1"/>
  <c r="Z58" i="1"/>
  <c r="Z59" i="1" s="1"/>
  <c r="E82" i="1"/>
  <c r="G82" i="1"/>
  <c r="H82" i="1"/>
  <c r="D86" i="1"/>
  <c r="G87" i="1" s="1"/>
  <c r="G155" i="1" s="1"/>
  <c r="G178" i="1" s="1"/>
  <c r="D143" i="1"/>
  <c r="L45" i="1"/>
  <c r="H45" i="1"/>
  <c r="E65" i="11"/>
  <c r="E116" i="11" s="1"/>
  <c r="E115" i="11" s="1"/>
  <c r="G65" i="11"/>
  <c r="G116" i="11" s="1"/>
  <c r="F65" i="11"/>
  <c r="F116" i="11" s="1"/>
  <c r="E53" i="22"/>
  <c r="E109" i="19"/>
  <c r="C57" i="22"/>
  <c r="I82" i="1"/>
  <c r="H71" i="11"/>
  <c r="H117" i="11" s="1"/>
  <c r="F71" i="11"/>
  <c r="F117" i="11" s="1"/>
  <c r="H100" i="18"/>
  <c r="P69" i="18"/>
  <c r="P70" i="18" s="1"/>
  <c r="R69" i="18"/>
  <c r="R70" i="18" s="1"/>
  <c r="T69" i="18"/>
  <c r="T70" i="18" s="1"/>
  <c r="V69" i="18"/>
  <c r="V70" i="18" s="1"/>
  <c r="X69" i="18"/>
  <c r="X70" i="18" s="1"/>
  <c r="Z69" i="18"/>
  <c r="Z70" i="18" s="1"/>
  <c r="AB69" i="18"/>
  <c r="AB70" i="18" s="1"/>
  <c r="H60" i="19"/>
  <c r="H61" i="19" s="1"/>
  <c r="J60" i="19"/>
  <c r="J61" i="19" s="1"/>
  <c r="L60" i="19"/>
  <c r="L61" i="19" s="1"/>
  <c r="N60" i="19"/>
  <c r="N61" i="19" s="1"/>
  <c r="P60" i="19"/>
  <c r="P61" i="19" s="1"/>
  <c r="R60" i="19"/>
  <c r="R61" i="19" s="1"/>
  <c r="T60" i="19"/>
  <c r="T61" i="19" s="1"/>
  <c r="V60" i="19"/>
  <c r="V61" i="19" s="1"/>
  <c r="X60" i="19"/>
  <c r="X61" i="19" s="1"/>
  <c r="Z60" i="19"/>
  <c r="Z61" i="19" s="1"/>
  <c r="E118" i="18"/>
  <c r="C122" i="18" s="1"/>
  <c r="H89" i="11"/>
  <c r="H116" i="11"/>
  <c r="E95" i="11"/>
  <c r="E113" i="11"/>
  <c r="E110" i="11" s="1"/>
  <c r="C37" i="19"/>
  <c r="E62" i="11"/>
  <c r="C113" i="19"/>
  <c r="C92" i="18"/>
  <c r="C93" i="18" s="1"/>
  <c r="C106" i="1"/>
  <c r="E106" i="1" s="1"/>
  <c r="H121" i="19"/>
  <c r="H46" i="19"/>
  <c r="E42" i="18"/>
  <c r="G27" i="18"/>
  <c r="E27" i="18"/>
  <c r="G71" i="11"/>
  <c r="C34" i="1"/>
  <c r="B142" i="1" s="1"/>
  <c r="F57" i="20"/>
  <c r="C70" i="20"/>
  <c r="H44" i="20"/>
  <c r="I51" i="20"/>
  <c r="I64" i="20" s="1"/>
  <c r="I63" i="20"/>
  <c r="I44" i="20"/>
  <c r="C57" i="20"/>
  <c r="J111" i="1"/>
  <c r="J144" i="1" s="1"/>
  <c r="C34" i="22"/>
  <c r="C45" i="22"/>
  <c r="J95" i="1"/>
  <c r="B140" i="1" l="1"/>
  <c r="C81" i="1"/>
  <c r="D62" i="20"/>
  <c r="D70" i="20" s="1"/>
  <c r="D57" i="20"/>
  <c r="J55" i="10"/>
  <c r="J59" i="10" s="1"/>
  <c r="J45" i="10"/>
  <c r="I119" i="1"/>
  <c r="K124" i="1" s="1"/>
  <c r="E111" i="1"/>
  <c r="E144" i="1" s="1"/>
  <c r="G63" i="20"/>
  <c r="G70" i="20" s="1"/>
  <c r="F89" i="11"/>
  <c r="AH193" i="1"/>
  <c r="AI193" i="1" s="1"/>
  <c r="K76" i="1"/>
  <c r="L82" i="1" s="1"/>
  <c r="L143" i="1" s="1"/>
  <c r="K30" i="1"/>
  <c r="L36" i="1" s="1"/>
  <c r="H92" i="19"/>
  <c r="I91" i="19"/>
  <c r="H53" i="10"/>
  <c r="H59" i="10" s="1"/>
  <c r="H45" i="10"/>
  <c r="C45" i="18"/>
  <c r="C46" i="18" s="1"/>
  <c r="H55" i="18"/>
  <c r="I45" i="10"/>
  <c r="I52" i="10"/>
  <c r="I59" i="10" s="1"/>
  <c r="E45" i="10"/>
  <c r="H119" i="1"/>
  <c r="C109" i="1"/>
  <c r="B144" i="1" s="1"/>
  <c r="B228" i="24"/>
  <c r="AI192" i="24"/>
  <c r="G89" i="24"/>
  <c r="H88" i="24"/>
  <c r="D52" i="10"/>
  <c r="D59" i="10" s="1"/>
  <c r="D45" i="10"/>
  <c r="C109" i="24"/>
  <c r="AH193" i="24"/>
  <c r="H118" i="24"/>
  <c r="G45" i="10"/>
  <c r="H40" i="24"/>
  <c r="F40" i="24"/>
  <c r="N43" i="24" s="1"/>
  <c r="N153" i="24" s="1"/>
  <c r="I40" i="24"/>
  <c r="K40" i="24"/>
  <c r="J40" i="24"/>
  <c r="G40" i="24"/>
  <c r="O43" i="24" s="1"/>
  <c r="O153" i="24" s="1"/>
  <c r="D40" i="24"/>
  <c r="E40" i="24"/>
  <c r="L40" i="24"/>
  <c r="M40" i="24"/>
  <c r="Q43" i="24" s="1"/>
  <c r="Q153" i="24" s="1"/>
  <c r="N40" i="24"/>
  <c r="O40" i="24"/>
  <c r="P40" i="24"/>
  <c r="Q40" i="24"/>
  <c r="R40" i="24"/>
  <c r="S40" i="24"/>
  <c r="T40" i="24"/>
  <c r="U40" i="24"/>
  <c r="V40" i="24"/>
  <c r="W40" i="24"/>
  <c r="X40" i="24"/>
  <c r="Y40" i="24"/>
  <c r="Z40" i="24"/>
  <c r="AA40" i="24"/>
  <c r="AB40" i="24"/>
  <c r="C11" i="3"/>
  <c r="AH191" i="24"/>
  <c r="AI191" i="24" s="1"/>
  <c r="C34" i="24"/>
  <c r="AH190" i="24"/>
  <c r="H42" i="24"/>
  <c r="H44" i="24"/>
  <c r="G16" i="24"/>
  <c r="G17" i="24" s="1"/>
  <c r="F11" i="24"/>
  <c r="F105" i="1"/>
  <c r="G111" i="1" s="1"/>
  <c r="G144" i="1" s="1"/>
  <c r="G105" i="1"/>
  <c r="J105" i="1"/>
  <c r="L111" i="1" s="1"/>
  <c r="L144" i="1" s="1"/>
  <c r="K59" i="10"/>
  <c r="H70" i="18"/>
  <c r="I57" i="20"/>
  <c r="H115" i="11"/>
  <c r="G92" i="1"/>
  <c r="G97" i="1" s="1"/>
  <c r="G99" i="1" s="1"/>
  <c r="G162" i="1" s="1"/>
  <c r="G185" i="1" s="1"/>
  <c r="K111" i="1"/>
  <c r="K144" i="1" s="1"/>
  <c r="B143" i="24"/>
  <c r="C81" i="24"/>
  <c r="F52" i="10"/>
  <c r="F59" i="10" s="1"/>
  <c r="F45" i="10"/>
  <c r="E63" i="20"/>
  <c r="E70" i="20" s="1"/>
  <c r="E57" i="20"/>
  <c r="H130" i="18"/>
  <c r="H56" i="20"/>
  <c r="H69" i="20" s="1"/>
  <c r="H70" i="20" s="1"/>
  <c r="Y70" i="18"/>
  <c r="I105" i="24"/>
  <c r="J111" i="24" s="1"/>
  <c r="E105" i="24"/>
  <c r="D105" i="24"/>
  <c r="E111" i="24" s="1"/>
  <c r="H105" i="24"/>
  <c r="C105" i="24"/>
  <c r="D111" i="24" s="1"/>
  <c r="J105" i="24"/>
  <c r="K111" i="24" s="1"/>
  <c r="G105" i="24"/>
  <c r="H111" i="24" s="1"/>
  <c r="F105" i="24"/>
  <c r="K105" i="24"/>
  <c r="L105" i="24"/>
  <c r="M111" i="24" s="1"/>
  <c r="M105" i="24"/>
  <c r="N111" i="24" s="1"/>
  <c r="N105" i="24"/>
  <c r="O105" i="24"/>
  <c r="P111" i="24" s="1"/>
  <c r="P105" i="24"/>
  <c r="Q111" i="24" s="1"/>
  <c r="Q105" i="24"/>
  <c r="R111" i="24" s="1"/>
  <c r="R105" i="24"/>
  <c r="S105" i="24"/>
  <c r="T111" i="24" s="1"/>
  <c r="T105" i="24"/>
  <c r="U111" i="24" s="1"/>
  <c r="U105" i="24"/>
  <c r="V111" i="24" s="1"/>
  <c r="V105" i="24"/>
  <c r="W105" i="24"/>
  <c r="X111" i="24" s="1"/>
  <c r="X105" i="24"/>
  <c r="Y111" i="24" s="1"/>
  <c r="Y105" i="24"/>
  <c r="Z111" i="24" s="1"/>
  <c r="Z105" i="24"/>
  <c r="AB105" i="24"/>
  <c r="AA105" i="24"/>
  <c r="AB111" i="24" s="1"/>
  <c r="K45" i="10"/>
  <c r="L26" i="1"/>
  <c r="M25" i="1"/>
  <c r="L34" i="18"/>
  <c r="AI190" i="1"/>
  <c r="AI194" i="1" s="1"/>
  <c r="AH194" i="1"/>
  <c r="G192" i="1"/>
  <c r="K86" i="1"/>
  <c r="I94" i="1"/>
  <c r="H93" i="1"/>
  <c r="I45" i="1"/>
  <c r="L86" i="1"/>
  <c r="F115" i="11"/>
  <c r="E92" i="11"/>
  <c r="E96" i="11" s="1"/>
  <c r="K45" i="1"/>
  <c r="M45" i="1"/>
  <c r="J45" i="1"/>
  <c r="J86" i="1"/>
  <c r="E36" i="1"/>
  <c r="E37" i="1" s="1"/>
  <c r="E73" i="1" s="1"/>
  <c r="F36" i="1"/>
  <c r="H36" i="1"/>
  <c r="G36" i="1"/>
  <c r="D36" i="1"/>
  <c r="D37" i="1" s="1"/>
  <c r="D73" i="1" s="1"/>
  <c r="F143" i="1"/>
  <c r="F86" i="1"/>
  <c r="H89" i="1"/>
  <c r="I88" i="1"/>
  <c r="J36" i="1"/>
  <c r="I36" i="1"/>
  <c r="K36" i="1"/>
  <c r="L40" i="1"/>
  <c r="L142" i="1"/>
  <c r="G86" i="1"/>
  <c r="G143" i="1"/>
  <c r="E89" i="11"/>
  <c r="H11" i="1"/>
  <c r="N45" i="1"/>
  <c r="I86" i="1"/>
  <c r="I143" i="1"/>
  <c r="I40" i="1"/>
  <c r="N49" i="1" s="1"/>
  <c r="H86" i="1"/>
  <c r="H143" i="1"/>
  <c r="E86" i="1"/>
  <c r="E143" i="1"/>
  <c r="O45" i="1"/>
  <c r="P44" i="1"/>
  <c r="C35" i="1"/>
  <c r="E109" i="11"/>
  <c r="I100" i="18"/>
  <c r="H101" i="18"/>
  <c r="G89" i="11"/>
  <c r="G117" i="11"/>
  <c r="G115" i="11" s="1"/>
  <c r="H122" i="19"/>
  <c r="I121" i="19"/>
  <c r="H47" i="19"/>
  <c r="I46" i="19"/>
  <c r="F29" i="18"/>
  <c r="F23" i="19"/>
  <c r="I70" i="20"/>
  <c r="E29" i="18"/>
  <c r="E23" i="19"/>
  <c r="D23" i="19"/>
  <c r="D29" i="18"/>
  <c r="E115" i="1"/>
  <c r="I122" i="1" s="1"/>
  <c r="J115" i="1"/>
  <c r="L115" i="1"/>
  <c r="D115" i="1"/>
  <c r="H83" i="1"/>
  <c r="D83" i="1"/>
  <c r="J83" i="1"/>
  <c r="G83" i="1"/>
  <c r="G101" i="1" s="1"/>
  <c r="E83" i="1"/>
  <c r="K83" i="1"/>
  <c r="F83" i="1"/>
  <c r="I83" i="1"/>
  <c r="L83" i="1"/>
  <c r="F115" i="1"/>
  <c r="J119" i="1"/>
  <c r="K118" i="1"/>
  <c r="L125" i="1"/>
  <c r="G29" i="18" l="1"/>
  <c r="G23" i="19"/>
  <c r="R144" i="24"/>
  <c r="R145" i="24" s="1"/>
  <c r="R115" i="24"/>
  <c r="E144" i="24"/>
  <c r="E145" i="24" s="1"/>
  <c r="E115" i="24"/>
  <c r="E112" i="24"/>
  <c r="E131" i="24" s="1"/>
  <c r="O176" i="24"/>
  <c r="I88" i="24"/>
  <c r="H89" i="24"/>
  <c r="H90" i="24"/>
  <c r="I41" i="1"/>
  <c r="AB144" i="24"/>
  <c r="AB115" i="24"/>
  <c r="Y115" i="24"/>
  <c r="Y144" i="24"/>
  <c r="Y145" i="24" s="1"/>
  <c r="U144" i="24"/>
  <c r="U145" i="24" s="1"/>
  <c r="U115" i="24"/>
  <c r="Q115" i="24"/>
  <c r="Q144" i="24"/>
  <c r="Q145" i="24" s="1"/>
  <c r="M144" i="24"/>
  <c r="M145" i="24" s="1"/>
  <c r="M115" i="24"/>
  <c r="K112" i="24"/>
  <c r="K115" i="24"/>
  <c r="K144" i="24"/>
  <c r="K145" i="24" s="1"/>
  <c r="F111" i="24"/>
  <c r="H131" i="18"/>
  <c r="I130" i="18"/>
  <c r="AI190" i="24"/>
  <c r="B226" i="24"/>
  <c r="AH194" i="24"/>
  <c r="AB43" i="24"/>
  <c r="AB153" i="24" s="1"/>
  <c r="X43" i="24"/>
  <c r="X153" i="24" s="1"/>
  <c r="P43" i="24"/>
  <c r="P153" i="24" s="1"/>
  <c r="T43" i="24"/>
  <c r="T153" i="24" s="1"/>
  <c r="R43" i="24"/>
  <c r="R153" i="24" s="1"/>
  <c r="B144" i="24"/>
  <c r="C110" i="24"/>
  <c r="R112" i="24" s="1"/>
  <c r="G92" i="24"/>
  <c r="G97" i="24" s="1"/>
  <c r="G99" i="24" s="1"/>
  <c r="H93" i="24"/>
  <c r="J95" i="24"/>
  <c r="K96" i="24"/>
  <c r="I94" i="24"/>
  <c r="H57" i="20"/>
  <c r="V115" i="24"/>
  <c r="V144" i="24"/>
  <c r="V145" i="24" s="1"/>
  <c r="V112" i="24"/>
  <c r="N112" i="24"/>
  <c r="N115" i="24"/>
  <c r="N144" i="24"/>
  <c r="N145" i="24" s="1"/>
  <c r="G41" i="24"/>
  <c r="H41" i="24"/>
  <c r="F41" i="24"/>
  <c r="E41" i="24"/>
  <c r="D41" i="24"/>
  <c r="J41" i="24"/>
  <c r="I41" i="24"/>
  <c r="K41" i="24"/>
  <c r="L41" i="24"/>
  <c r="M41" i="24"/>
  <c r="N41" i="24"/>
  <c r="O41" i="24"/>
  <c r="P41" i="24"/>
  <c r="Q41" i="24"/>
  <c r="R41" i="24"/>
  <c r="S41" i="24"/>
  <c r="T41" i="24"/>
  <c r="U41" i="24"/>
  <c r="V41" i="24"/>
  <c r="W41" i="24"/>
  <c r="X41" i="24"/>
  <c r="Y41" i="24"/>
  <c r="AB62" i="24" s="1"/>
  <c r="Z41" i="24"/>
  <c r="AA41" i="24"/>
  <c r="AB41" i="24"/>
  <c r="U43" i="24"/>
  <c r="U153" i="24" s="1"/>
  <c r="Y43" i="24"/>
  <c r="Y153" i="24" s="1"/>
  <c r="N176" i="24"/>
  <c r="G115" i="1"/>
  <c r="K116" i="1" s="1"/>
  <c r="K156" i="1" s="1"/>
  <c r="K179" i="1" s="1"/>
  <c r="K115" i="1"/>
  <c r="D213" i="1"/>
  <c r="B220" i="1"/>
  <c r="I213" i="1"/>
  <c r="B197" i="1"/>
  <c r="B209" i="1" s="1"/>
  <c r="M34" i="18"/>
  <c r="M26" i="1"/>
  <c r="N25" i="1"/>
  <c r="X144" i="24"/>
  <c r="X145" i="24" s="1"/>
  <c r="X112" i="24"/>
  <c r="X115" i="24"/>
  <c r="T112" i="24"/>
  <c r="T115" i="24"/>
  <c r="T144" i="24"/>
  <c r="T145" i="24" s="1"/>
  <c r="P115" i="24"/>
  <c r="P112" i="24"/>
  <c r="P144" i="24"/>
  <c r="P145" i="24" s="1"/>
  <c r="L111" i="24"/>
  <c r="D115" i="24"/>
  <c r="D144" i="24"/>
  <c r="D145" i="24" s="1"/>
  <c r="D112" i="24"/>
  <c r="D131" i="24" s="1"/>
  <c r="J115" i="24"/>
  <c r="J144" i="24"/>
  <c r="J145" i="24" s="1"/>
  <c r="J112" i="24"/>
  <c r="I83" i="24"/>
  <c r="H83" i="24"/>
  <c r="D83" i="24"/>
  <c r="D101" i="24" s="1"/>
  <c r="E83" i="24"/>
  <c r="E101" i="24" s="1"/>
  <c r="F83" i="24"/>
  <c r="F101" i="24" s="1"/>
  <c r="G83" i="24"/>
  <c r="K83" i="24"/>
  <c r="J83" i="24"/>
  <c r="L83" i="24"/>
  <c r="M83" i="24"/>
  <c r="N83" i="24"/>
  <c r="O83" i="24"/>
  <c r="P83" i="24"/>
  <c r="Q83" i="24"/>
  <c r="R83" i="24"/>
  <c r="S83" i="24"/>
  <c r="T83" i="24"/>
  <c r="U83" i="24"/>
  <c r="V83" i="24"/>
  <c r="W83" i="24"/>
  <c r="X83" i="24"/>
  <c r="Y83" i="24"/>
  <c r="Z83" i="24"/>
  <c r="AA83" i="24"/>
  <c r="AB83" i="24"/>
  <c r="B142" i="24"/>
  <c r="C35" i="24"/>
  <c r="AA43" i="24"/>
  <c r="AA153" i="24" s="1"/>
  <c r="W43" i="24"/>
  <c r="W153" i="24" s="1"/>
  <c r="M43" i="24"/>
  <c r="M153" i="24" s="1"/>
  <c r="S43" i="24"/>
  <c r="S153" i="24" s="1"/>
  <c r="C110" i="1"/>
  <c r="K112" i="1" s="1"/>
  <c r="K134" i="1" s="1"/>
  <c r="Z144" i="24"/>
  <c r="Z145" i="24" s="1"/>
  <c r="Z115" i="24"/>
  <c r="Z112" i="24"/>
  <c r="H112" i="24"/>
  <c r="H115" i="24"/>
  <c r="H144" i="24"/>
  <c r="H145" i="24" s="1"/>
  <c r="I42" i="24"/>
  <c r="J42" i="24" s="1"/>
  <c r="K42" i="24" s="1"/>
  <c r="L42" i="24" s="1"/>
  <c r="M42" i="24" s="1"/>
  <c r="N42" i="24" s="1"/>
  <c r="O42" i="24" s="1"/>
  <c r="P42" i="24" s="1"/>
  <c r="Q42" i="24" s="1"/>
  <c r="R42" i="24" s="1"/>
  <c r="S42" i="24" s="1"/>
  <c r="T42" i="24" s="1"/>
  <c r="U42" i="24" s="1"/>
  <c r="V42" i="24" s="1"/>
  <c r="W42" i="24" s="1"/>
  <c r="X42" i="24" s="1"/>
  <c r="Y42" i="24" s="1"/>
  <c r="Z42" i="24" s="1"/>
  <c r="AA42" i="24" s="1"/>
  <c r="AB42" i="24" s="1"/>
  <c r="H11" i="24"/>
  <c r="Q176" i="24"/>
  <c r="AI193" i="24"/>
  <c r="B229" i="24"/>
  <c r="H229" i="24" s="1"/>
  <c r="I229" i="24" s="1"/>
  <c r="J229" i="24" s="1"/>
  <c r="K229" i="24" s="1"/>
  <c r="L229" i="24" s="1"/>
  <c r="M229" i="24" s="1"/>
  <c r="N229" i="24" s="1"/>
  <c r="O229" i="24" s="1"/>
  <c r="P229" i="24" s="1"/>
  <c r="Q229" i="24" s="1"/>
  <c r="R229" i="24" s="1"/>
  <c r="S229" i="24" s="1"/>
  <c r="T229" i="24" s="1"/>
  <c r="U229" i="24" s="1"/>
  <c r="V229" i="24" s="1"/>
  <c r="W229" i="24" s="1"/>
  <c r="X229" i="24" s="1"/>
  <c r="Y229" i="24" s="1"/>
  <c r="Z229" i="24" s="1"/>
  <c r="AA229" i="24" s="1"/>
  <c r="C23" i="19"/>
  <c r="C29" i="18"/>
  <c r="H37" i="1"/>
  <c r="F37" i="1"/>
  <c r="F73" i="1" s="1"/>
  <c r="L37" i="1"/>
  <c r="L41" i="1"/>
  <c r="L30" i="1"/>
  <c r="M36" i="1" s="1"/>
  <c r="L76" i="1"/>
  <c r="M82" i="1" s="1"/>
  <c r="L105" i="1"/>
  <c r="M111" i="1" s="1"/>
  <c r="AA111" i="24"/>
  <c r="W111" i="24"/>
  <c r="S111" i="24"/>
  <c r="O111" i="24"/>
  <c r="G111" i="24"/>
  <c r="I111" i="24"/>
  <c r="H111" i="1"/>
  <c r="I111" i="1"/>
  <c r="H45" i="24"/>
  <c r="I44" i="24"/>
  <c r="Z43" i="24"/>
  <c r="Z153" i="24" s="1"/>
  <c r="V43" i="24"/>
  <c r="V153" i="24" s="1"/>
  <c r="K43" i="24"/>
  <c r="K153" i="24" s="1"/>
  <c r="H43" i="24"/>
  <c r="H153" i="24" s="1"/>
  <c r="I43" i="24"/>
  <c r="I153" i="24" s="1"/>
  <c r="J43" i="24"/>
  <c r="J153" i="24" s="1"/>
  <c r="L43" i="24"/>
  <c r="L153" i="24" s="1"/>
  <c r="H119" i="24"/>
  <c r="I118" i="24"/>
  <c r="G228" i="24"/>
  <c r="H228" i="24" s="1"/>
  <c r="I228" i="24" s="1"/>
  <c r="J228" i="24" s="1"/>
  <c r="K228" i="24" s="1"/>
  <c r="L228" i="24" s="1"/>
  <c r="M228" i="24" s="1"/>
  <c r="N228" i="24" s="1"/>
  <c r="O228" i="24" s="1"/>
  <c r="P228" i="24" s="1"/>
  <c r="Q228" i="24" s="1"/>
  <c r="R228" i="24" s="1"/>
  <c r="S228" i="24" s="1"/>
  <c r="T228" i="24" s="1"/>
  <c r="U228" i="24" s="1"/>
  <c r="V228" i="24" s="1"/>
  <c r="W228" i="24" s="1"/>
  <c r="X228" i="24" s="1"/>
  <c r="Y228" i="24" s="1"/>
  <c r="Z228" i="24" s="1"/>
  <c r="AA228" i="24" s="1"/>
  <c r="I55" i="18"/>
  <c r="H56" i="18"/>
  <c r="J91" i="19"/>
  <c r="I92" i="19"/>
  <c r="C197" i="1"/>
  <c r="G213" i="1"/>
  <c r="B198" i="1"/>
  <c r="M37" i="1"/>
  <c r="I37" i="1"/>
  <c r="K43" i="11" s="1"/>
  <c r="K111" i="11" s="1"/>
  <c r="G37" i="1"/>
  <c r="M87" i="1"/>
  <c r="M155" i="1" s="1"/>
  <c r="M178" i="1" s="1"/>
  <c r="P51" i="1"/>
  <c r="L147" i="1"/>
  <c r="L145" i="1"/>
  <c r="K142" i="1"/>
  <c r="K41" i="1"/>
  <c r="K40" i="1"/>
  <c r="L62" i="1"/>
  <c r="J142" i="1"/>
  <c r="J40" i="1"/>
  <c r="J41" i="1"/>
  <c r="G41" i="1"/>
  <c r="G142" i="1"/>
  <c r="G40" i="1"/>
  <c r="F41" i="1"/>
  <c r="F40" i="1"/>
  <c r="F142" i="1"/>
  <c r="I89" i="1"/>
  <c r="J88" i="1"/>
  <c r="D40" i="1"/>
  <c r="D41" i="1"/>
  <c r="D142" i="1"/>
  <c r="H41" i="1"/>
  <c r="H40" i="1"/>
  <c r="H142" i="1"/>
  <c r="E142" i="1"/>
  <c r="E40" i="1"/>
  <c r="E41" i="1"/>
  <c r="S52" i="1"/>
  <c r="M126" i="1"/>
  <c r="K37" i="1"/>
  <c r="M43" i="11" s="1"/>
  <c r="M111" i="11" s="1"/>
  <c r="J37" i="1"/>
  <c r="O48" i="1"/>
  <c r="P66" i="1"/>
  <c r="M48" i="1"/>
  <c r="O50" i="1"/>
  <c r="Q52" i="1"/>
  <c r="N64" i="1"/>
  <c r="I142" i="1"/>
  <c r="P45" i="1"/>
  <c r="Q44" i="1"/>
  <c r="N87" i="1"/>
  <c r="N155" i="1" s="1"/>
  <c r="N178" i="1" s="1"/>
  <c r="H87" i="1"/>
  <c r="H155" i="1" s="1"/>
  <c r="H178" i="1" s="1"/>
  <c r="AF205" i="1" s="1"/>
  <c r="AH205" i="1" s="1"/>
  <c r="J94" i="1"/>
  <c r="L87" i="1"/>
  <c r="L155" i="1" s="1"/>
  <c r="L178" i="1" s="1"/>
  <c r="K95" i="1"/>
  <c r="L96" i="1"/>
  <c r="I87" i="1"/>
  <c r="I155" i="1" s="1"/>
  <c r="I178" i="1" s="1"/>
  <c r="J87" i="1"/>
  <c r="J155" i="1" s="1"/>
  <c r="J178" i="1" s="1"/>
  <c r="K87" i="1"/>
  <c r="K155" i="1" s="1"/>
  <c r="K178" i="1" s="1"/>
  <c r="H92" i="1"/>
  <c r="H97" i="1" s="1"/>
  <c r="I93" i="1"/>
  <c r="O87" i="1"/>
  <c r="O155" i="1" s="1"/>
  <c r="O178" i="1" s="1"/>
  <c r="Q50" i="1"/>
  <c r="J123" i="1"/>
  <c r="V43" i="11"/>
  <c r="V111" i="11" s="1"/>
  <c r="I101" i="18"/>
  <c r="J100" i="18"/>
  <c r="R43" i="11"/>
  <c r="R111" i="11" s="1"/>
  <c r="I47" i="19"/>
  <c r="J46" i="19"/>
  <c r="I122" i="19"/>
  <c r="J121" i="19"/>
  <c r="S43" i="11"/>
  <c r="S111" i="11" s="1"/>
  <c r="D24" i="22"/>
  <c r="D25" i="22" s="1"/>
  <c r="D30" i="18"/>
  <c r="H29" i="18"/>
  <c r="H23" i="19"/>
  <c r="I23" i="19" s="1"/>
  <c r="J23" i="19" s="1"/>
  <c r="G24" i="22"/>
  <c r="G25" i="22" s="1"/>
  <c r="G30" i="18"/>
  <c r="G31" i="18" s="1"/>
  <c r="F24" i="22"/>
  <c r="F25" i="22" s="1"/>
  <c r="F30" i="18"/>
  <c r="F31" i="18" s="1"/>
  <c r="E24" i="22"/>
  <c r="E25" i="22" s="1"/>
  <c r="E30" i="18"/>
  <c r="E31" i="18" s="1"/>
  <c r="AA43" i="11"/>
  <c r="AA111" i="11" s="1"/>
  <c r="F101" i="1"/>
  <c r="E101" i="1"/>
  <c r="Y43" i="11"/>
  <c r="Y111" i="11" s="1"/>
  <c r="D101" i="1"/>
  <c r="N43" i="11"/>
  <c r="N111" i="11" s="1"/>
  <c r="P43" i="11"/>
  <c r="P111" i="11" s="1"/>
  <c r="O43" i="11"/>
  <c r="O111" i="11" s="1"/>
  <c r="Z43" i="11"/>
  <c r="Z111" i="11" s="1"/>
  <c r="AB43" i="11"/>
  <c r="AB111" i="11" s="1"/>
  <c r="J43" i="11"/>
  <c r="J111" i="11" s="1"/>
  <c r="L126" i="1"/>
  <c r="H122" i="1"/>
  <c r="H127" i="1" s="1"/>
  <c r="H129" i="1" s="1"/>
  <c r="H163" i="1" s="1"/>
  <c r="H186" i="1" s="1"/>
  <c r="H116" i="1"/>
  <c r="H156" i="1" s="1"/>
  <c r="H179" i="1" s="1"/>
  <c r="AF206" i="1" s="1"/>
  <c r="AH206" i="1" s="1"/>
  <c r="I123" i="1"/>
  <c r="I127" i="1" s="1"/>
  <c r="I129" i="1" s="1"/>
  <c r="I163" i="1" s="1"/>
  <c r="I186" i="1" s="1"/>
  <c r="J116" i="1"/>
  <c r="J156" i="1" s="1"/>
  <c r="J179" i="1" s="1"/>
  <c r="J124" i="1"/>
  <c r="K125" i="1"/>
  <c r="I116" i="1"/>
  <c r="I156" i="1" s="1"/>
  <c r="I179" i="1" s="1"/>
  <c r="U43" i="11"/>
  <c r="U111" i="11" s="1"/>
  <c r="Q43" i="11"/>
  <c r="Q111" i="11" s="1"/>
  <c r="L43" i="11"/>
  <c r="L111" i="11" s="1"/>
  <c r="X43" i="11"/>
  <c r="X111" i="11" s="1"/>
  <c r="M125" i="1"/>
  <c r="N126" i="1"/>
  <c r="L124" i="1"/>
  <c r="K123" i="1"/>
  <c r="J122" i="1"/>
  <c r="L118" i="1"/>
  <c r="K119" i="1"/>
  <c r="L176" i="24" l="1"/>
  <c r="L52" i="24"/>
  <c r="I49" i="24"/>
  <c r="K51" i="24"/>
  <c r="J50" i="24"/>
  <c r="H48" i="24"/>
  <c r="H53" i="24" s="1"/>
  <c r="AA112" i="24"/>
  <c r="AA144" i="24"/>
  <c r="AA145" i="24" s="1"/>
  <c r="AA115" i="24"/>
  <c r="T66" i="24"/>
  <c r="P62" i="24"/>
  <c r="Q63" i="24"/>
  <c r="R64" i="24"/>
  <c r="S65" i="24"/>
  <c r="T57" i="24"/>
  <c r="T154" i="24" s="1"/>
  <c r="T177" i="24" s="1"/>
  <c r="AB145" i="24"/>
  <c r="AD144" i="24" s="1"/>
  <c r="K91" i="19"/>
  <c r="J92" i="19"/>
  <c r="J176" i="24"/>
  <c r="V176" i="24"/>
  <c r="I144" i="1"/>
  <c r="I115" i="1"/>
  <c r="I112" i="1"/>
  <c r="O115" i="24"/>
  <c r="O112" i="24"/>
  <c r="O144" i="24"/>
  <c r="O145" i="24" s="1"/>
  <c r="M144" i="1"/>
  <c r="M112" i="1"/>
  <c r="M115" i="1"/>
  <c r="P63" i="1"/>
  <c r="O62" i="1"/>
  <c r="R65" i="1"/>
  <c r="Q64" i="1"/>
  <c r="S66" i="1"/>
  <c r="S176" i="24"/>
  <c r="D37" i="24"/>
  <c r="K37" i="24"/>
  <c r="K134" i="24" s="1"/>
  <c r="G37" i="24"/>
  <c r="J37" i="24"/>
  <c r="J134" i="24" s="1"/>
  <c r="I37" i="24"/>
  <c r="H37" i="24"/>
  <c r="H134" i="24" s="1"/>
  <c r="F37" i="24"/>
  <c r="E37" i="24"/>
  <c r="L37" i="24"/>
  <c r="M37" i="24"/>
  <c r="N37" i="24"/>
  <c r="N134" i="24" s="1"/>
  <c r="O37" i="24"/>
  <c r="O134" i="24" s="1"/>
  <c r="P37" i="24"/>
  <c r="P134" i="24" s="1"/>
  <c r="Q37" i="24"/>
  <c r="R37" i="24"/>
  <c r="R134" i="24" s="1"/>
  <c r="S37" i="24"/>
  <c r="S134" i="24" s="1"/>
  <c r="T37" i="24"/>
  <c r="T134" i="24" s="1"/>
  <c r="U37" i="24"/>
  <c r="V37" i="24"/>
  <c r="V134" i="24" s="1"/>
  <c r="W37" i="24"/>
  <c r="X37" i="24"/>
  <c r="X134" i="24" s="1"/>
  <c r="Y37" i="24"/>
  <c r="Z37" i="24"/>
  <c r="Z134" i="24" s="1"/>
  <c r="AA37" i="24"/>
  <c r="AA134" i="24" s="1"/>
  <c r="AB37" i="24"/>
  <c r="I123" i="24"/>
  <c r="I116" i="24"/>
  <c r="I156" i="24" s="1"/>
  <c r="I179" i="24" s="1"/>
  <c r="H116" i="24"/>
  <c r="H156" i="24" s="1"/>
  <c r="H179" i="24" s="1"/>
  <c r="AF206" i="24" s="1"/>
  <c r="AH206" i="24" s="1"/>
  <c r="M30" i="1"/>
  <c r="N36" i="1" s="1"/>
  <c r="M76" i="1"/>
  <c r="N82" i="1" s="1"/>
  <c r="M105" i="1"/>
  <c r="N111" i="1" s="1"/>
  <c r="AA62" i="24"/>
  <c r="AB63" i="24"/>
  <c r="AB67" i="24" s="1"/>
  <c r="W57" i="24"/>
  <c r="W154" i="24" s="1"/>
  <c r="W177" i="24" s="1"/>
  <c r="AA66" i="24"/>
  <c r="Y64" i="24"/>
  <c r="X63" i="24"/>
  <c r="Z65" i="24"/>
  <c r="W62" i="24"/>
  <c r="AA57" i="24"/>
  <c r="AA154" i="24" s="1"/>
  <c r="AA177" i="24" s="1"/>
  <c r="AG204" i="24" s="1"/>
  <c r="AI204" i="24" s="1"/>
  <c r="V65" i="24"/>
  <c r="S62" i="24"/>
  <c r="U64" i="24"/>
  <c r="W66" i="24"/>
  <c r="T63" i="24"/>
  <c r="Q64" i="24"/>
  <c r="R65" i="24"/>
  <c r="O62" i="24"/>
  <c r="S66" i="24"/>
  <c r="P63" i="24"/>
  <c r="S57" i="24"/>
  <c r="S154" i="24" s="1"/>
  <c r="S177" i="24" s="1"/>
  <c r="I64" i="24"/>
  <c r="H63" i="24"/>
  <c r="G57" i="24"/>
  <c r="G154" i="24" s="1"/>
  <c r="J57" i="24"/>
  <c r="J154" i="24" s="1"/>
  <c r="J177" i="24" s="1"/>
  <c r="K66" i="24"/>
  <c r="G62" i="24"/>
  <c r="G67" i="24" s="1"/>
  <c r="K57" i="24"/>
  <c r="K154" i="24" s="1"/>
  <c r="K177" i="24" s="1"/>
  <c r="J65" i="24"/>
  <c r="I57" i="24"/>
  <c r="I154" i="24" s="1"/>
  <c r="I177" i="24" s="1"/>
  <c r="H57" i="24"/>
  <c r="H154" i="24" s="1"/>
  <c r="H177" i="24" s="1"/>
  <c r="AF204" i="24" s="1"/>
  <c r="AH204" i="24" s="1"/>
  <c r="L64" i="24"/>
  <c r="N66" i="24"/>
  <c r="J62" i="24"/>
  <c r="M65" i="24"/>
  <c r="K63" i="24"/>
  <c r="N57" i="24"/>
  <c r="N154" i="24" s="1"/>
  <c r="G101" i="24"/>
  <c r="G162" i="24"/>
  <c r="G185" i="24" s="1"/>
  <c r="G192" i="24" s="1"/>
  <c r="T176" i="24"/>
  <c r="B197" i="24"/>
  <c r="B220" i="24"/>
  <c r="I213" i="24"/>
  <c r="D213" i="24"/>
  <c r="Q112" i="24"/>
  <c r="M63" i="1"/>
  <c r="O65" i="1"/>
  <c r="I89" i="24"/>
  <c r="J88" i="24"/>
  <c r="AA176" i="24"/>
  <c r="O25" i="1"/>
  <c r="N26" i="1"/>
  <c r="N34" i="18"/>
  <c r="Y63" i="24"/>
  <c r="AA65" i="24"/>
  <c r="X62" i="24"/>
  <c r="Z64" i="24"/>
  <c r="AB66" i="24"/>
  <c r="AB57" i="24"/>
  <c r="AB154" i="24" s="1"/>
  <c r="Q66" i="24"/>
  <c r="N63" i="24"/>
  <c r="O64" i="24"/>
  <c r="P65" i="24"/>
  <c r="M62" i="24"/>
  <c r="Q57" i="24"/>
  <c r="Q154" i="24" s="1"/>
  <c r="M116" i="1"/>
  <c r="M156" i="1" s="1"/>
  <c r="M179" i="1" s="1"/>
  <c r="O116" i="1"/>
  <c r="O156" i="1" s="1"/>
  <c r="O179" i="1" s="1"/>
  <c r="I134" i="1"/>
  <c r="J118" i="24"/>
  <c r="I119" i="24"/>
  <c r="I176" i="24"/>
  <c r="Z176" i="24"/>
  <c r="H144" i="1"/>
  <c r="H115" i="1"/>
  <c r="H112" i="1"/>
  <c r="H134" i="1" s="1"/>
  <c r="S115" i="24"/>
  <c r="AA116" i="24" s="1"/>
  <c r="AA156" i="24" s="1"/>
  <c r="AA179" i="24" s="1"/>
  <c r="S144" i="24"/>
  <c r="S145" i="24" s="1"/>
  <c r="S112" i="24"/>
  <c r="M86" i="1"/>
  <c r="M83" i="1"/>
  <c r="M134" i="1" s="1"/>
  <c r="M143" i="1"/>
  <c r="C30" i="18"/>
  <c r="C31" i="18" s="1"/>
  <c r="C24" i="22"/>
  <c r="C25" i="22" s="1"/>
  <c r="M176" i="24"/>
  <c r="J147" i="24"/>
  <c r="J263" i="24" s="1"/>
  <c r="D147" i="24"/>
  <c r="D263" i="24" s="1"/>
  <c r="E147" i="24"/>
  <c r="E263" i="24" s="1"/>
  <c r="K147" i="24"/>
  <c r="K263" i="24" s="1"/>
  <c r="H147" i="24"/>
  <c r="H263" i="24" s="1"/>
  <c r="M147" i="24"/>
  <c r="M263" i="24" s="1"/>
  <c r="N147" i="24"/>
  <c r="N263" i="24" s="1"/>
  <c r="O147" i="24"/>
  <c r="O263" i="24" s="1"/>
  <c r="P147" i="24"/>
  <c r="P263" i="24" s="1"/>
  <c r="Q147" i="24"/>
  <c r="Q263" i="24" s="1"/>
  <c r="R147" i="24"/>
  <c r="R263" i="24" s="1"/>
  <c r="S147" i="24"/>
  <c r="S263" i="24" s="1"/>
  <c r="T147" i="24"/>
  <c r="T263" i="24" s="1"/>
  <c r="U147" i="24"/>
  <c r="U263" i="24" s="1"/>
  <c r="V147" i="24"/>
  <c r="V263" i="24" s="1"/>
  <c r="X147" i="24"/>
  <c r="Y147" i="24"/>
  <c r="Z147" i="24"/>
  <c r="AA147" i="24"/>
  <c r="AB147" i="24"/>
  <c r="B145" i="24"/>
  <c r="B146" i="24" s="1"/>
  <c r="C146" i="24" s="1"/>
  <c r="R116" i="24"/>
  <c r="R156" i="24" s="1"/>
  <c r="R179" i="24" s="1"/>
  <c r="L144" i="24"/>
  <c r="L145" i="24" s="1"/>
  <c r="L115" i="24"/>
  <c r="T116" i="24" s="1"/>
  <c r="T156" i="24" s="1"/>
  <c r="L112" i="24"/>
  <c r="AB64" i="24"/>
  <c r="Z62" i="24"/>
  <c r="AA63" i="24"/>
  <c r="Z66" i="24"/>
  <c r="V62" i="24"/>
  <c r="W63" i="24"/>
  <c r="X64" i="24"/>
  <c r="Y65" i="24"/>
  <c r="Z57" i="24"/>
  <c r="Z154" i="24" s="1"/>
  <c r="Z177" i="24" s="1"/>
  <c r="R57" i="24"/>
  <c r="R154" i="24" s="1"/>
  <c r="R177" i="24" s="1"/>
  <c r="V66" i="24"/>
  <c r="R62" i="24"/>
  <c r="R67" i="24" s="1"/>
  <c r="T64" i="24"/>
  <c r="S63" i="24"/>
  <c r="U65" i="24"/>
  <c r="V57" i="24"/>
  <c r="V154" i="24" s="1"/>
  <c r="V177" i="24" s="1"/>
  <c r="P64" i="24"/>
  <c r="R66" i="24"/>
  <c r="N62" i="24"/>
  <c r="O63" i="24"/>
  <c r="Q65" i="24"/>
  <c r="J64" i="24"/>
  <c r="L66" i="24"/>
  <c r="H62" i="24"/>
  <c r="H67" i="24" s="1"/>
  <c r="I69" i="24" s="1"/>
  <c r="K65" i="24"/>
  <c r="I63" i="24"/>
  <c r="L57" i="24"/>
  <c r="L154" i="24" s="1"/>
  <c r="L177" i="24" s="1"/>
  <c r="G112" i="24"/>
  <c r="G131" i="24" s="1"/>
  <c r="P176" i="24"/>
  <c r="H226" i="24"/>
  <c r="B227" i="24"/>
  <c r="G227" i="24" s="1"/>
  <c r="F144" i="24"/>
  <c r="F145" i="24" s="1"/>
  <c r="F112" i="24"/>
  <c r="F131" i="24" s="1"/>
  <c r="F115" i="24"/>
  <c r="N116" i="24" s="1"/>
  <c r="N156" i="24" s="1"/>
  <c r="N179" i="24" s="1"/>
  <c r="U112" i="24"/>
  <c r="K176" i="24"/>
  <c r="G115" i="24"/>
  <c r="G144" i="24"/>
  <c r="G145" i="24" s="1"/>
  <c r="D112" i="1"/>
  <c r="F112" i="1"/>
  <c r="J112" i="1"/>
  <c r="J134" i="1" s="1"/>
  <c r="L112" i="1"/>
  <c r="L134" i="1" s="1"/>
  <c r="G112" i="1"/>
  <c r="G131" i="1" s="1"/>
  <c r="E112" i="1"/>
  <c r="U176" i="24"/>
  <c r="X66" i="24"/>
  <c r="T62" i="24"/>
  <c r="U63" i="24"/>
  <c r="V64" i="24"/>
  <c r="W65" i="24"/>
  <c r="X57" i="24"/>
  <c r="X154" i="24" s="1"/>
  <c r="X177" i="24" s="1"/>
  <c r="N65" i="24"/>
  <c r="K62" i="24"/>
  <c r="M64" i="24"/>
  <c r="O57" i="24"/>
  <c r="O154" i="24" s="1"/>
  <c r="O66" i="24"/>
  <c r="L63" i="24"/>
  <c r="R176" i="24"/>
  <c r="R180" i="24" s="1"/>
  <c r="R267" i="24" s="1"/>
  <c r="R157" i="24"/>
  <c r="R158" i="24" s="1"/>
  <c r="I131" i="18"/>
  <c r="J130" i="18"/>
  <c r="L96" i="24"/>
  <c r="H92" i="24"/>
  <c r="H97" i="24" s="1"/>
  <c r="J94" i="24"/>
  <c r="I93" i="24"/>
  <c r="K95" i="24"/>
  <c r="I193" i="1"/>
  <c r="H145" i="1"/>
  <c r="J55" i="18"/>
  <c r="I56" i="18"/>
  <c r="H122" i="24"/>
  <c r="H127" i="24" s="1"/>
  <c r="J124" i="24"/>
  <c r="L126" i="24"/>
  <c r="K125" i="24"/>
  <c r="H157" i="24"/>
  <c r="H158" i="24" s="1"/>
  <c r="H176" i="24"/>
  <c r="J44" i="24"/>
  <c r="I45" i="24"/>
  <c r="I144" i="24"/>
  <c r="I145" i="24" s="1"/>
  <c r="I115" i="24"/>
  <c r="Q116" i="24" s="1"/>
  <c r="Q156" i="24" s="1"/>
  <c r="Q179" i="24" s="1"/>
  <c r="I112" i="24"/>
  <c r="W144" i="24"/>
  <c r="W145" i="24" s="1"/>
  <c r="W112" i="24"/>
  <c r="W115" i="24"/>
  <c r="M41" i="1"/>
  <c r="P57" i="1" s="1"/>
  <c r="P154" i="1" s="1"/>
  <c r="P177" i="1" s="1"/>
  <c r="M40" i="1"/>
  <c r="M142" i="1"/>
  <c r="W176" i="24"/>
  <c r="AB116" i="24"/>
  <c r="AB156" i="24" s="1"/>
  <c r="Y176" i="24"/>
  <c r="AA64" i="24"/>
  <c r="AB65" i="24"/>
  <c r="Z63" i="24"/>
  <c r="Y62" i="24"/>
  <c r="W64" i="24"/>
  <c r="U62" i="24"/>
  <c r="Y66" i="24"/>
  <c r="X65" i="24"/>
  <c r="V63" i="24"/>
  <c r="Y57" i="24"/>
  <c r="Y154" i="24" s="1"/>
  <c r="Y177" i="24" s="1"/>
  <c r="U66" i="24"/>
  <c r="R63" i="24"/>
  <c r="T65" i="24"/>
  <c r="Q62" i="24"/>
  <c r="S64" i="24"/>
  <c r="U57" i="24"/>
  <c r="U154" i="24" s="1"/>
  <c r="U177" i="24" s="1"/>
  <c r="N64" i="24"/>
  <c r="P66" i="24"/>
  <c r="L62" i="24"/>
  <c r="O65" i="24"/>
  <c r="M63" i="24"/>
  <c r="P57" i="24"/>
  <c r="P154" i="24" s="1"/>
  <c r="P177" i="24" s="1"/>
  <c r="L65" i="24"/>
  <c r="I62" i="24"/>
  <c r="I67" i="24" s="1"/>
  <c r="K64" i="24"/>
  <c r="M57" i="24"/>
  <c r="M154" i="24" s="1"/>
  <c r="M177" i="24" s="1"/>
  <c r="M66" i="24"/>
  <c r="J63" i="24"/>
  <c r="X176" i="24"/>
  <c r="AI194" i="24"/>
  <c r="M112" i="24"/>
  <c r="Y116" i="24"/>
  <c r="Y156" i="24" s="1"/>
  <c r="Y179" i="24" s="1"/>
  <c r="Y112" i="24"/>
  <c r="AB112" i="24"/>
  <c r="V116" i="24"/>
  <c r="V156" i="24" s="1"/>
  <c r="V179" i="24" s="1"/>
  <c r="C220" i="1"/>
  <c r="C209" i="1"/>
  <c r="B221" i="1"/>
  <c r="B210" i="1"/>
  <c r="H193" i="1"/>
  <c r="C198" i="1"/>
  <c r="C221" i="1" s="1"/>
  <c r="D197" i="1"/>
  <c r="D220" i="1" s="1"/>
  <c r="AC43" i="11"/>
  <c r="AC111" i="11" s="1"/>
  <c r="AJ193" i="1"/>
  <c r="H147" i="1"/>
  <c r="I147" i="1"/>
  <c r="I145" i="1"/>
  <c r="F147" i="1"/>
  <c r="F145" i="1"/>
  <c r="G147" i="1"/>
  <c r="G145" i="1"/>
  <c r="J147" i="1"/>
  <c r="J145" i="1"/>
  <c r="E147" i="1"/>
  <c r="E145" i="1"/>
  <c r="D147" i="1"/>
  <c r="D145" i="1"/>
  <c r="K147" i="1"/>
  <c r="K145" i="1"/>
  <c r="K65" i="1"/>
  <c r="I63" i="1"/>
  <c r="L66" i="1"/>
  <c r="J64" i="1"/>
  <c r="H62" i="1"/>
  <c r="O51" i="1"/>
  <c r="L48" i="1"/>
  <c r="N50" i="1"/>
  <c r="M49" i="1"/>
  <c r="P43" i="1"/>
  <c r="P153" i="1" s="1"/>
  <c r="P52" i="1"/>
  <c r="H43" i="1"/>
  <c r="H153" i="1" s="1"/>
  <c r="J50" i="1"/>
  <c r="H48" i="1"/>
  <c r="H53" i="1" s="1"/>
  <c r="L52" i="1"/>
  <c r="I49" i="1"/>
  <c r="L43" i="1"/>
  <c r="L153" i="1" s="1"/>
  <c r="J43" i="1"/>
  <c r="J153" i="1" s="1"/>
  <c r="I43" i="1"/>
  <c r="I153" i="1" s="1"/>
  <c r="K51" i="1"/>
  <c r="K43" i="1"/>
  <c r="K153" i="1" s="1"/>
  <c r="I92" i="1"/>
  <c r="I97" i="1" s="1"/>
  <c r="I99" i="1" s="1"/>
  <c r="I162" i="1" s="1"/>
  <c r="I185" i="1" s="1"/>
  <c r="I192" i="1" s="1"/>
  <c r="L95" i="1"/>
  <c r="K94" i="1"/>
  <c r="M96" i="1"/>
  <c r="J93" i="1"/>
  <c r="L50" i="1"/>
  <c r="K49" i="1"/>
  <c r="M51" i="1"/>
  <c r="N52" i="1"/>
  <c r="J48" i="1"/>
  <c r="N43" i="1"/>
  <c r="N153" i="1" s="1"/>
  <c r="L49" i="1"/>
  <c r="K48" i="1"/>
  <c r="N51" i="1"/>
  <c r="O52" i="1"/>
  <c r="M50" i="1"/>
  <c r="O43" i="1"/>
  <c r="O153" i="1" s="1"/>
  <c r="N66" i="1"/>
  <c r="J62" i="1"/>
  <c r="L64" i="1"/>
  <c r="M65" i="1"/>
  <c r="K63" i="1"/>
  <c r="N57" i="1"/>
  <c r="N154" i="1" s="1"/>
  <c r="N177" i="1" s="1"/>
  <c r="R52" i="1"/>
  <c r="O49" i="1"/>
  <c r="O53" i="1" s="1"/>
  <c r="Q51" i="1"/>
  <c r="N48" i="1"/>
  <c r="P50" i="1"/>
  <c r="P64" i="1"/>
  <c r="R66" i="1"/>
  <c r="O63" i="1"/>
  <c r="Q65" i="1"/>
  <c r="N62" i="1"/>
  <c r="L51" i="1"/>
  <c r="M52" i="1"/>
  <c r="I48" i="1"/>
  <c r="M43" i="1"/>
  <c r="M153" i="1" s="1"/>
  <c r="J49" i="1"/>
  <c r="K50" i="1"/>
  <c r="N65" i="1"/>
  <c r="M64" i="1"/>
  <c r="K62" i="1"/>
  <c r="O66" i="1"/>
  <c r="L63" i="1"/>
  <c r="O57" i="1"/>
  <c r="O154" i="1" s="1"/>
  <c r="O177" i="1" s="1"/>
  <c r="G62" i="1"/>
  <c r="G67" i="1" s="1"/>
  <c r="G69" i="1" s="1"/>
  <c r="G161" i="1" s="1"/>
  <c r="K66" i="1"/>
  <c r="G57" i="1"/>
  <c r="G154" i="1" s="1"/>
  <c r="J65" i="1"/>
  <c r="J57" i="1"/>
  <c r="J154" i="1" s="1"/>
  <c r="J177" i="1" s="1"/>
  <c r="H63" i="1"/>
  <c r="I64" i="1"/>
  <c r="K57" i="1"/>
  <c r="K154" i="1" s="1"/>
  <c r="K177" i="1" s="1"/>
  <c r="I57" i="1"/>
  <c r="I154" i="1" s="1"/>
  <c r="I177" i="1" s="1"/>
  <c r="H57" i="1"/>
  <c r="H154" i="1" s="1"/>
  <c r="H177" i="1" s="1"/>
  <c r="AF204" i="1" s="1"/>
  <c r="AH204" i="1" s="1"/>
  <c r="J89" i="1"/>
  <c r="K88" i="1"/>
  <c r="K64" i="1"/>
  <c r="I62" i="1"/>
  <c r="J63" i="1"/>
  <c r="L65" i="1"/>
  <c r="M66" i="1"/>
  <c r="M57" i="1"/>
  <c r="M154" i="1" s="1"/>
  <c r="M177" i="1" s="1"/>
  <c r="Q66" i="1"/>
  <c r="N63" i="1"/>
  <c r="N67" i="1" s="1"/>
  <c r="P65" i="1"/>
  <c r="M62" i="1"/>
  <c r="O64" i="1"/>
  <c r="R51" i="1"/>
  <c r="P49" i="1"/>
  <c r="L57" i="1"/>
  <c r="L154" i="1" s="1"/>
  <c r="L177" i="1" s="1"/>
  <c r="Q43" i="1"/>
  <c r="Q153" i="1" s="1"/>
  <c r="R50" i="1"/>
  <c r="T52" i="1"/>
  <c r="Q49" i="1"/>
  <c r="S51" i="1"/>
  <c r="P48" i="1"/>
  <c r="H99" i="1"/>
  <c r="H162" i="1" s="1"/>
  <c r="H185" i="1" s="1"/>
  <c r="Q45" i="1"/>
  <c r="R44" i="1"/>
  <c r="J127" i="1"/>
  <c r="K100" i="18"/>
  <c r="J101" i="18"/>
  <c r="J129" i="1"/>
  <c r="J163" i="1" s="1"/>
  <c r="J186" i="1" s="1"/>
  <c r="J193" i="1" s="1"/>
  <c r="I43" i="11"/>
  <c r="J122" i="19"/>
  <c r="K121" i="19"/>
  <c r="J47" i="19"/>
  <c r="K46" i="19"/>
  <c r="F43" i="11"/>
  <c r="F58" i="11"/>
  <c r="E24" i="19"/>
  <c r="E25" i="19" s="1"/>
  <c r="E27" i="19" s="1"/>
  <c r="E28" i="19" s="1"/>
  <c r="E33" i="18"/>
  <c r="E35" i="18" s="1"/>
  <c r="E37" i="18" s="1"/>
  <c r="F24" i="19"/>
  <c r="F25" i="19" s="1"/>
  <c r="F27" i="19" s="1"/>
  <c r="F28" i="19" s="1"/>
  <c r="F33" i="18"/>
  <c r="F35" i="18" s="1"/>
  <c r="F37" i="18" s="1"/>
  <c r="G33" i="18"/>
  <c r="G35" i="18" s="1"/>
  <c r="G37" i="18" s="1"/>
  <c r="G24" i="19"/>
  <c r="G25" i="19" s="1"/>
  <c r="G27" i="19" s="1"/>
  <c r="G28" i="19" s="1"/>
  <c r="G40" i="22"/>
  <c r="G52" i="22"/>
  <c r="G29" i="22"/>
  <c r="H24" i="22"/>
  <c r="I29" i="18"/>
  <c r="H30" i="18"/>
  <c r="H31" i="18" s="1"/>
  <c r="D29" i="22"/>
  <c r="D52" i="22"/>
  <c r="D40" i="22"/>
  <c r="E40" i="22"/>
  <c r="E29" i="22"/>
  <c r="F35" i="22" s="1"/>
  <c r="F36" i="22" s="1"/>
  <c r="E52" i="22"/>
  <c r="F52" i="22"/>
  <c r="G58" i="22" s="1"/>
  <c r="G59" i="22" s="1"/>
  <c r="F29" i="22"/>
  <c r="F40" i="22"/>
  <c r="G46" i="22" s="1"/>
  <c r="G47" i="22" s="1"/>
  <c r="K23" i="19"/>
  <c r="L23" i="19" s="1"/>
  <c r="M23" i="19" s="1"/>
  <c r="D24" i="19"/>
  <c r="D25" i="19" s="1"/>
  <c r="D27" i="19" s="1"/>
  <c r="D28" i="19" s="1"/>
  <c r="D31" i="18"/>
  <c r="D33" i="18"/>
  <c r="D35" i="18" s="1"/>
  <c r="D37" i="18" s="1"/>
  <c r="H131" i="1"/>
  <c r="G43" i="11"/>
  <c r="G111" i="11" s="1"/>
  <c r="H43" i="11"/>
  <c r="H111" i="11" s="1"/>
  <c r="N125" i="1"/>
  <c r="K122" i="1"/>
  <c r="K127" i="1" s="1"/>
  <c r="L123" i="1"/>
  <c r="O126" i="1"/>
  <c r="M124" i="1"/>
  <c r="I131" i="1"/>
  <c r="L119" i="1"/>
  <c r="M118" i="1"/>
  <c r="J131" i="1"/>
  <c r="T179" i="24" l="1"/>
  <c r="T157" i="24"/>
  <c r="T158" i="24" s="1"/>
  <c r="M147" i="1"/>
  <c r="M145" i="1"/>
  <c r="H227" i="24"/>
  <c r="I227" i="24" s="1"/>
  <c r="J227" i="24" s="1"/>
  <c r="K227" i="24" s="1"/>
  <c r="L227" i="24" s="1"/>
  <c r="M227" i="24" s="1"/>
  <c r="N227" i="24" s="1"/>
  <c r="O227" i="24" s="1"/>
  <c r="P227" i="24" s="1"/>
  <c r="Q227" i="24" s="1"/>
  <c r="R227" i="24" s="1"/>
  <c r="S227" i="24" s="1"/>
  <c r="T227" i="24" s="1"/>
  <c r="U227" i="24" s="1"/>
  <c r="V227" i="24" s="1"/>
  <c r="W227" i="24" s="1"/>
  <c r="X227" i="24" s="1"/>
  <c r="Y227" i="24" s="1"/>
  <c r="Z227" i="24" s="1"/>
  <c r="AA227" i="24" s="1"/>
  <c r="G230" i="24"/>
  <c r="U202" i="24"/>
  <c r="M202" i="24"/>
  <c r="E202" i="24"/>
  <c r="E213" i="24" s="1"/>
  <c r="T202" i="24"/>
  <c r="L202" i="24"/>
  <c r="D202" i="24"/>
  <c r="H202" i="24"/>
  <c r="F239" i="24" s="1"/>
  <c r="W202" i="24"/>
  <c r="G202" i="24"/>
  <c r="F202" i="24"/>
  <c r="AA202" i="24"/>
  <c r="S202" i="24"/>
  <c r="K202" i="24"/>
  <c r="Z202" i="24"/>
  <c r="R202" i="24"/>
  <c r="J202" i="24"/>
  <c r="N202" i="24"/>
  <c r="Y202" i="24"/>
  <c r="Q202" i="24"/>
  <c r="I202" i="24"/>
  <c r="X202" i="24"/>
  <c r="P202" i="24"/>
  <c r="O202" i="24"/>
  <c r="V202" i="24"/>
  <c r="L125" i="24"/>
  <c r="K124" i="24"/>
  <c r="M126" i="24"/>
  <c r="I122" i="24"/>
  <c r="I127" i="24" s="1"/>
  <c r="J123" i="24"/>
  <c r="X116" i="24"/>
  <c r="X156" i="24" s="1"/>
  <c r="X179" i="24" s="1"/>
  <c r="X180" i="24" s="1"/>
  <c r="W116" i="24"/>
  <c r="W156" i="24" s="1"/>
  <c r="G35" i="22"/>
  <c r="G36" i="22" s="1"/>
  <c r="G64" i="22" s="1"/>
  <c r="G65" i="22" s="1"/>
  <c r="K53" i="1"/>
  <c r="U180" i="24"/>
  <c r="U267" i="24" s="1"/>
  <c r="Y67" i="24"/>
  <c r="Y157" i="24"/>
  <c r="Y158" i="24" s="1"/>
  <c r="L51" i="24"/>
  <c r="K50" i="24"/>
  <c r="I48" i="24"/>
  <c r="I53" i="24" s="1"/>
  <c r="M52" i="24"/>
  <c r="J49" i="24"/>
  <c r="D131" i="1"/>
  <c r="D134" i="1"/>
  <c r="D136" i="1" s="1"/>
  <c r="I226" i="24"/>
  <c r="H230" i="24"/>
  <c r="N67" i="24"/>
  <c r="L147" i="24"/>
  <c r="L263" i="24" s="1"/>
  <c r="P87" i="1"/>
  <c r="P155" i="1" s="1"/>
  <c r="P178" i="1" s="1"/>
  <c r="Q87" i="1"/>
  <c r="Q155" i="1" s="1"/>
  <c r="Q178" i="1" s="1"/>
  <c r="K118" i="24"/>
  <c r="J119" i="24"/>
  <c r="Q177" i="24"/>
  <c r="Q180" i="24" s="1"/>
  <c r="Q267" i="24" s="1"/>
  <c r="Q157" i="24"/>
  <c r="Q158" i="24" s="1"/>
  <c r="AG203" i="24"/>
  <c r="AA180" i="24"/>
  <c r="AG190" i="24"/>
  <c r="T180" i="24"/>
  <c r="T267" i="24" s="1"/>
  <c r="G177" i="24"/>
  <c r="G180" i="24" s="1"/>
  <c r="G267" i="24" s="1"/>
  <c r="G157" i="24"/>
  <c r="G158" i="24" s="1"/>
  <c r="S67" i="24"/>
  <c r="T69" i="24" s="1"/>
  <c r="N144" i="1"/>
  <c r="N115" i="1"/>
  <c r="N112" i="1"/>
  <c r="K116" i="24"/>
  <c r="K156" i="24" s="1"/>
  <c r="F134" i="24"/>
  <c r="F136" i="24" s="1"/>
  <c r="F73" i="24"/>
  <c r="G134" i="24"/>
  <c r="V180" i="24"/>
  <c r="V267" i="24" s="1"/>
  <c r="L91" i="19"/>
  <c r="K92" i="19"/>
  <c r="P67" i="24"/>
  <c r="H129" i="24"/>
  <c r="T67" i="24"/>
  <c r="F134" i="1"/>
  <c r="F136" i="1" s="1"/>
  <c r="F131" i="1"/>
  <c r="I161" i="24"/>
  <c r="I184" i="24" s="1"/>
  <c r="I191" i="24" s="1"/>
  <c r="S69" i="24"/>
  <c r="AG206" i="24"/>
  <c r="AI206" i="24" s="1"/>
  <c r="AA157" i="24"/>
  <c r="AA158" i="24" s="1"/>
  <c r="S180" i="24"/>
  <c r="S267" i="24" s="1"/>
  <c r="W67" i="24"/>
  <c r="W134" i="24"/>
  <c r="E134" i="24"/>
  <c r="E136" i="24" s="1"/>
  <c r="E73" i="24"/>
  <c r="V157" i="24"/>
  <c r="V158" i="24" s="1"/>
  <c r="S116" i="24"/>
  <c r="S156" i="24" s="1"/>
  <c r="S179" i="24" s="1"/>
  <c r="L67" i="24"/>
  <c r="Y180" i="24"/>
  <c r="P116" i="24"/>
  <c r="P156" i="24" s="1"/>
  <c r="P179" i="24" s="1"/>
  <c r="R64" i="1"/>
  <c r="T66" i="1"/>
  <c r="P62" i="1"/>
  <c r="Q63" i="1"/>
  <c r="S65" i="1"/>
  <c r="J45" i="24"/>
  <c r="K44" i="24"/>
  <c r="K55" i="18"/>
  <c r="J56" i="18"/>
  <c r="J131" i="18"/>
  <c r="K130" i="18"/>
  <c r="K67" i="24"/>
  <c r="U157" i="24"/>
  <c r="U158" i="24" s="1"/>
  <c r="P157" i="24"/>
  <c r="P158" i="24" s="1"/>
  <c r="Z67" i="24"/>
  <c r="W147" i="24"/>
  <c r="I147" i="24"/>
  <c r="I263" i="24" s="1"/>
  <c r="C33" i="18"/>
  <c r="C35" i="18" s="1"/>
  <c r="C37" i="18" s="1"/>
  <c r="C24" i="19"/>
  <c r="C25" i="19" s="1"/>
  <c r="C27" i="19" s="1"/>
  <c r="C28" i="19" s="1"/>
  <c r="P116" i="1"/>
  <c r="P156" i="1" s="1"/>
  <c r="P179" i="1" s="1"/>
  <c r="L116" i="1"/>
  <c r="L156" i="1" s="1"/>
  <c r="L179" i="1" s="1"/>
  <c r="N116" i="1"/>
  <c r="N156" i="1" s="1"/>
  <c r="N179" i="1" s="1"/>
  <c r="I157" i="24"/>
  <c r="I158" i="24" s="1"/>
  <c r="M67" i="24"/>
  <c r="N69" i="24" s="1"/>
  <c r="X67" i="24"/>
  <c r="N76" i="1"/>
  <c r="O82" i="1" s="1"/>
  <c r="N105" i="1"/>
  <c r="O111" i="1" s="1"/>
  <c r="N30" i="1"/>
  <c r="O36" i="1" s="1"/>
  <c r="M116" i="24"/>
  <c r="M156" i="24" s="1"/>
  <c r="M179" i="24" s="1"/>
  <c r="G69" i="24"/>
  <c r="H69" i="24"/>
  <c r="N86" i="1"/>
  <c r="N143" i="1"/>
  <c r="N83" i="1"/>
  <c r="J116" i="24"/>
  <c r="J156" i="24" s="1"/>
  <c r="J179" i="24" s="1"/>
  <c r="J180" i="24" s="1"/>
  <c r="J267" i="24" s="1"/>
  <c r="Y134" i="24"/>
  <c r="U134" i="24"/>
  <c r="Q134" i="24"/>
  <c r="M134" i="24"/>
  <c r="Q116" i="1"/>
  <c r="Q156" i="1" s="1"/>
  <c r="Q179" i="1" s="1"/>
  <c r="H99" i="24"/>
  <c r="I99" i="24"/>
  <c r="O177" i="24"/>
  <c r="E131" i="1"/>
  <c r="E134" i="1"/>
  <c r="E136" i="1" s="1"/>
  <c r="C29" i="22"/>
  <c r="D35" i="22" s="1"/>
  <c r="D36" i="22" s="1"/>
  <c r="C40" i="22"/>
  <c r="D46" i="22" s="1"/>
  <c r="D47" i="22" s="1"/>
  <c r="C52" i="22"/>
  <c r="D58" i="22" s="1"/>
  <c r="D59" i="22" s="1"/>
  <c r="J93" i="24"/>
  <c r="M96" i="24"/>
  <c r="I92" i="24"/>
  <c r="I97" i="24" s="1"/>
  <c r="K94" i="24"/>
  <c r="L95" i="24"/>
  <c r="N177" i="24"/>
  <c r="N180" i="24" s="1"/>
  <c r="N267" i="24" s="1"/>
  <c r="N157" i="24"/>
  <c r="N158" i="24" s="1"/>
  <c r="E46" i="22"/>
  <c r="E47" i="22" s="1"/>
  <c r="Z116" i="24"/>
  <c r="Z156" i="24" s="1"/>
  <c r="X157" i="24"/>
  <c r="X158" i="24" s="1"/>
  <c r="P180" i="24"/>
  <c r="P267" i="24" s="1"/>
  <c r="Q67" i="24"/>
  <c r="R69" i="24" s="1"/>
  <c r="U67" i="24"/>
  <c r="L116" i="24"/>
  <c r="L156" i="24" s="1"/>
  <c r="H180" i="24"/>
  <c r="H267" i="24" s="1"/>
  <c r="AF203" i="24"/>
  <c r="O116" i="24"/>
  <c r="O156" i="24" s="1"/>
  <c r="O179" i="24" s="1"/>
  <c r="U116" i="24"/>
  <c r="U156" i="24" s="1"/>
  <c r="U179" i="24" s="1"/>
  <c r="B230" i="24"/>
  <c r="V67" i="24"/>
  <c r="G147" i="24"/>
  <c r="G263" i="24" s="1"/>
  <c r="F147" i="24"/>
  <c r="F263" i="24" s="1"/>
  <c r="M180" i="24"/>
  <c r="M267" i="24" s="1"/>
  <c r="I180" i="24"/>
  <c r="I267" i="24" s="1"/>
  <c r="AB157" i="24"/>
  <c r="AB158" i="24" s="1"/>
  <c r="P25" i="1"/>
  <c r="O26" i="1"/>
  <c r="O34" i="18"/>
  <c r="J89" i="24"/>
  <c r="K88" i="24"/>
  <c r="B198" i="24"/>
  <c r="G213" i="24"/>
  <c r="C197" i="24"/>
  <c r="B209" i="24"/>
  <c r="J67" i="24"/>
  <c r="K69" i="24" s="1"/>
  <c r="O67" i="24"/>
  <c r="P69" i="24" s="1"/>
  <c r="AA67" i="24"/>
  <c r="AA69" i="24" s="1"/>
  <c r="N142" i="1"/>
  <c r="N145" i="1" s="1"/>
  <c r="N41" i="1"/>
  <c r="N37" i="1"/>
  <c r="N40" i="1"/>
  <c r="AB134" i="24"/>
  <c r="L134" i="24"/>
  <c r="I134" i="24"/>
  <c r="D134" i="24"/>
  <c r="D136" i="24" s="1"/>
  <c r="D73" i="24"/>
  <c r="R116" i="1"/>
  <c r="R156" i="1" s="1"/>
  <c r="R179" i="1" s="1"/>
  <c r="AD142" i="24"/>
  <c r="AD143" i="24"/>
  <c r="H55" i="24"/>
  <c r="H160" i="24" s="1"/>
  <c r="I55" i="24"/>
  <c r="I160" i="24" s="1"/>
  <c r="G134" i="1"/>
  <c r="D209" i="1"/>
  <c r="C210" i="1"/>
  <c r="H192" i="1"/>
  <c r="AJ192" i="1" s="1"/>
  <c r="D198" i="1"/>
  <c r="E197" i="1"/>
  <c r="E220" i="1" s="1"/>
  <c r="AN193" i="1"/>
  <c r="AM193" i="1"/>
  <c r="M176" i="1"/>
  <c r="M180" i="1" s="1"/>
  <c r="M157" i="1"/>
  <c r="M158" i="1" s="1"/>
  <c r="O176" i="1"/>
  <c r="O180" i="1" s="1"/>
  <c r="O157" i="1"/>
  <c r="O158" i="1" s="1"/>
  <c r="N176" i="1"/>
  <c r="N180" i="1" s="1"/>
  <c r="N157" i="1"/>
  <c r="N158" i="1" s="1"/>
  <c r="J176" i="1"/>
  <c r="J180" i="1" s="1"/>
  <c r="J157" i="1"/>
  <c r="J158" i="1" s="1"/>
  <c r="H176" i="1"/>
  <c r="H157" i="1"/>
  <c r="H158" i="1" s="1"/>
  <c r="P176" i="1"/>
  <c r="Q176" i="1"/>
  <c r="G177" i="1"/>
  <c r="G180" i="1" s="1"/>
  <c r="G157" i="1"/>
  <c r="G158" i="1" s="1"/>
  <c r="G164" i="1"/>
  <c r="G184" i="1"/>
  <c r="K176" i="1"/>
  <c r="K180" i="1" s="1"/>
  <c r="K157" i="1"/>
  <c r="K158" i="1" s="1"/>
  <c r="I176" i="1"/>
  <c r="I180" i="1" s="1"/>
  <c r="I157" i="1"/>
  <c r="I158" i="1" s="1"/>
  <c r="L176" i="1"/>
  <c r="L180" i="1" s="1"/>
  <c r="L157" i="1"/>
  <c r="L158" i="1" s="1"/>
  <c r="P53" i="1"/>
  <c r="I53" i="1"/>
  <c r="K93" i="1"/>
  <c r="M95" i="1"/>
  <c r="N96" i="1"/>
  <c r="L94" i="1"/>
  <c r="J92" i="1"/>
  <c r="J97" i="1" s="1"/>
  <c r="J99" i="1" s="1"/>
  <c r="J162" i="1" s="1"/>
  <c r="J185" i="1" s="1"/>
  <c r="J192" i="1" s="1"/>
  <c r="I65" i="11"/>
  <c r="I116" i="11" s="1"/>
  <c r="G71" i="1"/>
  <c r="M67" i="1"/>
  <c r="N69" i="1" s="1"/>
  <c r="I67" i="1"/>
  <c r="K67" i="1"/>
  <c r="O67" i="1"/>
  <c r="P67" i="1"/>
  <c r="N53" i="1"/>
  <c r="O55" i="1" s="1"/>
  <c r="J53" i="1"/>
  <c r="K55" i="1" s="1"/>
  <c r="M53" i="1"/>
  <c r="L53" i="1"/>
  <c r="L55" i="1" s="1"/>
  <c r="H67" i="1"/>
  <c r="L67" i="1"/>
  <c r="K89" i="1"/>
  <c r="L88" i="1"/>
  <c r="H55" i="1"/>
  <c r="I55" i="1"/>
  <c r="J67" i="1"/>
  <c r="K69" i="1" s="1"/>
  <c r="K161" i="1" s="1"/>
  <c r="Q48" i="1"/>
  <c r="Q53" i="1" s="1"/>
  <c r="Q55" i="1" s="1"/>
  <c r="Q160" i="1" s="1"/>
  <c r="Q183" i="1" s="1"/>
  <c r="Q190" i="1" s="1"/>
  <c r="S50" i="1"/>
  <c r="U52" i="1"/>
  <c r="R49" i="1"/>
  <c r="T51" i="1"/>
  <c r="H101" i="1"/>
  <c r="P55" i="1"/>
  <c r="P160" i="1" s="1"/>
  <c r="K129" i="1"/>
  <c r="K163" i="1" s="1"/>
  <c r="K186" i="1" s="1"/>
  <c r="K193" i="1" s="1"/>
  <c r="R45" i="1"/>
  <c r="S44" i="1"/>
  <c r="I101" i="1"/>
  <c r="L100" i="18"/>
  <c r="K101" i="18"/>
  <c r="F95" i="11"/>
  <c r="F113" i="11"/>
  <c r="F92" i="11"/>
  <c r="F111" i="11"/>
  <c r="I111" i="11"/>
  <c r="L46" i="19"/>
  <c r="K47" i="19"/>
  <c r="K122" i="19"/>
  <c r="L121" i="19"/>
  <c r="F46" i="22"/>
  <c r="F47" i="22" s="1"/>
  <c r="H35" i="22"/>
  <c r="H36" i="22" s="1"/>
  <c r="D117" i="18"/>
  <c r="D88" i="18"/>
  <c r="D41" i="18"/>
  <c r="D79" i="19"/>
  <c r="D108" i="19"/>
  <c r="D32" i="19"/>
  <c r="I58" i="11"/>
  <c r="H33" i="18"/>
  <c r="H35" i="18" s="1"/>
  <c r="H37" i="18" s="1"/>
  <c r="H24" i="19"/>
  <c r="H25" i="19" s="1"/>
  <c r="H27" i="19" s="1"/>
  <c r="H28" i="19" s="1"/>
  <c r="I24" i="22"/>
  <c r="H25" i="22"/>
  <c r="G79" i="19"/>
  <c r="G32" i="19"/>
  <c r="G108" i="19"/>
  <c r="F117" i="18"/>
  <c r="F88" i="18"/>
  <c r="F41" i="18"/>
  <c r="E117" i="18"/>
  <c r="E41" i="18"/>
  <c r="F47" i="18" s="1"/>
  <c r="F48" i="18" s="1"/>
  <c r="E88" i="18"/>
  <c r="H58" i="22"/>
  <c r="H59" i="22" s="1"/>
  <c r="N23" i="19"/>
  <c r="O23" i="19" s="1"/>
  <c r="F58" i="22"/>
  <c r="F59" i="22" s="1"/>
  <c r="I30" i="18"/>
  <c r="I31" i="18" s="1"/>
  <c r="J29" i="18"/>
  <c r="G88" i="18"/>
  <c r="H94" i="18" s="1"/>
  <c r="G117" i="18"/>
  <c r="H123" i="18" s="1"/>
  <c r="G41" i="18"/>
  <c r="F79" i="19"/>
  <c r="F32" i="19"/>
  <c r="F108" i="19"/>
  <c r="E108" i="19"/>
  <c r="E32" i="19"/>
  <c r="E79" i="19"/>
  <c r="F85" i="19" s="1"/>
  <c r="H46" i="22"/>
  <c r="H47" i="22" s="1"/>
  <c r="H92" i="11"/>
  <c r="G92" i="11"/>
  <c r="F89" i="19"/>
  <c r="F86" i="19"/>
  <c r="L122" i="1"/>
  <c r="L127" i="1" s="1"/>
  <c r="L129" i="1" s="1"/>
  <c r="L163" i="1" s="1"/>
  <c r="L186" i="1" s="1"/>
  <c r="L193" i="1" s="1"/>
  <c r="N124" i="1"/>
  <c r="P126" i="1"/>
  <c r="M123" i="1"/>
  <c r="O125" i="1"/>
  <c r="N118" i="1"/>
  <c r="M119" i="1"/>
  <c r="C230" i="24" l="1"/>
  <c r="D238" i="24"/>
  <c r="I162" i="24"/>
  <c r="I185" i="24" s="1"/>
  <c r="I192" i="24" s="1"/>
  <c r="I101" i="24"/>
  <c r="O142" i="1"/>
  <c r="O41" i="1"/>
  <c r="O40" i="1"/>
  <c r="O37" i="1"/>
  <c r="S161" i="24"/>
  <c r="S184" i="24" s="1"/>
  <c r="S191" i="24" s="1"/>
  <c r="T161" i="24"/>
  <c r="T184" i="24" s="1"/>
  <c r="T191" i="24" s="1"/>
  <c r="J129" i="24"/>
  <c r="R43" i="1"/>
  <c r="R153" i="1" s="1"/>
  <c r="AA161" i="24"/>
  <c r="AA184" i="24" s="1"/>
  <c r="AA191" i="24" s="1"/>
  <c r="AK191" i="24" s="1"/>
  <c r="AO191" i="24" s="1"/>
  <c r="K89" i="24"/>
  <c r="L88" i="24"/>
  <c r="P26" i="1"/>
  <c r="Q25" i="1"/>
  <c r="P34" i="18"/>
  <c r="L179" i="24"/>
  <c r="L180" i="24" s="1"/>
  <c r="L267" i="24" s="1"/>
  <c r="L157" i="24"/>
  <c r="L158" i="24" s="1"/>
  <c r="H101" i="24"/>
  <c r="H162" i="24"/>
  <c r="H185" i="24" s="1"/>
  <c r="G71" i="24"/>
  <c r="G161" i="24"/>
  <c r="O144" i="1"/>
  <c r="O115" i="1"/>
  <c r="O112" i="1"/>
  <c r="C32" i="19"/>
  <c r="D38" i="19" s="1"/>
  <c r="C79" i="19"/>
  <c r="D85" i="19" s="1"/>
  <c r="C108" i="19"/>
  <c r="D114" i="19" s="1"/>
  <c r="L69" i="24"/>
  <c r="L55" i="18"/>
  <c r="K56" i="18"/>
  <c r="I71" i="24"/>
  <c r="U69" i="24"/>
  <c r="Q69" i="24"/>
  <c r="AG191" i="24"/>
  <c r="AG192" i="24"/>
  <c r="AG194" i="24"/>
  <c r="N126" i="24"/>
  <c r="K123" i="24"/>
  <c r="M125" i="24"/>
  <c r="L124" i="24"/>
  <c r="J122" i="24"/>
  <c r="J127" i="24" s="1"/>
  <c r="J69" i="24"/>
  <c r="W179" i="24"/>
  <c r="W180" i="24" s="1"/>
  <c r="W157" i="24"/>
  <c r="W158" i="24" s="1"/>
  <c r="F249" i="24"/>
  <c r="F254" i="24" s="1"/>
  <c r="R239" i="24"/>
  <c r="G239" i="24"/>
  <c r="J213" i="24"/>
  <c r="K213" i="24" s="1"/>
  <c r="F213" i="24"/>
  <c r="C213" i="24"/>
  <c r="B213" i="24" s="1"/>
  <c r="E38" i="19"/>
  <c r="K161" i="24"/>
  <c r="K184" i="24" s="1"/>
  <c r="K191" i="24" s="1"/>
  <c r="N161" i="24"/>
  <c r="N184" i="24" s="1"/>
  <c r="N191" i="24" s="1"/>
  <c r="M69" i="24"/>
  <c r="J226" i="24"/>
  <c r="I230" i="24"/>
  <c r="E58" i="22"/>
  <c r="E59" i="22" s="1"/>
  <c r="F94" i="18"/>
  <c r="F98" i="18" s="1"/>
  <c r="E85" i="19"/>
  <c r="G191" i="1"/>
  <c r="P157" i="1"/>
  <c r="P158" i="1" s="1"/>
  <c r="I183" i="24"/>
  <c r="I190" i="24" s="1"/>
  <c r="N134" i="1"/>
  <c r="C220" i="24"/>
  <c r="C209" i="24"/>
  <c r="D197" i="24"/>
  <c r="C198" i="24"/>
  <c r="N96" i="24"/>
  <c r="K93" i="24"/>
  <c r="L94" i="24"/>
  <c r="M95" i="24"/>
  <c r="J92" i="24"/>
  <c r="J97" i="24" s="1"/>
  <c r="J99" i="24" s="1"/>
  <c r="Z179" i="24"/>
  <c r="Z180" i="24" s="1"/>
  <c r="Z157" i="24"/>
  <c r="Z158" i="24" s="1"/>
  <c r="D64" i="22"/>
  <c r="D65" i="22" s="1"/>
  <c r="O157" i="24"/>
  <c r="O158" i="24" s="1"/>
  <c r="J157" i="24"/>
  <c r="J158" i="24" s="1"/>
  <c r="N147" i="1"/>
  <c r="O143" i="1"/>
  <c r="O86" i="1"/>
  <c r="O83" i="1"/>
  <c r="C88" i="18"/>
  <c r="D94" i="18" s="1"/>
  <c r="C117" i="18"/>
  <c r="D123" i="18" s="1"/>
  <c r="C41" i="18"/>
  <c r="D47" i="18" s="1"/>
  <c r="K131" i="18"/>
  <c r="L130" i="18"/>
  <c r="K45" i="24"/>
  <c r="L44" i="24"/>
  <c r="AG193" i="24"/>
  <c r="I129" i="24"/>
  <c r="AI203" i="24"/>
  <c r="AG207" i="24"/>
  <c r="L118" i="24"/>
  <c r="K119" i="24"/>
  <c r="O69" i="24"/>
  <c r="E94" i="18"/>
  <c r="B221" i="24"/>
  <c r="B210" i="24"/>
  <c r="O76" i="1"/>
  <c r="P82" i="1" s="1"/>
  <c r="O30" i="1"/>
  <c r="P36" i="1" s="1"/>
  <c r="O105" i="1"/>
  <c r="P111" i="1" s="1"/>
  <c r="H161" i="24"/>
  <c r="H184" i="24" s="1"/>
  <c r="H71" i="24"/>
  <c r="K179" i="24"/>
  <c r="K180" i="24" s="1"/>
  <c r="K267" i="24" s="1"/>
  <c r="K157" i="24"/>
  <c r="K158" i="24" s="1"/>
  <c r="G231" i="24"/>
  <c r="G233" i="24"/>
  <c r="G238" i="24" s="1"/>
  <c r="G248" i="24" s="1"/>
  <c r="K131" i="1"/>
  <c r="F38" i="19"/>
  <c r="F43" i="19" s="1"/>
  <c r="E47" i="18"/>
  <c r="P180" i="1"/>
  <c r="H183" i="24"/>
  <c r="U66" i="1"/>
  <c r="S64" i="1"/>
  <c r="Q62" i="1"/>
  <c r="Q67" i="1" s="1"/>
  <c r="R63" i="1"/>
  <c r="T65" i="1"/>
  <c r="R57" i="1"/>
  <c r="R154" i="1" s="1"/>
  <c r="R177" i="1" s="1"/>
  <c r="Q57" i="1"/>
  <c r="Q154" i="1" s="1"/>
  <c r="P161" i="24"/>
  <c r="P184" i="24" s="1"/>
  <c r="P191" i="24" s="1"/>
  <c r="V69" i="24"/>
  <c r="AH203" i="24"/>
  <c r="AF207" i="24"/>
  <c r="R161" i="24"/>
  <c r="R184" i="24" s="1"/>
  <c r="R191" i="24" s="1"/>
  <c r="O180" i="24"/>
  <c r="O267" i="24" s="1"/>
  <c r="M157" i="24"/>
  <c r="M158" i="24" s="1"/>
  <c r="M51" i="24"/>
  <c r="N52" i="24"/>
  <c r="J48" i="24"/>
  <c r="J53" i="24" s="1"/>
  <c r="J55" i="24" s="1"/>
  <c r="J160" i="24" s="1"/>
  <c r="K49" i="24"/>
  <c r="L50" i="24"/>
  <c r="S157" i="24"/>
  <c r="S158" i="24" s="1"/>
  <c r="W69" i="24"/>
  <c r="X69" i="24"/>
  <c r="H163" i="24"/>
  <c r="H186" i="24" s="1"/>
  <c r="H131" i="24"/>
  <c r="M91" i="19"/>
  <c r="L92" i="19"/>
  <c r="R87" i="1"/>
  <c r="R155" i="1" s="1"/>
  <c r="R178" i="1" s="1"/>
  <c r="H231" i="24"/>
  <c r="H233" i="24"/>
  <c r="H238" i="24" s="1"/>
  <c r="H248" i="24" s="1"/>
  <c r="Y69" i="24"/>
  <c r="Z69" i="24"/>
  <c r="E35" i="22"/>
  <c r="E36" i="22" s="1"/>
  <c r="E64" i="22" s="1"/>
  <c r="E65" i="22" s="1"/>
  <c r="AB69" i="24"/>
  <c r="E209" i="1"/>
  <c r="AM192" i="1"/>
  <c r="AN192" i="1"/>
  <c r="H180" i="1"/>
  <c r="AF203" i="1"/>
  <c r="F52" i="18"/>
  <c r="F197" i="1"/>
  <c r="E198" i="1"/>
  <c r="F95" i="18"/>
  <c r="F113" i="18" s="1"/>
  <c r="M69" i="1"/>
  <c r="M161" i="1" s="1"/>
  <c r="M184" i="1" s="1"/>
  <c r="M191" i="1" s="1"/>
  <c r="L160" i="1"/>
  <c r="K184" i="1"/>
  <c r="K191" i="1" s="1"/>
  <c r="H160" i="1"/>
  <c r="O160" i="1"/>
  <c r="O183" i="1" s="1"/>
  <c r="O190" i="1" s="1"/>
  <c r="N161" i="1"/>
  <c r="N184" i="1" s="1"/>
  <c r="N191" i="1" s="1"/>
  <c r="G187" i="1"/>
  <c r="G194" i="1" s="1"/>
  <c r="I198" i="1" s="1"/>
  <c r="G165" i="1"/>
  <c r="P183" i="1"/>
  <c r="P190" i="1" s="1"/>
  <c r="I160" i="1"/>
  <c r="I183" i="1" s="1"/>
  <c r="I190" i="1" s="1"/>
  <c r="K160" i="1"/>
  <c r="K183" i="1" s="1"/>
  <c r="K190" i="1" s="1"/>
  <c r="I92" i="11"/>
  <c r="L93" i="1"/>
  <c r="O96" i="1"/>
  <c r="M94" i="1"/>
  <c r="K92" i="1"/>
  <c r="K97" i="1" s="1"/>
  <c r="K99" i="1" s="1"/>
  <c r="K162" i="1" s="1"/>
  <c r="K185" i="1" s="1"/>
  <c r="K192" i="1" s="1"/>
  <c r="N95" i="1"/>
  <c r="H69" i="1"/>
  <c r="H161" i="1" s="1"/>
  <c r="H184" i="1" s="1"/>
  <c r="I69" i="1"/>
  <c r="I161" i="1" s="1"/>
  <c r="M55" i="1"/>
  <c r="M71" i="1" s="1"/>
  <c r="M73" i="1" s="1"/>
  <c r="N55" i="1"/>
  <c r="N160" i="1" s="1"/>
  <c r="G135" i="1"/>
  <c r="G136" i="1" s="1"/>
  <c r="G73" i="1"/>
  <c r="Q69" i="1"/>
  <c r="Q71" i="1" s="1"/>
  <c r="J55" i="1"/>
  <c r="J69" i="1"/>
  <c r="J161" i="1" s="1"/>
  <c r="J184" i="1" s="1"/>
  <c r="J191" i="1" s="1"/>
  <c r="K71" i="1"/>
  <c r="J101" i="1"/>
  <c r="M88" i="1"/>
  <c r="L89" i="1"/>
  <c r="O69" i="1"/>
  <c r="O161" i="1" s="1"/>
  <c r="P69" i="1"/>
  <c r="P71" i="1" s="1"/>
  <c r="L69" i="1"/>
  <c r="L161" i="1" s="1"/>
  <c r="L184" i="1" s="1"/>
  <c r="L191" i="1" s="1"/>
  <c r="S45" i="1"/>
  <c r="T44" i="1"/>
  <c r="S49" i="1"/>
  <c r="V52" i="1"/>
  <c r="T50" i="1"/>
  <c r="U51" i="1"/>
  <c r="R48" i="1"/>
  <c r="R53" i="1" s="1"/>
  <c r="F42" i="19"/>
  <c r="M100" i="18"/>
  <c r="L101" i="18"/>
  <c r="I95" i="11"/>
  <c r="I113" i="11"/>
  <c r="L47" i="19"/>
  <c r="M46" i="19"/>
  <c r="M121" i="19"/>
  <c r="L122" i="19"/>
  <c r="F51" i="18"/>
  <c r="F39" i="19"/>
  <c r="H54" i="11" s="1"/>
  <c r="F114" i="19"/>
  <c r="H47" i="18"/>
  <c r="H48" i="18" s="1"/>
  <c r="F123" i="18"/>
  <c r="G114" i="19"/>
  <c r="G118" i="19" s="1"/>
  <c r="G85" i="19"/>
  <c r="G86" i="19" s="1"/>
  <c r="I55" i="11" s="1"/>
  <c r="J58" i="11"/>
  <c r="H95" i="18"/>
  <c r="H98" i="18"/>
  <c r="P23" i="19"/>
  <c r="Q23" i="19" s="1"/>
  <c r="R23" i="19" s="1"/>
  <c r="S23" i="19" s="1"/>
  <c r="T23" i="19" s="1"/>
  <c r="U23" i="19" s="1"/>
  <c r="V23" i="19" s="1"/>
  <c r="W23" i="19" s="1"/>
  <c r="X23" i="19" s="1"/>
  <c r="Y23" i="19" s="1"/>
  <c r="Z23" i="19" s="1"/>
  <c r="AA23" i="19" s="1"/>
  <c r="AB23" i="19" s="1"/>
  <c r="H52" i="22"/>
  <c r="I58" i="22" s="1"/>
  <c r="I59" i="22" s="1"/>
  <c r="H40" i="22"/>
  <c r="I46" i="22" s="1"/>
  <c r="I47" i="22" s="1"/>
  <c r="H29" i="22"/>
  <c r="I35" i="22" s="1"/>
  <c r="I36" i="22" s="1"/>
  <c r="H79" i="19"/>
  <c r="I85" i="19" s="1"/>
  <c r="H32" i="19"/>
  <c r="I38" i="19" s="1"/>
  <c r="H108" i="19"/>
  <c r="I114" i="19" s="1"/>
  <c r="F48" i="11"/>
  <c r="F112" i="11" s="1"/>
  <c r="F110" i="11" s="1"/>
  <c r="G38" i="19"/>
  <c r="H64" i="22"/>
  <c r="H65" i="22" s="1"/>
  <c r="G47" i="18"/>
  <c r="G123" i="18"/>
  <c r="H38" i="19"/>
  <c r="H58" i="11"/>
  <c r="G115" i="19"/>
  <c r="G89" i="19"/>
  <c r="H127" i="18"/>
  <c r="H124" i="18"/>
  <c r="J30" i="18"/>
  <c r="K29" i="18"/>
  <c r="I24" i="19"/>
  <c r="I25" i="19" s="1"/>
  <c r="I27" i="19" s="1"/>
  <c r="I28" i="19" s="1"/>
  <c r="I33" i="18"/>
  <c r="I35" i="18" s="1"/>
  <c r="I37" i="18" s="1"/>
  <c r="I25" i="22"/>
  <c r="J24" i="22"/>
  <c r="H88" i="18"/>
  <c r="I94" i="18" s="1"/>
  <c r="H41" i="18"/>
  <c r="I47" i="18" s="1"/>
  <c r="H117" i="18"/>
  <c r="I123" i="18" s="1"/>
  <c r="G94" i="18"/>
  <c r="H114" i="19"/>
  <c r="H85" i="19"/>
  <c r="G58" i="11"/>
  <c r="F64" i="22"/>
  <c r="F65" i="22" s="1"/>
  <c r="I73" i="18"/>
  <c r="K75" i="18"/>
  <c r="M77" i="18"/>
  <c r="J74" i="18"/>
  <c r="L76" i="18"/>
  <c r="H55" i="11"/>
  <c r="F104" i="19"/>
  <c r="L107" i="18"/>
  <c r="M108" i="18"/>
  <c r="K106" i="18"/>
  <c r="J105" i="18"/>
  <c r="I104" i="18"/>
  <c r="K66" i="19"/>
  <c r="M68" i="19"/>
  <c r="L67" i="19"/>
  <c r="I64" i="19"/>
  <c r="J65" i="19"/>
  <c r="L61" i="18"/>
  <c r="M62" i="18"/>
  <c r="K60" i="18"/>
  <c r="J59" i="18"/>
  <c r="N63" i="18"/>
  <c r="F84" i="18"/>
  <c r="I95" i="19"/>
  <c r="J96" i="19"/>
  <c r="L98" i="19"/>
  <c r="K97" i="19"/>
  <c r="M99" i="19"/>
  <c r="L52" i="19"/>
  <c r="N54" i="19"/>
  <c r="K51" i="19"/>
  <c r="M53" i="19"/>
  <c r="J50" i="19"/>
  <c r="F75" i="19"/>
  <c r="I71" i="11"/>
  <c r="L131" i="1"/>
  <c r="Q126" i="1"/>
  <c r="O124" i="1"/>
  <c r="M122" i="1"/>
  <c r="M127" i="1" s="1"/>
  <c r="M129" i="1" s="1"/>
  <c r="M163" i="1" s="1"/>
  <c r="M186" i="1" s="1"/>
  <c r="M193" i="1" s="1"/>
  <c r="N123" i="1"/>
  <c r="P125" i="1"/>
  <c r="N119" i="1"/>
  <c r="O118" i="1"/>
  <c r="J162" i="24" l="1"/>
  <c r="J185" i="24" s="1"/>
  <c r="J192" i="24" s="1"/>
  <c r="J101" i="24"/>
  <c r="J183" i="24"/>
  <c r="J190" i="24" s="1"/>
  <c r="P143" i="1"/>
  <c r="P83" i="1"/>
  <c r="P86" i="1"/>
  <c r="E86" i="19"/>
  <c r="E89" i="19"/>
  <c r="K226" i="24"/>
  <c r="J230" i="24"/>
  <c r="D89" i="19"/>
  <c r="D86" i="19"/>
  <c r="N95" i="24"/>
  <c r="O96" i="24"/>
  <c r="M94" i="24"/>
  <c r="K92" i="24"/>
  <c r="K97" i="24" s="1"/>
  <c r="L93" i="24"/>
  <c r="J163" i="24"/>
  <c r="J186" i="24" s="1"/>
  <c r="J193" i="24" s="1"/>
  <c r="J131" i="24"/>
  <c r="J54" i="18"/>
  <c r="Z161" i="24"/>
  <c r="Z184" i="24" s="1"/>
  <c r="Z191" i="24" s="1"/>
  <c r="H193" i="24"/>
  <c r="AJ193" i="24" s="1"/>
  <c r="AF193" i="24"/>
  <c r="AJ203" i="24"/>
  <c r="AH207" i="24"/>
  <c r="Q177" i="1"/>
  <c r="Q180" i="1" s="1"/>
  <c r="Q157" i="1"/>
  <c r="Q158" i="1" s="1"/>
  <c r="E51" i="18"/>
  <c r="E48" i="18"/>
  <c r="E84" i="18" s="1"/>
  <c r="E52" i="18"/>
  <c r="H191" i="24"/>
  <c r="AJ191" i="24" s="1"/>
  <c r="O161" i="24"/>
  <c r="O184" i="24" s="1"/>
  <c r="O191" i="24" s="1"/>
  <c r="AI207" i="24"/>
  <c r="L45" i="24"/>
  <c r="M44" i="24"/>
  <c r="D48" i="18"/>
  <c r="D84" i="18" s="1"/>
  <c r="D51" i="18"/>
  <c r="D52" i="18"/>
  <c r="M161" i="24"/>
  <c r="M184" i="24" s="1"/>
  <c r="M191" i="24" s="1"/>
  <c r="Q161" i="24"/>
  <c r="Q184" i="24" s="1"/>
  <c r="Q191" i="24" s="1"/>
  <c r="M55" i="18"/>
  <c r="L56" i="18"/>
  <c r="D43" i="19"/>
  <c r="D42" i="19"/>
  <c r="D39" i="19"/>
  <c r="G184" i="24"/>
  <c r="G191" i="24" s="1"/>
  <c r="G164" i="24"/>
  <c r="R25" i="1"/>
  <c r="Q26" i="1"/>
  <c r="Q34" i="18"/>
  <c r="R176" i="1"/>
  <c r="R180" i="1" s="1"/>
  <c r="R157" i="1"/>
  <c r="R158" i="1" s="1"/>
  <c r="U65" i="1"/>
  <c r="V66" i="1"/>
  <c r="R62" i="1"/>
  <c r="R67" i="1" s="1"/>
  <c r="T64" i="1"/>
  <c r="S63" i="1"/>
  <c r="S57" i="1"/>
  <c r="S154" i="1" s="1"/>
  <c r="S177" i="1" s="1"/>
  <c r="D236" i="24"/>
  <c r="D247" i="24" s="1"/>
  <c r="D248" i="24"/>
  <c r="D251" i="24" s="1"/>
  <c r="D241" i="24"/>
  <c r="W161" i="24"/>
  <c r="W184" i="24" s="1"/>
  <c r="W191" i="24" s="1"/>
  <c r="H73" i="24"/>
  <c r="H135" i="24"/>
  <c r="H136" i="24" s="1"/>
  <c r="E98" i="18"/>
  <c r="E95" i="18"/>
  <c r="E113" i="18" s="1"/>
  <c r="T43" i="1"/>
  <c r="T153" i="1" s="1"/>
  <c r="Y161" i="24"/>
  <c r="Y184" i="24" s="1"/>
  <c r="Y191" i="24" s="1"/>
  <c r="V161" i="24"/>
  <c r="V184" i="24" s="1"/>
  <c r="V191" i="24" s="1"/>
  <c r="H164" i="24"/>
  <c r="H187" i="24" s="1"/>
  <c r="P144" i="1"/>
  <c r="P115" i="1"/>
  <c r="P112" i="1"/>
  <c r="N125" i="24"/>
  <c r="O126" i="24"/>
  <c r="L123" i="24"/>
  <c r="K122" i="24"/>
  <c r="K127" i="24" s="1"/>
  <c r="K129" i="24" s="1"/>
  <c r="M124" i="24"/>
  <c r="M50" i="24"/>
  <c r="K48" i="24"/>
  <c r="K53" i="24" s="1"/>
  <c r="N51" i="24"/>
  <c r="L49" i="24"/>
  <c r="O52" i="24"/>
  <c r="D124" i="18"/>
  <c r="D143" i="18" s="1"/>
  <c r="D127" i="18"/>
  <c r="C210" i="24"/>
  <c r="C221" i="24"/>
  <c r="E39" i="19"/>
  <c r="E42" i="19"/>
  <c r="E43" i="19"/>
  <c r="G249" i="24"/>
  <c r="G254" i="24" s="1"/>
  <c r="H239" i="24"/>
  <c r="U161" i="24"/>
  <c r="U184" i="24" s="1"/>
  <c r="U191" i="24" s="1"/>
  <c r="L161" i="24"/>
  <c r="L184" i="24" s="1"/>
  <c r="L191" i="24" s="1"/>
  <c r="G73" i="24"/>
  <c r="G135" i="24"/>
  <c r="G136" i="24" s="1"/>
  <c r="P76" i="1"/>
  <c r="Q82" i="1" s="1"/>
  <c r="P105" i="1"/>
  <c r="Q111" i="1" s="1"/>
  <c r="P30" i="1"/>
  <c r="Q36" i="1" s="1"/>
  <c r="E123" i="18"/>
  <c r="O145" i="1"/>
  <c r="O147" i="1"/>
  <c r="C231" i="24"/>
  <c r="C232" i="24"/>
  <c r="C233" i="24"/>
  <c r="D230" i="24"/>
  <c r="K55" i="24"/>
  <c r="AB161" i="24"/>
  <c r="N91" i="19"/>
  <c r="M92" i="19"/>
  <c r="X161" i="24"/>
  <c r="X184" i="24" s="1"/>
  <c r="X191" i="24" s="1"/>
  <c r="H190" i="24"/>
  <c r="AJ190" i="24" s="1"/>
  <c r="AF190" i="24"/>
  <c r="P142" i="1"/>
  <c r="P40" i="1"/>
  <c r="P37" i="1"/>
  <c r="P41" i="1"/>
  <c r="M118" i="24"/>
  <c r="L119" i="24"/>
  <c r="I163" i="24"/>
  <c r="I186" i="24" s="1"/>
  <c r="I193" i="24" s="1"/>
  <c r="I131" i="24"/>
  <c r="L131" i="18"/>
  <c r="N136" i="18" s="1"/>
  <c r="M130" i="18"/>
  <c r="D98" i="18"/>
  <c r="D95" i="18"/>
  <c r="D113" i="18" s="1"/>
  <c r="D209" i="24"/>
  <c r="D220" i="24"/>
  <c r="D198" i="24"/>
  <c r="E197" i="24"/>
  <c r="I164" i="24"/>
  <c r="I187" i="24" s="1"/>
  <c r="I231" i="24"/>
  <c r="I233" i="24"/>
  <c r="J161" i="24"/>
  <c r="J184" i="24" s="1"/>
  <c r="J191" i="24" s="1"/>
  <c r="J71" i="24"/>
  <c r="I73" i="24"/>
  <c r="I135" i="24"/>
  <c r="I136" i="24" s="1"/>
  <c r="D115" i="19"/>
  <c r="D118" i="19"/>
  <c r="S116" i="1"/>
  <c r="S156" i="1" s="1"/>
  <c r="S179" i="1" s="1"/>
  <c r="T116" i="1"/>
  <c r="T156" i="1" s="1"/>
  <c r="T179" i="1" s="1"/>
  <c r="H192" i="24"/>
  <c r="AJ192" i="24" s="1"/>
  <c r="AF192" i="24"/>
  <c r="L89" i="24"/>
  <c r="M88" i="24"/>
  <c r="S43" i="1"/>
  <c r="S153" i="1" s="1"/>
  <c r="E114" i="19"/>
  <c r="O134" i="1"/>
  <c r="S87" i="1"/>
  <c r="S155" i="1" s="1"/>
  <c r="S178" i="1" s="1"/>
  <c r="F220" i="1"/>
  <c r="F209" i="1"/>
  <c r="H191" i="1"/>
  <c r="AJ191" i="1" s="1"/>
  <c r="AF207" i="1"/>
  <c r="AH203" i="1"/>
  <c r="F198" i="1"/>
  <c r="G197" i="1"/>
  <c r="G198" i="1" s="1"/>
  <c r="O184" i="1"/>
  <c r="O191" i="1" s="1"/>
  <c r="J160" i="1"/>
  <c r="N183" i="1"/>
  <c r="N190" i="1" s="1"/>
  <c r="I164" i="1"/>
  <c r="I184" i="1"/>
  <c r="I191" i="1" s="1"/>
  <c r="K164" i="1"/>
  <c r="P161" i="1"/>
  <c r="Q161" i="1"/>
  <c r="M160" i="1"/>
  <c r="H183" i="1"/>
  <c r="H164" i="1"/>
  <c r="L183" i="1"/>
  <c r="L190" i="1" s="1"/>
  <c r="L71" i="1"/>
  <c r="O71" i="1"/>
  <c r="O73" i="1" s="1"/>
  <c r="N88" i="1"/>
  <c r="M89" i="1"/>
  <c r="K101" i="1"/>
  <c r="M65" i="11"/>
  <c r="N71" i="1"/>
  <c r="N73" i="1" s="1"/>
  <c r="K65" i="11"/>
  <c r="I71" i="1"/>
  <c r="P96" i="1"/>
  <c r="M93" i="1"/>
  <c r="L92" i="1"/>
  <c r="L97" i="1" s="1"/>
  <c r="L99" i="1" s="1"/>
  <c r="L162" i="1" s="1"/>
  <c r="L185" i="1" s="1"/>
  <c r="L192" i="1" s="1"/>
  <c r="O95" i="1"/>
  <c r="N94" i="1"/>
  <c r="K73" i="1"/>
  <c r="K135" i="1"/>
  <c r="K136" i="1" s="1"/>
  <c r="L65" i="11"/>
  <c r="J71" i="1"/>
  <c r="J65" i="11"/>
  <c r="H71" i="1"/>
  <c r="R55" i="1"/>
  <c r="R160" i="1" s="1"/>
  <c r="T49" i="1"/>
  <c r="V51" i="1"/>
  <c r="S48" i="1"/>
  <c r="S53" i="1" s="1"/>
  <c r="S55" i="1" s="1"/>
  <c r="S160" i="1" s="1"/>
  <c r="U50" i="1"/>
  <c r="W52" i="1"/>
  <c r="T45" i="1"/>
  <c r="U44" i="1"/>
  <c r="F109" i="11"/>
  <c r="H52" i="18"/>
  <c r="K73" i="18" s="1"/>
  <c r="N100" i="18"/>
  <c r="M101" i="18"/>
  <c r="I117" i="11"/>
  <c r="G95" i="11"/>
  <c r="G113" i="11"/>
  <c r="H95" i="11"/>
  <c r="H113" i="11"/>
  <c r="J95" i="11"/>
  <c r="J113" i="11"/>
  <c r="G48" i="11"/>
  <c r="G112" i="11" s="1"/>
  <c r="F127" i="18"/>
  <c r="F124" i="18"/>
  <c r="N121" i="19"/>
  <c r="M122" i="19"/>
  <c r="H51" i="18"/>
  <c r="P63" i="18" s="1"/>
  <c r="F118" i="19"/>
  <c r="F115" i="19"/>
  <c r="M47" i="19"/>
  <c r="N46" i="19"/>
  <c r="H89" i="19"/>
  <c r="H86" i="19"/>
  <c r="J55" i="11" s="1"/>
  <c r="G95" i="18"/>
  <c r="G98" i="18"/>
  <c r="I127" i="18"/>
  <c r="I124" i="18"/>
  <c r="I98" i="18"/>
  <c r="I95" i="18"/>
  <c r="I52" i="22"/>
  <c r="J58" i="22" s="1"/>
  <c r="J59" i="22" s="1"/>
  <c r="I40" i="22"/>
  <c r="J46" i="22" s="1"/>
  <c r="J47" i="22" s="1"/>
  <c r="I29" i="22"/>
  <c r="J35" i="22" s="1"/>
  <c r="J36" i="22" s="1"/>
  <c r="I108" i="19"/>
  <c r="J114" i="19" s="1"/>
  <c r="I32" i="19"/>
  <c r="J38" i="19" s="1"/>
  <c r="I79" i="19"/>
  <c r="J85" i="19" s="1"/>
  <c r="J31" i="18"/>
  <c r="J24" i="19"/>
  <c r="J25" i="19" s="1"/>
  <c r="J27" i="19" s="1"/>
  <c r="J28" i="19" s="1"/>
  <c r="J33" i="18"/>
  <c r="J35" i="18" s="1"/>
  <c r="J37" i="18" s="1"/>
  <c r="O137" i="18"/>
  <c r="J95" i="19"/>
  <c r="M98" i="19"/>
  <c r="K96" i="19"/>
  <c r="L97" i="19"/>
  <c r="N99" i="19"/>
  <c r="L126" i="19"/>
  <c r="K125" i="19"/>
  <c r="N128" i="19"/>
  <c r="O129" i="19"/>
  <c r="M127" i="19"/>
  <c r="G127" i="18"/>
  <c r="G124" i="18"/>
  <c r="F93" i="11"/>
  <c r="I42" i="19"/>
  <c r="I43" i="19"/>
  <c r="I39" i="19"/>
  <c r="K58" i="11"/>
  <c r="I64" i="22"/>
  <c r="I65" i="22" s="1"/>
  <c r="N76" i="18"/>
  <c r="H115" i="19"/>
  <c r="H118" i="19"/>
  <c r="I52" i="18"/>
  <c r="I48" i="18"/>
  <c r="I51" i="18"/>
  <c r="K24" i="22"/>
  <c r="J25" i="22"/>
  <c r="I117" i="18"/>
  <c r="J123" i="18" s="1"/>
  <c r="I88" i="18"/>
  <c r="J94" i="18" s="1"/>
  <c r="I41" i="18"/>
  <c r="J47" i="18" s="1"/>
  <c r="L29" i="18"/>
  <c r="K30" i="18"/>
  <c r="G134" i="19"/>
  <c r="I56" i="11"/>
  <c r="H42" i="19"/>
  <c r="H43" i="19"/>
  <c r="H39" i="19"/>
  <c r="G51" i="18"/>
  <c r="G48" i="18"/>
  <c r="G52" i="18"/>
  <c r="G43" i="19"/>
  <c r="G39" i="19"/>
  <c r="G42" i="19"/>
  <c r="I115" i="19"/>
  <c r="K56" i="11" s="1"/>
  <c r="I118" i="19"/>
  <c r="I89" i="19"/>
  <c r="I86" i="19"/>
  <c r="K55" i="11" s="1"/>
  <c r="O108" i="18"/>
  <c r="N107" i="18"/>
  <c r="M106" i="18"/>
  <c r="L105" i="18"/>
  <c r="K104" i="18"/>
  <c r="M60" i="18"/>
  <c r="N61" i="18"/>
  <c r="M131" i="1"/>
  <c r="R126" i="1"/>
  <c r="P124" i="1"/>
  <c r="N122" i="1"/>
  <c r="N127" i="1" s="1"/>
  <c r="N129" i="1" s="1"/>
  <c r="N163" i="1" s="1"/>
  <c r="N186" i="1" s="1"/>
  <c r="N193" i="1" s="1"/>
  <c r="O123" i="1"/>
  <c r="Q125" i="1"/>
  <c r="P118" i="1"/>
  <c r="O119" i="1"/>
  <c r="K163" i="24" l="1"/>
  <c r="K186" i="24" s="1"/>
  <c r="K193" i="24" s="1"/>
  <c r="K131" i="24"/>
  <c r="P96" i="24"/>
  <c r="N94" i="24"/>
  <c r="M93" i="24"/>
  <c r="O95" i="24"/>
  <c r="L92" i="24"/>
  <c r="L97" i="24" s="1"/>
  <c r="L99" i="24" s="1"/>
  <c r="F56" i="11"/>
  <c r="D134" i="19"/>
  <c r="K262" i="24"/>
  <c r="I194" i="24"/>
  <c r="K198" i="24" s="1"/>
  <c r="M119" i="24"/>
  <c r="N118" i="24"/>
  <c r="Q37" i="1"/>
  <c r="Q40" i="1"/>
  <c r="Q142" i="1"/>
  <c r="Q41" i="1"/>
  <c r="L53" i="19"/>
  <c r="M54" i="19"/>
  <c r="I50" i="19"/>
  <c r="K52" i="19"/>
  <c r="J51" i="19"/>
  <c r="T176" i="1"/>
  <c r="G187" i="24"/>
  <c r="G165" i="24"/>
  <c r="G59" i="19"/>
  <c r="H65" i="19"/>
  <c r="G64" i="19"/>
  <c r="G69" i="19" s="1"/>
  <c r="J67" i="19"/>
  <c r="I66" i="19"/>
  <c r="K68" i="19"/>
  <c r="H59" i="19"/>
  <c r="I59" i="19"/>
  <c r="AN191" i="24"/>
  <c r="AM191" i="24"/>
  <c r="J164" i="24"/>
  <c r="J187" i="24" s="1"/>
  <c r="P138" i="18"/>
  <c r="E118" i="19"/>
  <c r="E115" i="19"/>
  <c r="E209" i="24"/>
  <c r="E198" i="24"/>
  <c r="E220" i="24"/>
  <c r="F197" i="24"/>
  <c r="W66" i="1"/>
  <c r="S62" i="1"/>
  <c r="S67" i="1" s="1"/>
  <c r="S69" i="1" s="1"/>
  <c r="U64" i="1"/>
  <c r="T63" i="1"/>
  <c r="V65" i="1"/>
  <c r="T57" i="1"/>
  <c r="T154" i="1" s="1"/>
  <c r="T177" i="1" s="1"/>
  <c r="D232" i="24"/>
  <c r="D233" i="24"/>
  <c r="D231" i="24"/>
  <c r="E230" i="24"/>
  <c r="Q144" i="1"/>
  <c r="Q115" i="1"/>
  <c r="Q112" i="1"/>
  <c r="H249" i="24"/>
  <c r="H254" i="24" s="1"/>
  <c r="I239" i="24"/>
  <c r="G54" i="11"/>
  <c r="E75" i="19"/>
  <c r="E138" i="19"/>
  <c r="E140" i="19" s="1"/>
  <c r="M45" i="24"/>
  <c r="N44" i="24"/>
  <c r="I74" i="18"/>
  <c r="H73" i="18"/>
  <c r="H78" i="18" s="1"/>
  <c r="L77" i="18"/>
  <c r="J75" i="18"/>
  <c r="K76" i="18"/>
  <c r="AM193" i="24"/>
  <c r="AN193" i="24"/>
  <c r="K99" i="24"/>
  <c r="D104" i="19"/>
  <c r="F55" i="11"/>
  <c r="J97" i="19"/>
  <c r="K98" i="19"/>
  <c r="H95" i="19"/>
  <c r="H100" i="19" s="1"/>
  <c r="I96" i="19"/>
  <c r="L99" i="19"/>
  <c r="P147" i="1"/>
  <c r="P145" i="1"/>
  <c r="K160" i="24"/>
  <c r="K71" i="24"/>
  <c r="H128" i="18"/>
  <c r="K137" i="18"/>
  <c r="J136" i="18"/>
  <c r="H134" i="18"/>
  <c r="H139" i="18" s="1"/>
  <c r="I135" i="18"/>
  <c r="L138" i="18"/>
  <c r="AK205" i="24"/>
  <c r="AO205" i="24" s="1"/>
  <c r="AK207" i="24"/>
  <c r="AO207" i="24" s="1"/>
  <c r="AO213" i="24" s="1"/>
  <c r="AK204" i="24"/>
  <c r="AO204" i="24" s="1"/>
  <c r="AK206" i="24"/>
  <c r="AO206" i="24" s="1"/>
  <c r="L226" i="24"/>
  <c r="K230" i="24"/>
  <c r="M75" i="18"/>
  <c r="M135" i="18"/>
  <c r="L134" i="18"/>
  <c r="S176" i="1"/>
  <c r="S180" i="1" s="1"/>
  <c r="S157" i="1"/>
  <c r="S158" i="1" s="1"/>
  <c r="AM192" i="24"/>
  <c r="AN192" i="24"/>
  <c r="H105" i="18"/>
  <c r="K108" i="18"/>
  <c r="G104" i="18"/>
  <c r="G109" i="18" s="1"/>
  <c r="I106" i="18"/>
  <c r="G99" i="18"/>
  <c r="J107" i="18"/>
  <c r="H99" i="18"/>
  <c r="I99" i="18"/>
  <c r="P134" i="1"/>
  <c r="AN190" i="24"/>
  <c r="AM190" i="24"/>
  <c r="AJ197" i="24"/>
  <c r="Q143" i="1"/>
  <c r="Q83" i="1"/>
  <c r="Q86" i="1"/>
  <c r="Q76" i="1"/>
  <c r="R82" i="1" s="1"/>
  <c r="Q30" i="1"/>
  <c r="R36" i="1" s="1"/>
  <c r="Q105" i="1"/>
  <c r="R111" i="1" s="1"/>
  <c r="D75" i="19"/>
  <c r="F54" i="11"/>
  <c r="F53" i="11" s="1"/>
  <c r="D138" i="19"/>
  <c r="D140" i="19" s="1"/>
  <c r="N55" i="18"/>
  <c r="M56" i="18"/>
  <c r="G73" i="18"/>
  <c r="G78" i="18" s="1"/>
  <c r="K77" i="18"/>
  <c r="I75" i="18"/>
  <c r="H74" i="18"/>
  <c r="J76" i="18"/>
  <c r="G68" i="18"/>
  <c r="I68" i="18"/>
  <c r="H68" i="18"/>
  <c r="L48" i="24"/>
  <c r="L53" i="24" s="1"/>
  <c r="N50" i="24"/>
  <c r="P52" i="24"/>
  <c r="M49" i="24"/>
  <c r="O51" i="24"/>
  <c r="AJ205" i="24"/>
  <c r="AJ213" i="24" s="1"/>
  <c r="AJ207" i="24"/>
  <c r="AJ204" i="24"/>
  <c r="AJ206" i="24"/>
  <c r="K99" i="19"/>
  <c r="H96" i="19"/>
  <c r="I97" i="19"/>
  <c r="G95" i="19"/>
  <c r="G100" i="19" s="1"/>
  <c r="G90" i="19"/>
  <c r="J98" i="19"/>
  <c r="H90" i="19"/>
  <c r="J90" i="19"/>
  <c r="I90" i="19"/>
  <c r="E104" i="19"/>
  <c r="G55" i="11"/>
  <c r="M89" i="24"/>
  <c r="N88" i="24"/>
  <c r="H119" i="19"/>
  <c r="I126" i="19"/>
  <c r="L129" i="19"/>
  <c r="J127" i="19"/>
  <c r="H125" i="19"/>
  <c r="H130" i="19" s="1"/>
  <c r="K128" i="19"/>
  <c r="I119" i="19"/>
  <c r="J73" i="24"/>
  <c r="J135" i="24"/>
  <c r="J136" i="24" s="1"/>
  <c r="N130" i="18"/>
  <c r="M131" i="18"/>
  <c r="N124" i="24"/>
  <c r="L122" i="24"/>
  <c r="L127" i="24" s="1"/>
  <c r="M123" i="24"/>
  <c r="P126" i="24"/>
  <c r="O125" i="24"/>
  <c r="R69" i="1"/>
  <c r="R161" i="1" s="1"/>
  <c r="R184" i="1" s="1"/>
  <c r="R191" i="1" s="1"/>
  <c r="N92" i="19"/>
  <c r="O91" i="19"/>
  <c r="E127" i="18"/>
  <c r="E124" i="18"/>
  <c r="E143" i="18" s="1"/>
  <c r="L68" i="19"/>
  <c r="J66" i="19"/>
  <c r="I65" i="19"/>
  <c r="I69" i="19" s="1"/>
  <c r="K67" i="19"/>
  <c r="H64" i="19"/>
  <c r="H69" i="19" s="1"/>
  <c r="I71" i="19" s="1"/>
  <c r="J262" i="24"/>
  <c r="H194" i="24"/>
  <c r="AF194" i="24"/>
  <c r="L108" i="18"/>
  <c r="I105" i="18"/>
  <c r="I109" i="18" s="1"/>
  <c r="H104" i="18"/>
  <c r="H109" i="18" s="1"/>
  <c r="K107" i="18"/>
  <c r="J106" i="18"/>
  <c r="R34" i="18"/>
  <c r="S25" i="1"/>
  <c r="R26" i="1"/>
  <c r="L54" i="19"/>
  <c r="I51" i="19"/>
  <c r="H45" i="19"/>
  <c r="K53" i="19"/>
  <c r="J52" i="19"/>
  <c r="H50" i="19"/>
  <c r="H55" i="19" s="1"/>
  <c r="H57" i="19" s="1"/>
  <c r="J78" i="11" s="1"/>
  <c r="J45" i="19"/>
  <c r="I45" i="19"/>
  <c r="L63" i="18"/>
  <c r="J61" i="18"/>
  <c r="I60" i="18"/>
  <c r="H59" i="18"/>
  <c r="H64" i="18" s="1"/>
  <c r="K62" i="18"/>
  <c r="H54" i="18"/>
  <c r="I54" i="18"/>
  <c r="AK203" i="24"/>
  <c r="AF191" i="24"/>
  <c r="AJ196" i="24" s="1"/>
  <c r="J60" i="18"/>
  <c r="J64" i="18" s="1"/>
  <c r="L62" i="18"/>
  <c r="K61" i="18"/>
  <c r="I59" i="18"/>
  <c r="I64" i="18" s="1"/>
  <c r="J66" i="18" s="1"/>
  <c r="M63" i="18"/>
  <c r="AM203" i="24"/>
  <c r="AN203" i="24"/>
  <c r="J231" i="24"/>
  <c r="J233" i="24"/>
  <c r="P73" i="1"/>
  <c r="G220" i="1"/>
  <c r="G209" i="1"/>
  <c r="F221" i="1"/>
  <c r="AN191" i="1"/>
  <c r="AM191" i="1"/>
  <c r="AH207" i="1"/>
  <c r="H190" i="1"/>
  <c r="AJ190" i="1" s="1"/>
  <c r="H197" i="1"/>
  <c r="H198" i="1" s="1"/>
  <c r="R183" i="1"/>
  <c r="R190" i="1" s="1"/>
  <c r="H187" i="1"/>
  <c r="M183" i="1"/>
  <c r="M190" i="1" s="1"/>
  <c r="Q184" i="1"/>
  <c r="Q191" i="1" s="1"/>
  <c r="P184" i="1"/>
  <c r="P191" i="1" s="1"/>
  <c r="K187" i="1"/>
  <c r="I187" i="1"/>
  <c r="L164" i="1"/>
  <c r="S183" i="1"/>
  <c r="S190" i="1" s="1"/>
  <c r="J183" i="1"/>
  <c r="J190" i="1" s="1"/>
  <c r="J164" i="1"/>
  <c r="L116" i="11"/>
  <c r="L92" i="11"/>
  <c r="H73" i="1"/>
  <c r="H135" i="1"/>
  <c r="H136" i="1" s="1"/>
  <c r="J73" i="1"/>
  <c r="J135" i="1"/>
  <c r="J136" i="1" s="1"/>
  <c r="K116" i="11"/>
  <c r="K92" i="11"/>
  <c r="N89" i="1"/>
  <c r="O88" i="1"/>
  <c r="L73" i="1"/>
  <c r="L135" i="1"/>
  <c r="L136" i="1" s="1"/>
  <c r="N65" i="11"/>
  <c r="L101" i="1"/>
  <c r="J116" i="11"/>
  <c r="J92" i="11"/>
  <c r="I73" i="1"/>
  <c r="I135" i="1"/>
  <c r="I136" i="1" s="1"/>
  <c r="M116" i="11"/>
  <c r="M92" i="11"/>
  <c r="M92" i="1"/>
  <c r="M97" i="1" s="1"/>
  <c r="M99" i="1" s="1"/>
  <c r="M162" i="1" s="1"/>
  <c r="O94" i="1"/>
  <c r="N93" i="1"/>
  <c r="P95" i="1"/>
  <c r="Q96" i="1"/>
  <c r="U45" i="1"/>
  <c r="V44" i="1"/>
  <c r="R71" i="1"/>
  <c r="J48" i="11"/>
  <c r="J112" i="11" s="1"/>
  <c r="J110" i="11" s="1"/>
  <c r="T48" i="1"/>
  <c r="T53" i="1" s="1"/>
  <c r="X52" i="1"/>
  <c r="U49" i="1"/>
  <c r="W51" i="1"/>
  <c r="V50" i="1"/>
  <c r="G93" i="11"/>
  <c r="I115" i="11"/>
  <c r="O62" i="18"/>
  <c r="L59" i="18"/>
  <c r="O77" i="18"/>
  <c r="L74" i="18"/>
  <c r="G110" i="11"/>
  <c r="G109" i="11" s="1"/>
  <c r="N101" i="18"/>
  <c r="O100" i="18"/>
  <c r="K95" i="11"/>
  <c r="K113" i="11"/>
  <c r="N47" i="19"/>
  <c r="O46" i="19"/>
  <c r="H56" i="11"/>
  <c r="H53" i="11" s="1"/>
  <c r="H94" i="11" s="1"/>
  <c r="F134" i="19"/>
  <c r="F141" i="19" s="1"/>
  <c r="F138" i="19"/>
  <c r="F140" i="19" s="1"/>
  <c r="O121" i="19"/>
  <c r="N122" i="19"/>
  <c r="J128" i="18"/>
  <c r="M137" i="18"/>
  <c r="K135" i="18"/>
  <c r="N138" i="18"/>
  <c r="L136" i="18"/>
  <c r="J134" i="18"/>
  <c r="J119" i="19"/>
  <c r="K119" i="19"/>
  <c r="K126" i="19"/>
  <c r="M128" i="19"/>
  <c r="N129" i="19"/>
  <c r="J125" i="19"/>
  <c r="L127" i="19"/>
  <c r="F143" i="18"/>
  <c r="H48" i="11"/>
  <c r="H112" i="11" s="1"/>
  <c r="H110" i="11" s="1"/>
  <c r="N97" i="19"/>
  <c r="M96" i="19"/>
  <c r="L95" i="19"/>
  <c r="P99" i="19"/>
  <c r="O98" i="19"/>
  <c r="I54" i="11"/>
  <c r="I53" i="11" s="1"/>
  <c r="G138" i="19"/>
  <c r="K74" i="18"/>
  <c r="K78" i="18" s="1"/>
  <c r="L75" i="18"/>
  <c r="M76" i="18"/>
  <c r="J73" i="18"/>
  <c r="J78" i="18" s="1"/>
  <c r="N77" i="18"/>
  <c r="L68" i="18"/>
  <c r="K68" i="18"/>
  <c r="J68" i="18"/>
  <c r="L60" i="18"/>
  <c r="L64" i="18" s="1"/>
  <c r="O63" i="18"/>
  <c r="M61" i="18"/>
  <c r="K59" i="18"/>
  <c r="N62" i="18"/>
  <c r="M54" i="18"/>
  <c r="K54" i="18"/>
  <c r="L54" i="18"/>
  <c r="N67" i="19"/>
  <c r="L65" i="19"/>
  <c r="O68" i="19"/>
  <c r="K64" i="19"/>
  <c r="M66" i="19"/>
  <c r="K31" i="18"/>
  <c r="K24" i="19"/>
  <c r="K25" i="19" s="1"/>
  <c r="K27" i="19" s="1"/>
  <c r="K28" i="19" s="1"/>
  <c r="K33" i="18"/>
  <c r="K35" i="18" s="1"/>
  <c r="K37" i="18" s="1"/>
  <c r="J48" i="18"/>
  <c r="J51" i="18"/>
  <c r="J52" i="18"/>
  <c r="J124" i="18"/>
  <c r="J127" i="18"/>
  <c r="N128" i="18" s="1"/>
  <c r="K25" i="22"/>
  <c r="L24" i="22"/>
  <c r="K48" i="11"/>
  <c r="K112" i="11" s="1"/>
  <c r="O128" i="19"/>
  <c r="N127" i="19"/>
  <c r="M126" i="19"/>
  <c r="L125" i="19"/>
  <c r="P129" i="19"/>
  <c r="M119" i="19"/>
  <c r="L119" i="19"/>
  <c r="K54" i="11"/>
  <c r="K53" i="11" s="1"/>
  <c r="I138" i="19"/>
  <c r="O52" i="19"/>
  <c r="P53" i="19"/>
  <c r="M50" i="19"/>
  <c r="Q54" i="19"/>
  <c r="N51" i="19"/>
  <c r="M136" i="18"/>
  <c r="L135" i="18"/>
  <c r="O138" i="18"/>
  <c r="K134" i="18"/>
  <c r="N137" i="18"/>
  <c r="M128" i="18"/>
  <c r="K128" i="18"/>
  <c r="L128" i="18"/>
  <c r="J117" i="18"/>
  <c r="K123" i="18" s="1"/>
  <c r="J88" i="18"/>
  <c r="K94" i="18" s="1"/>
  <c r="J41" i="18"/>
  <c r="K47" i="18" s="1"/>
  <c r="J43" i="19"/>
  <c r="J39" i="19"/>
  <c r="J42" i="19"/>
  <c r="N45" i="19" s="1"/>
  <c r="J64" i="22"/>
  <c r="J65" i="22" s="1"/>
  <c r="L58" i="11"/>
  <c r="L104" i="18"/>
  <c r="M105" i="18"/>
  <c r="O107" i="18"/>
  <c r="N106" i="18"/>
  <c r="P108" i="18"/>
  <c r="O136" i="18"/>
  <c r="N135" i="18"/>
  <c r="M134" i="18"/>
  <c r="Q138" i="18"/>
  <c r="P137" i="18"/>
  <c r="O99" i="19"/>
  <c r="M97" i="19"/>
  <c r="N98" i="19"/>
  <c r="K95" i="19"/>
  <c r="K100" i="19" s="1"/>
  <c r="L96" i="19"/>
  <c r="L90" i="19"/>
  <c r="K90" i="19"/>
  <c r="M125" i="19"/>
  <c r="Q129" i="19"/>
  <c r="P128" i="19"/>
  <c r="O127" i="19"/>
  <c r="N126" i="19"/>
  <c r="K50" i="19"/>
  <c r="K55" i="19" s="1"/>
  <c r="M52" i="19"/>
  <c r="O54" i="19"/>
  <c r="L51" i="19"/>
  <c r="N53" i="19"/>
  <c r="M45" i="19"/>
  <c r="K45" i="19"/>
  <c r="L45" i="19"/>
  <c r="M67" i="19"/>
  <c r="N68" i="19"/>
  <c r="L66" i="19"/>
  <c r="K65" i="19"/>
  <c r="J64" i="19"/>
  <c r="L59" i="19"/>
  <c r="J59" i="19"/>
  <c r="M59" i="19"/>
  <c r="K59" i="19"/>
  <c r="H138" i="19"/>
  <c r="J54" i="11"/>
  <c r="O53" i="19"/>
  <c r="P54" i="19"/>
  <c r="L50" i="19"/>
  <c r="M51" i="19"/>
  <c r="N52" i="19"/>
  <c r="L30" i="18"/>
  <c r="L31" i="18" s="1"/>
  <c r="M29" i="18"/>
  <c r="J95" i="18"/>
  <c r="J98" i="18"/>
  <c r="J52" i="22"/>
  <c r="K58" i="22" s="1"/>
  <c r="K59" i="22" s="1"/>
  <c r="J40" i="22"/>
  <c r="K46" i="22" s="1"/>
  <c r="K47" i="22" s="1"/>
  <c r="J29" i="22"/>
  <c r="K35" i="22" s="1"/>
  <c r="K36" i="22" s="1"/>
  <c r="M59" i="18"/>
  <c r="Q63" i="18"/>
  <c r="P62" i="18"/>
  <c r="O61" i="18"/>
  <c r="N60" i="18"/>
  <c r="L73" i="18"/>
  <c r="L78" i="18" s="1"/>
  <c r="P77" i="18"/>
  <c r="O76" i="18"/>
  <c r="N75" i="18"/>
  <c r="M74" i="18"/>
  <c r="J56" i="11"/>
  <c r="M65" i="19"/>
  <c r="L64" i="19"/>
  <c r="P68" i="19"/>
  <c r="O67" i="19"/>
  <c r="N66" i="19"/>
  <c r="G143" i="18"/>
  <c r="J108" i="19"/>
  <c r="K114" i="19" s="1"/>
  <c r="J32" i="19"/>
  <c r="K38" i="19" s="1"/>
  <c r="J79" i="19"/>
  <c r="K85" i="19" s="1"/>
  <c r="J86" i="19"/>
  <c r="L55" i="11" s="1"/>
  <c r="J89" i="19"/>
  <c r="J118" i="19"/>
  <c r="N119" i="19" s="1"/>
  <c r="J115" i="19"/>
  <c r="L56" i="11" s="1"/>
  <c r="K105" i="18"/>
  <c r="M107" i="18"/>
  <c r="L106" i="18"/>
  <c r="N108" i="18"/>
  <c r="J104" i="18"/>
  <c r="L99" i="18"/>
  <c r="K99" i="18"/>
  <c r="J99" i="18"/>
  <c r="M99" i="18"/>
  <c r="H93" i="11"/>
  <c r="P123" i="1"/>
  <c r="O122" i="1"/>
  <c r="O127" i="1" s="1"/>
  <c r="S126" i="1"/>
  <c r="R125" i="1"/>
  <c r="Q124" i="1"/>
  <c r="N131" i="1"/>
  <c r="Q118" i="1"/>
  <c r="P119" i="1"/>
  <c r="L162" i="24" l="1"/>
  <c r="L185" i="24" s="1"/>
  <c r="L192" i="24" s="1"/>
  <c r="L101" i="24"/>
  <c r="S161" i="1"/>
  <c r="S184" i="1" s="1"/>
  <c r="S191" i="1" s="1"/>
  <c r="S71" i="1"/>
  <c r="R37" i="1"/>
  <c r="R142" i="1"/>
  <c r="R40" i="1"/>
  <c r="R41" i="1"/>
  <c r="U43" i="1"/>
  <c r="U153" i="1" s="1"/>
  <c r="H62" i="11"/>
  <c r="L130" i="19"/>
  <c r="K64" i="18"/>
  <c r="AO203" i="24"/>
  <c r="H66" i="18"/>
  <c r="I66" i="18"/>
  <c r="R105" i="1"/>
  <c r="S111" i="1" s="1"/>
  <c r="R30" i="1"/>
  <c r="S36" i="1" s="1"/>
  <c r="R76" i="1"/>
  <c r="S82" i="1" s="1"/>
  <c r="Q96" i="24"/>
  <c r="O94" i="24"/>
  <c r="N93" i="24"/>
  <c r="M92" i="24"/>
  <c r="M97" i="24" s="1"/>
  <c r="M99" i="24" s="1"/>
  <c r="P95" i="24"/>
  <c r="G102" i="19"/>
  <c r="H102" i="19"/>
  <c r="AM206" i="24"/>
  <c r="AN206" i="24"/>
  <c r="G80" i="18"/>
  <c r="G82" i="18" s="1"/>
  <c r="G84" i="18" s="1"/>
  <c r="H80" i="18"/>
  <c r="H82" i="18" s="1"/>
  <c r="H84" i="18" s="1"/>
  <c r="F94" i="11"/>
  <c r="F96" i="11" s="1"/>
  <c r="F62" i="11"/>
  <c r="R143" i="1"/>
  <c r="R86" i="1"/>
  <c r="R83" i="1"/>
  <c r="K231" i="24"/>
  <c r="K233" i="24"/>
  <c r="I78" i="18"/>
  <c r="J80" i="18" s="1"/>
  <c r="G197" i="24"/>
  <c r="F220" i="24"/>
  <c r="F198" i="24"/>
  <c r="F221" i="24" s="1"/>
  <c r="F209" i="24"/>
  <c r="G56" i="11"/>
  <c r="E134" i="19"/>
  <c r="E141" i="19" s="1"/>
  <c r="J194" i="24"/>
  <c r="L198" i="24" s="1"/>
  <c r="L262" i="24"/>
  <c r="G71" i="19"/>
  <c r="H71" i="19"/>
  <c r="G194" i="24"/>
  <c r="I198" i="24" s="1"/>
  <c r="I262" i="24"/>
  <c r="J55" i="19"/>
  <c r="Q134" i="1"/>
  <c r="Q73" i="1"/>
  <c r="AM205" i="24"/>
  <c r="AN205" i="24"/>
  <c r="E233" i="24"/>
  <c r="F230" i="24"/>
  <c r="E231" i="24"/>
  <c r="E232" i="24"/>
  <c r="H96" i="11"/>
  <c r="J109" i="18"/>
  <c r="J111" i="18" s="1"/>
  <c r="L80" i="18"/>
  <c r="S34" i="18"/>
  <c r="T25" i="1"/>
  <c r="S26" i="1"/>
  <c r="AJ194" i="24"/>
  <c r="J198" i="24"/>
  <c r="I134" i="18"/>
  <c r="I139" i="18" s="1"/>
  <c r="K136" i="18"/>
  <c r="J135" i="18"/>
  <c r="J139" i="18" s="1"/>
  <c r="M138" i="18"/>
  <c r="L137" i="18"/>
  <c r="L139" i="18" s="1"/>
  <c r="V43" i="1"/>
  <c r="V153" i="1" s="1"/>
  <c r="O130" i="18"/>
  <c r="N131" i="18"/>
  <c r="P136" i="18" s="1"/>
  <c r="AM204" i="24"/>
  <c r="AN204" i="24"/>
  <c r="T87" i="1"/>
  <c r="T155" i="1" s="1"/>
  <c r="T178" i="1" s="1"/>
  <c r="T180" i="1" s="1"/>
  <c r="M226" i="24"/>
  <c r="L230" i="24"/>
  <c r="H141" i="18"/>
  <c r="H143" i="18" s="1"/>
  <c r="I141" i="18"/>
  <c r="I143" i="18" s="1"/>
  <c r="K135" i="24"/>
  <c r="K136" i="24" s="1"/>
  <c r="K73" i="24"/>
  <c r="J100" i="19"/>
  <c r="J102" i="19" s="1"/>
  <c r="K101" i="24"/>
  <c r="K162" i="24"/>
  <c r="K185" i="24" s="1"/>
  <c r="K192" i="24" s="1"/>
  <c r="N45" i="24"/>
  <c r="O44" i="24"/>
  <c r="G53" i="11"/>
  <c r="U116" i="1"/>
  <c r="U156" i="1" s="1"/>
  <c r="U179" i="1" s="1"/>
  <c r="K127" i="19"/>
  <c r="I125" i="19"/>
  <c r="I130" i="19" s="1"/>
  <c r="I132" i="19" s="1"/>
  <c r="M129" i="19"/>
  <c r="M130" i="19" s="1"/>
  <c r="L128" i="19"/>
  <c r="J126" i="19"/>
  <c r="J130" i="19" s="1"/>
  <c r="T62" i="1"/>
  <c r="T67" i="1" s="1"/>
  <c r="W65" i="1"/>
  <c r="V64" i="1"/>
  <c r="X66" i="1"/>
  <c r="U63" i="1"/>
  <c r="N119" i="24"/>
  <c r="O118" i="24"/>
  <c r="D141" i="19"/>
  <c r="N89" i="24"/>
  <c r="O88" i="24"/>
  <c r="K109" i="18"/>
  <c r="J69" i="19"/>
  <c r="J71" i="19" s="1"/>
  <c r="K139" i="18"/>
  <c r="L141" i="18" s="1"/>
  <c r="K130" i="19"/>
  <c r="R73" i="1"/>
  <c r="I111" i="18"/>
  <c r="I113" i="18" s="1"/>
  <c r="P91" i="19"/>
  <c r="O92" i="19"/>
  <c r="L129" i="24"/>
  <c r="M129" i="24"/>
  <c r="H132" i="19"/>
  <c r="AM207" i="24"/>
  <c r="AN207" i="24"/>
  <c r="AN213" i="24" s="1"/>
  <c r="O55" i="18"/>
  <c r="N56" i="18"/>
  <c r="R144" i="1"/>
  <c r="R115" i="1"/>
  <c r="R112" i="1"/>
  <c r="G111" i="18"/>
  <c r="G113" i="18" s="1"/>
  <c r="H111" i="18"/>
  <c r="H113" i="18" s="1"/>
  <c r="I128" i="18"/>
  <c r="K183" i="24"/>
  <c r="K190" i="24" s="1"/>
  <c r="K164" i="24"/>
  <c r="K187" i="24" s="1"/>
  <c r="I100" i="19"/>
  <c r="I102" i="19" s="1"/>
  <c r="N49" i="24"/>
  <c r="M48" i="24"/>
  <c r="M53" i="24" s="1"/>
  <c r="M55" i="24" s="1"/>
  <c r="Q52" i="24"/>
  <c r="O50" i="24"/>
  <c r="P51" i="24"/>
  <c r="L55" i="24"/>
  <c r="L239" i="24"/>
  <c r="I249" i="24"/>
  <c r="I55" i="19"/>
  <c r="Q147" i="1"/>
  <c r="Q145" i="1"/>
  <c r="O124" i="24"/>
  <c r="Q126" i="24"/>
  <c r="N123" i="24"/>
  <c r="P125" i="24"/>
  <c r="M122" i="24"/>
  <c r="M127" i="24" s="1"/>
  <c r="H220" i="1"/>
  <c r="H209" i="1"/>
  <c r="H211" i="1" s="1"/>
  <c r="AM190" i="1"/>
  <c r="AN190" i="1"/>
  <c r="I194" i="1"/>
  <c r="K198" i="1" s="1"/>
  <c r="K194" i="1"/>
  <c r="M198" i="1" s="1"/>
  <c r="I197" i="1"/>
  <c r="AJ207" i="1"/>
  <c r="AJ206" i="1"/>
  <c r="AJ205" i="1"/>
  <c r="AJ204" i="1"/>
  <c r="H194" i="1"/>
  <c r="J198" i="1" s="1"/>
  <c r="AF194" i="1"/>
  <c r="AF193" i="1"/>
  <c r="AF192" i="1"/>
  <c r="AF191" i="1"/>
  <c r="AF190" i="1"/>
  <c r="AJ203" i="1"/>
  <c r="M185" i="1"/>
  <c r="M192" i="1" s="1"/>
  <c r="M164" i="1"/>
  <c r="J187" i="1"/>
  <c r="L187" i="1"/>
  <c r="N116" i="11"/>
  <c r="N92" i="11"/>
  <c r="Q95" i="1"/>
  <c r="O93" i="1"/>
  <c r="N92" i="1"/>
  <c r="N97" i="1" s="1"/>
  <c r="P94" i="1"/>
  <c r="R96" i="1"/>
  <c r="N99" i="1"/>
  <c r="N162" i="1" s="1"/>
  <c r="M101" i="1"/>
  <c r="O65" i="11"/>
  <c r="M135" i="1"/>
  <c r="M136" i="1" s="1"/>
  <c r="P88" i="1"/>
  <c r="O89" i="1"/>
  <c r="X51" i="1"/>
  <c r="U48" i="1"/>
  <c r="W50" i="1"/>
  <c r="Y52" i="1"/>
  <c r="V49" i="1"/>
  <c r="U53" i="1"/>
  <c r="U55" i="1" s="1"/>
  <c r="U160" i="1" s="1"/>
  <c r="V45" i="1"/>
  <c r="W44" i="1"/>
  <c r="M64" i="18"/>
  <c r="T55" i="1"/>
  <c r="T160" i="1" s="1"/>
  <c r="L55" i="19"/>
  <c r="M57" i="19" s="1"/>
  <c r="O78" i="11" s="1"/>
  <c r="K110" i="11"/>
  <c r="L69" i="19"/>
  <c r="M139" i="18"/>
  <c r="H109" i="11"/>
  <c r="P100" i="18"/>
  <c r="O101" i="18"/>
  <c r="L95" i="11"/>
  <c r="L113" i="11"/>
  <c r="K80" i="18"/>
  <c r="P121" i="19"/>
  <c r="O122" i="19"/>
  <c r="O47" i="19"/>
  <c r="P46" i="19"/>
  <c r="J71" i="11"/>
  <c r="J117" i="11" s="1"/>
  <c r="J82" i="18"/>
  <c r="J84" i="18" s="1"/>
  <c r="M66" i="18"/>
  <c r="O97" i="19"/>
  <c r="N96" i="19"/>
  <c r="M95" i="19"/>
  <c r="M100" i="19" s="1"/>
  <c r="Q99" i="19"/>
  <c r="P98" i="19"/>
  <c r="K89" i="19"/>
  <c r="K86" i="19"/>
  <c r="M55" i="11" s="1"/>
  <c r="K115" i="19"/>
  <c r="K118" i="19"/>
  <c r="O119" i="19" s="1"/>
  <c r="M58" i="11"/>
  <c r="K64" i="22"/>
  <c r="K65" i="22" s="1"/>
  <c r="L33" i="18"/>
  <c r="L35" i="18" s="1"/>
  <c r="L37" i="18" s="1"/>
  <c r="L24" i="19"/>
  <c r="L25" i="19" s="1"/>
  <c r="L27" i="19" s="1"/>
  <c r="L28" i="19" s="1"/>
  <c r="N50" i="19"/>
  <c r="N55" i="19" s="1"/>
  <c r="Q53" i="19"/>
  <c r="O51" i="19"/>
  <c r="P52" i="19"/>
  <c r="R54" i="19"/>
  <c r="N65" i="19"/>
  <c r="M64" i="19"/>
  <c r="M69" i="19" s="1"/>
  <c r="M71" i="19" s="1"/>
  <c r="Q68" i="19"/>
  <c r="P67" i="19"/>
  <c r="O66" i="19"/>
  <c r="K95" i="18"/>
  <c r="K98" i="18"/>
  <c r="K52" i="22"/>
  <c r="L58" i="22" s="1"/>
  <c r="L59" i="22" s="1"/>
  <c r="K40" i="22"/>
  <c r="L46" i="22" s="1"/>
  <c r="L47" i="22" s="1"/>
  <c r="K29" i="22"/>
  <c r="L35" i="22" s="1"/>
  <c r="L36" i="22" s="1"/>
  <c r="R63" i="18"/>
  <c r="O60" i="18"/>
  <c r="N59" i="18"/>
  <c r="N64" i="18" s="1"/>
  <c r="N66" i="18" s="1"/>
  <c r="P61" i="18"/>
  <c r="Q62" i="18"/>
  <c r="K41" i="18"/>
  <c r="L47" i="18" s="1"/>
  <c r="K117" i="18"/>
  <c r="L123" i="18" s="1"/>
  <c r="K88" i="18"/>
  <c r="L94" i="18" s="1"/>
  <c r="L66" i="18"/>
  <c r="K66" i="18"/>
  <c r="J53" i="11"/>
  <c r="J62" i="11" s="1"/>
  <c r="M90" i="19"/>
  <c r="M55" i="19"/>
  <c r="N54" i="18"/>
  <c r="M68" i="18"/>
  <c r="Q128" i="19"/>
  <c r="R129" i="19"/>
  <c r="O126" i="19"/>
  <c r="N125" i="19"/>
  <c r="N130" i="19" s="1"/>
  <c r="P127" i="19"/>
  <c r="K39" i="19"/>
  <c r="K42" i="19"/>
  <c r="K43" i="19"/>
  <c r="M104" i="18"/>
  <c r="M109" i="18" s="1"/>
  <c r="Q108" i="18"/>
  <c r="P107" i="18"/>
  <c r="O106" i="18"/>
  <c r="N105" i="18"/>
  <c r="M30" i="18"/>
  <c r="N29" i="18"/>
  <c r="M31" i="18"/>
  <c r="L57" i="19"/>
  <c r="N78" i="11" s="1"/>
  <c r="K57" i="19"/>
  <c r="M78" i="11" s="1"/>
  <c r="J138" i="19"/>
  <c r="L54" i="11"/>
  <c r="L53" i="11" s="1"/>
  <c r="K48" i="18"/>
  <c r="K51" i="18"/>
  <c r="O54" i="18" s="1"/>
  <c r="K52" i="18"/>
  <c r="N68" i="18" s="1"/>
  <c r="K127" i="18"/>
  <c r="K124" i="18"/>
  <c r="L132" i="19"/>
  <c r="M24" i="22"/>
  <c r="L25" i="22"/>
  <c r="R138" i="18"/>
  <c r="O75" i="18"/>
  <c r="Q77" i="18"/>
  <c r="P76" i="18"/>
  <c r="M73" i="18"/>
  <c r="M78" i="18" s="1"/>
  <c r="M80" i="18" s="1"/>
  <c r="N74" i="18"/>
  <c r="L48" i="11"/>
  <c r="K79" i="19"/>
  <c r="L85" i="19" s="1"/>
  <c r="K108" i="19"/>
  <c r="L114" i="19" s="1"/>
  <c r="K32" i="19"/>
  <c r="L38" i="19" s="1"/>
  <c r="I48" i="11"/>
  <c r="L109" i="18"/>
  <c r="L111" i="18" s="1"/>
  <c r="K62" i="11"/>
  <c r="K69" i="19"/>
  <c r="L100" i="19"/>
  <c r="M102" i="19" s="1"/>
  <c r="L82" i="18"/>
  <c r="K79" i="11"/>
  <c r="K71" i="11"/>
  <c r="K117" i="11" s="1"/>
  <c r="Q119" i="1"/>
  <c r="R118" i="1"/>
  <c r="R124" i="1"/>
  <c r="T126" i="1"/>
  <c r="Q123" i="1"/>
  <c r="S125" i="1"/>
  <c r="P122" i="1"/>
  <c r="P127" i="1" s="1"/>
  <c r="O129" i="1"/>
  <c r="O163" i="1" s="1"/>
  <c r="O186" i="1" s="1"/>
  <c r="O193" i="1" s="1"/>
  <c r="M160" i="24" l="1"/>
  <c r="M71" i="24"/>
  <c r="J132" i="19"/>
  <c r="K132" i="19"/>
  <c r="M81" i="11" s="1"/>
  <c r="M132" i="19"/>
  <c r="I134" i="19"/>
  <c r="K81" i="11"/>
  <c r="W116" i="1"/>
  <c r="W156" i="1" s="1"/>
  <c r="W179" i="1" s="1"/>
  <c r="M101" i="24"/>
  <c r="M162" i="24"/>
  <c r="M185" i="24" s="1"/>
  <c r="M192" i="24" s="1"/>
  <c r="K80" i="11"/>
  <c r="I104" i="19"/>
  <c r="J141" i="18"/>
  <c r="J143" i="18" s="1"/>
  <c r="K141" i="18"/>
  <c r="I254" i="24"/>
  <c r="L249" i="24"/>
  <c r="M163" i="24"/>
  <c r="M186" i="24" s="1"/>
  <c r="M193" i="24" s="1"/>
  <c r="M131" i="24"/>
  <c r="J104" i="19"/>
  <c r="L80" i="11"/>
  <c r="S143" i="1"/>
  <c r="S86" i="1"/>
  <c r="S83" i="1"/>
  <c r="R147" i="1"/>
  <c r="R145" i="1"/>
  <c r="K111" i="18"/>
  <c r="AJ194" i="1"/>
  <c r="L163" i="24"/>
  <c r="L186" i="24" s="1"/>
  <c r="L193" i="24" s="1"/>
  <c r="L131" i="24"/>
  <c r="L79" i="11"/>
  <c r="J73" i="19"/>
  <c r="T69" i="1"/>
  <c r="T161" i="1" s="1"/>
  <c r="T184" i="1" s="1"/>
  <c r="T191" i="1" s="1"/>
  <c r="Q51" i="24"/>
  <c r="R52" i="24"/>
  <c r="N48" i="24"/>
  <c r="N53" i="24" s="1"/>
  <c r="O49" i="24"/>
  <c r="P50" i="24"/>
  <c r="L231" i="24"/>
  <c r="L233" i="24"/>
  <c r="O131" i="18"/>
  <c r="P130" i="18"/>
  <c r="AM194" i="24"/>
  <c r="AN194" i="24"/>
  <c r="AN196" i="24" s="1"/>
  <c r="F233" i="24"/>
  <c r="F231" i="24"/>
  <c r="F232" i="24"/>
  <c r="G232" i="24" s="1"/>
  <c r="H232" i="24" s="1"/>
  <c r="H104" i="19"/>
  <c r="J80" i="11"/>
  <c r="S40" i="1"/>
  <c r="S142" i="1"/>
  <c r="S41" i="1"/>
  <c r="S37" i="1"/>
  <c r="T43" i="11"/>
  <c r="T111" i="11" s="1"/>
  <c r="R134" i="1"/>
  <c r="I80" i="18"/>
  <c r="I82" i="18" s="1"/>
  <c r="V116" i="1"/>
  <c r="V156" i="1" s="1"/>
  <c r="V179" i="1" s="1"/>
  <c r="P92" i="19"/>
  <c r="Q91" i="19"/>
  <c r="O93" i="24"/>
  <c r="R96" i="24"/>
  <c r="Q95" i="24"/>
  <c r="N92" i="24"/>
  <c r="N97" i="24" s="1"/>
  <c r="N99" i="24" s="1"/>
  <c r="P94" i="24"/>
  <c r="P44" i="24"/>
  <c r="O45" i="24"/>
  <c r="Q137" i="18"/>
  <c r="O135" i="18"/>
  <c r="I57" i="19"/>
  <c r="J57" i="19"/>
  <c r="L78" i="11" s="1"/>
  <c r="M262" i="24"/>
  <c r="K194" i="24"/>
  <c r="M198" i="24" s="1"/>
  <c r="P118" i="24"/>
  <c r="O119" i="24"/>
  <c r="N226" i="24"/>
  <c r="M230" i="24"/>
  <c r="V176" i="1"/>
  <c r="V157" i="1"/>
  <c r="V158" i="1" s="1"/>
  <c r="S105" i="1"/>
  <c r="T111" i="1" s="1"/>
  <c r="S76" i="1"/>
  <c r="T82" i="1" s="1"/>
  <c r="S30" i="1"/>
  <c r="T36" i="1" s="1"/>
  <c r="H73" i="19"/>
  <c r="J79" i="11"/>
  <c r="I80" i="11"/>
  <c r="G104" i="19"/>
  <c r="S144" i="1"/>
  <c r="S112" i="1"/>
  <c r="S115" i="1"/>
  <c r="X65" i="1"/>
  <c r="Y66" i="1"/>
  <c r="U62" i="1"/>
  <c r="U67" i="1" s="1"/>
  <c r="U69" i="1" s="1"/>
  <c r="V63" i="1"/>
  <c r="W64" i="1"/>
  <c r="V57" i="1"/>
  <c r="V154" i="1" s="1"/>
  <c r="V177" i="1" s="1"/>
  <c r="U57" i="1"/>
  <c r="U154" i="1" s="1"/>
  <c r="U177" i="1" s="1"/>
  <c r="M141" i="18"/>
  <c r="U87" i="1"/>
  <c r="U155" i="1" s="1"/>
  <c r="U178" i="1" s="1"/>
  <c r="U176" i="1"/>
  <c r="U180" i="1" s="1"/>
  <c r="U157" i="1"/>
  <c r="U158" i="1" s="1"/>
  <c r="N134" i="18"/>
  <c r="N139" i="18" s="1"/>
  <c r="N141" i="18" s="1"/>
  <c r="K102" i="19"/>
  <c r="N129" i="24"/>
  <c r="T157" i="1"/>
  <c r="T158" i="1" s="1"/>
  <c r="L160" i="24"/>
  <c r="L71" i="24"/>
  <c r="P55" i="18"/>
  <c r="O56" i="18"/>
  <c r="J81" i="11"/>
  <c r="H134" i="19"/>
  <c r="O89" i="24"/>
  <c r="P88" i="24"/>
  <c r="O123" i="24"/>
  <c r="N122" i="24"/>
  <c r="N127" i="24" s="1"/>
  <c r="R126" i="24"/>
  <c r="Q125" i="24"/>
  <c r="P124" i="24"/>
  <c r="G94" i="11"/>
  <c r="G96" i="11" s="1"/>
  <c r="G62" i="11"/>
  <c r="V87" i="1"/>
  <c r="V155" i="1" s="1"/>
  <c r="V178" i="1" s="1"/>
  <c r="T34" i="18"/>
  <c r="U25" i="1"/>
  <c r="T26" i="1"/>
  <c r="G73" i="19"/>
  <c r="I79" i="11"/>
  <c r="I77" i="11" s="1"/>
  <c r="G198" i="24"/>
  <c r="H197" i="24"/>
  <c r="G220" i="24"/>
  <c r="G209" i="24"/>
  <c r="S73" i="1"/>
  <c r="J197" i="1"/>
  <c r="I220" i="1"/>
  <c r="I209" i="1"/>
  <c r="L194" i="1"/>
  <c r="N198" i="1" s="1"/>
  <c r="J194" i="1"/>
  <c r="L198" i="1" s="1"/>
  <c r="AM204" i="1"/>
  <c r="AM206" i="1"/>
  <c r="AJ196" i="1"/>
  <c r="AM203" i="1"/>
  <c r="AJ213" i="1"/>
  <c r="AM205" i="1"/>
  <c r="AM207" i="1"/>
  <c r="N185" i="1"/>
  <c r="N192" i="1" s="1"/>
  <c r="N164" i="1"/>
  <c r="T183" i="1"/>
  <c r="T190" i="1" s="1"/>
  <c r="U183" i="1"/>
  <c r="M187" i="1"/>
  <c r="J93" i="11"/>
  <c r="P89" i="1"/>
  <c r="Q88" i="1"/>
  <c r="O116" i="11"/>
  <c r="O92" i="11"/>
  <c r="P65" i="11"/>
  <c r="N101" i="1"/>
  <c r="N135" i="1"/>
  <c r="N136" i="1" s="1"/>
  <c r="O92" i="1"/>
  <c r="O97" i="1" s="1"/>
  <c r="O99" i="1" s="1"/>
  <c r="P93" i="1"/>
  <c r="Q94" i="1"/>
  <c r="R95" i="1"/>
  <c r="S96" i="1"/>
  <c r="T71" i="1"/>
  <c r="W45" i="1"/>
  <c r="X44" i="1"/>
  <c r="V48" i="1"/>
  <c r="V53" i="1" s="1"/>
  <c r="V55" i="1" s="1"/>
  <c r="V160" i="1" s="1"/>
  <c r="Z52" i="1"/>
  <c r="X50" i="1"/>
  <c r="Y51" i="1"/>
  <c r="W49" i="1"/>
  <c r="K115" i="11"/>
  <c r="K109" i="11" s="1"/>
  <c r="J115" i="11"/>
  <c r="N132" i="19"/>
  <c r="J109" i="11"/>
  <c r="P101" i="18"/>
  <c r="Q100" i="18"/>
  <c r="I93" i="11"/>
  <c r="I112" i="11"/>
  <c r="I110" i="11" s="1"/>
  <c r="L62" i="11"/>
  <c r="L112" i="11"/>
  <c r="L110" i="11" s="1"/>
  <c r="M95" i="11"/>
  <c r="M113" i="11"/>
  <c r="P47" i="19"/>
  <c r="Q46" i="19"/>
  <c r="P122" i="19"/>
  <c r="Q121" i="19"/>
  <c r="I62" i="11"/>
  <c r="O79" i="11"/>
  <c r="M73" i="19"/>
  <c r="L42" i="19"/>
  <c r="L43" i="19"/>
  <c r="L39" i="19"/>
  <c r="L89" i="19"/>
  <c r="L86" i="19"/>
  <c r="N55" i="11" s="1"/>
  <c r="M25" i="22"/>
  <c r="N24" i="22"/>
  <c r="O81" i="11"/>
  <c r="K143" i="18"/>
  <c r="R137" i="18"/>
  <c r="Q136" i="18"/>
  <c r="S138" i="18"/>
  <c r="P135" i="18"/>
  <c r="O134" i="18"/>
  <c r="O128" i="18"/>
  <c r="Q61" i="18"/>
  <c r="P60" i="18"/>
  <c r="O59" i="18"/>
  <c r="O64" i="18" s="1"/>
  <c r="O66" i="18" s="1"/>
  <c r="S63" i="18"/>
  <c r="R62" i="18"/>
  <c r="M24" i="19"/>
  <c r="M25" i="19" s="1"/>
  <c r="M27" i="19" s="1"/>
  <c r="M28" i="19" s="1"/>
  <c r="M33" i="18"/>
  <c r="M35" i="18" s="1"/>
  <c r="M37" i="18" s="1"/>
  <c r="P66" i="19"/>
  <c r="N64" i="19"/>
  <c r="N69" i="19" s="1"/>
  <c r="N71" i="19" s="1"/>
  <c r="R68" i="19"/>
  <c r="Q67" i="19"/>
  <c r="O65" i="19"/>
  <c r="N59" i="19"/>
  <c r="K138" i="19"/>
  <c r="M54" i="11"/>
  <c r="K82" i="18"/>
  <c r="L98" i="18"/>
  <c r="L95" i="18"/>
  <c r="L51" i="18"/>
  <c r="L48" i="18"/>
  <c r="L84" i="18" s="1"/>
  <c r="L52" i="18"/>
  <c r="O68" i="18" s="1"/>
  <c r="L64" i="22"/>
  <c r="L65" i="22" s="1"/>
  <c r="N58" i="11"/>
  <c r="L117" i="18"/>
  <c r="M123" i="18" s="1"/>
  <c r="L88" i="18"/>
  <c r="M94" i="18" s="1"/>
  <c r="L41" i="18"/>
  <c r="M47" i="18" s="1"/>
  <c r="M56" i="11"/>
  <c r="O90" i="19"/>
  <c r="Q98" i="19"/>
  <c r="P97" i="19"/>
  <c r="O96" i="19"/>
  <c r="N95" i="19"/>
  <c r="N100" i="19" s="1"/>
  <c r="N102" i="19" s="1"/>
  <c r="R99" i="19"/>
  <c r="N90" i="19"/>
  <c r="L71" i="11"/>
  <c r="J113" i="18"/>
  <c r="M111" i="18"/>
  <c r="N57" i="19"/>
  <c r="P78" i="11" s="1"/>
  <c r="L102" i="19"/>
  <c r="O80" i="11"/>
  <c r="O77" i="11" s="1"/>
  <c r="L71" i="19"/>
  <c r="K71" i="19"/>
  <c r="M82" i="18"/>
  <c r="L118" i="19"/>
  <c r="L115" i="19"/>
  <c r="N56" i="11" s="1"/>
  <c r="L52" i="22"/>
  <c r="M58" i="22" s="1"/>
  <c r="M59" i="22" s="1"/>
  <c r="L29" i="22"/>
  <c r="M35" i="22" s="1"/>
  <c r="M36" i="22" s="1"/>
  <c r="L40" i="22"/>
  <c r="M46" i="22" s="1"/>
  <c r="M47" i="22" s="1"/>
  <c r="N81" i="11"/>
  <c r="R77" i="18"/>
  <c r="O74" i="18"/>
  <c r="N73" i="18"/>
  <c r="N78" i="18" s="1"/>
  <c r="N80" i="18" s="1"/>
  <c r="P75" i="18"/>
  <c r="Q76" i="18"/>
  <c r="M48" i="11"/>
  <c r="M112" i="11" s="1"/>
  <c r="N30" i="18"/>
  <c r="O29" i="18"/>
  <c r="P51" i="19"/>
  <c r="O50" i="19"/>
  <c r="O55" i="19" s="1"/>
  <c r="O57" i="19" s="1"/>
  <c r="Q78" i="11" s="1"/>
  <c r="R53" i="19"/>
  <c r="Q52" i="19"/>
  <c r="S54" i="19"/>
  <c r="P45" i="19"/>
  <c r="O45" i="19"/>
  <c r="P81" i="11"/>
  <c r="L127" i="18"/>
  <c r="L124" i="18"/>
  <c r="Q107" i="18"/>
  <c r="N104" i="18"/>
  <c r="N109" i="18" s="1"/>
  <c r="N111" i="18" s="1"/>
  <c r="O105" i="18"/>
  <c r="R108" i="18"/>
  <c r="P106" i="18"/>
  <c r="N99" i="18"/>
  <c r="K104" i="19"/>
  <c r="M80" i="11"/>
  <c r="L108" i="19"/>
  <c r="M114" i="19" s="1"/>
  <c r="L32" i="19"/>
  <c r="M38" i="19" s="1"/>
  <c r="L79" i="19"/>
  <c r="M85" i="19" s="1"/>
  <c r="S129" i="19"/>
  <c r="R128" i="19"/>
  <c r="Q127" i="19"/>
  <c r="P126" i="19"/>
  <c r="O125" i="19"/>
  <c r="O130" i="19" s="1"/>
  <c r="K113" i="18"/>
  <c r="I84" i="18"/>
  <c r="K93" i="11"/>
  <c r="S118" i="1"/>
  <c r="R119" i="1"/>
  <c r="O131" i="1"/>
  <c r="T125" i="1"/>
  <c r="S124" i="1"/>
  <c r="R123" i="1"/>
  <c r="Q122" i="1"/>
  <c r="Q127" i="1" s="1"/>
  <c r="U126" i="1"/>
  <c r="P129" i="1"/>
  <c r="P163" i="1" s="1"/>
  <c r="P186" i="1" s="1"/>
  <c r="P193" i="1" s="1"/>
  <c r="O162" i="1" l="1"/>
  <c r="O135" i="1"/>
  <c r="O136" i="1" s="1"/>
  <c r="U161" i="1"/>
  <c r="U184" i="1" s="1"/>
  <c r="U191" i="1" s="1"/>
  <c r="U71" i="1"/>
  <c r="N131" i="24"/>
  <c r="N163" i="24"/>
  <c r="N186" i="24" s="1"/>
  <c r="N193" i="24" s="1"/>
  <c r="K134" i="19"/>
  <c r="U26" i="1"/>
  <c r="U34" i="18"/>
  <c r="V25" i="1"/>
  <c r="L73" i="24"/>
  <c r="L135" i="24"/>
  <c r="L136" i="24" s="1"/>
  <c r="T37" i="1"/>
  <c r="T142" i="1"/>
  <c r="T41" i="1"/>
  <c r="T40" i="1"/>
  <c r="V180" i="1"/>
  <c r="S126" i="24"/>
  <c r="P123" i="24"/>
  <c r="Q124" i="24"/>
  <c r="R125" i="24"/>
  <c r="O122" i="24"/>
  <c r="O127" i="24" s="1"/>
  <c r="N162" i="24"/>
  <c r="N185" i="24" s="1"/>
  <c r="N192" i="24" s="1"/>
  <c r="N101" i="24"/>
  <c r="Q92" i="19"/>
  <c r="R91" i="19"/>
  <c r="X43" i="1"/>
  <c r="X153" i="1" s="1"/>
  <c r="W43" i="1"/>
  <c r="W153" i="1" s="1"/>
  <c r="P131" i="18"/>
  <c r="Q135" i="18" s="1"/>
  <c r="Q130" i="18"/>
  <c r="L81" i="11"/>
  <c r="J134" i="19"/>
  <c r="H209" i="24"/>
  <c r="H211" i="24" s="1"/>
  <c r="I197" i="24"/>
  <c r="H198" i="24"/>
  <c r="H220" i="24"/>
  <c r="Q55" i="18"/>
  <c r="P56" i="18"/>
  <c r="H75" i="19"/>
  <c r="H141" i="19" s="1"/>
  <c r="H139" i="19"/>
  <c r="H140" i="19" s="1"/>
  <c r="S145" i="1"/>
  <c r="S147" i="1"/>
  <c r="AM194" i="1"/>
  <c r="AN194" i="1"/>
  <c r="AN196" i="1" s="1"/>
  <c r="O139" i="18"/>
  <c r="O141" i="18" s="1"/>
  <c r="I89" i="11"/>
  <c r="I94" i="11"/>
  <c r="L183" i="24"/>
  <c r="L190" i="24" s="1"/>
  <c r="L164" i="24"/>
  <c r="L187" i="24" s="1"/>
  <c r="T143" i="1"/>
  <c r="T86" i="1"/>
  <c r="T83" i="1"/>
  <c r="M233" i="24"/>
  <c r="M231" i="24"/>
  <c r="P119" i="24"/>
  <c r="Q118" i="24"/>
  <c r="L77" i="11"/>
  <c r="L94" i="11" s="1"/>
  <c r="Q50" i="24"/>
  <c r="O48" i="24"/>
  <c r="O53" i="24" s="1"/>
  <c r="P49" i="24"/>
  <c r="S52" i="24"/>
  <c r="R51" i="24"/>
  <c r="S134" i="1"/>
  <c r="M73" i="24"/>
  <c r="M135" i="24"/>
  <c r="M136" i="24" s="1"/>
  <c r="T30" i="1"/>
  <c r="U36" i="1" s="1"/>
  <c r="T76" i="1"/>
  <c r="U82" i="1" s="1"/>
  <c r="T105" i="1"/>
  <c r="U111" i="1" s="1"/>
  <c r="O92" i="24"/>
  <c r="O97" i="24" s="1"/>
  <c r="P93" i="24"/>
  <c r="R95" i="24"/>
  <c r="S96" i="24"/>
  <c r="Q94" i="24"/>
  <c r="E236" i="24"/>
  <c r="E238" i="24"/>
  <c r="I232" i="24"/>
  <c r="J75" i="19"/>
  <c r="J141" i="19" s="1"/>
  <c r="J139" i="19"/>
  <c r="J140" i="19" s="1"/>
  <c r="I96" i="11"/>
  <c r="U190" i="1"/>
  <c r="G139" i="19"/>
  <c r="G140" i="19" s="1"/>
  <c r="G75" i="19"/>
  <c r="G141" i="19" s="1"/>
  <c r="Q88" i="24"/>
  <c r="P89" i="24"/>
  <c r="J77" i="11"/>
  <c r="T144" i="1"/>
  <c r="T115" i="1"/>
  <c r="T112" i="1"/>
  <c r="O226" i="24"/>
  <c r="N230" i="24"/>
  <c r="K78" i="11"/>
  <c r="K77" i="11" s="1"/>
  <c r="I73" i="19"/>
  <c r="P45" i="24"/>
  <c r="Q44" i="24"/>
  <c r="V62" i="1"/>
  <c r="V67" i="1" s="1"/>
  <c r="V69" i="1" s="1"/>
  <c r="Y65" i="1"/>
  <c r="X64" i="1"/>
  <c r="W63" i="1"/>
  <c r="Z66" i="1"/>
  <c r="N55" i="24"/>
  <c r="O55" i="24"/>
  <c r="M183" i="24"/>
  <c r="M190" i="24" s="1"/>
  <c r="M164" i="24"/>
  <c r="M187" i="24" s="1"/>
  <c r="K197" i="1"/>
  <c r="J220" i="1"/>
  <c r="J209" i="1"/>
  <c r="M194" i="1"/>
  <c r="O198" i="1" s="1"/>
  <c r="V183" i="1"/>
  <c r="V190" i="1" s="1"/>
  <c r="O185" i="1"/>
  <c r="O192" i="1" s="1"/>
  <c r="O164" i="1"/>
  <c r="N187" i="1"/>
  <c r="P116" i="11"/>
  <c r="P92" i="11"/>
  <c r="P92" i="1"/>
  <c r="P97" i="1" s="1"/>
  <c r="P99" i="1" s="1"/>
  <c r="T96" i="1"/>
  <c r="Q93" i="1"/>
  <c r="S95" i="1"/>
  <c r="R94" i="1"/>
  <c r="O101" i="1"/>
  <c r="Q65" i="11"/>
  <c r="R88" i="1"/>
  <c r="Q89" i="1"/>
  <c r="AA52" i="1"/>
  <c r="X49" i="1"/>
  <c r="Y50" i="1"/>
  <c r="Z51" i="1"/>
  <c r="W48" i="1"/>
  <c r="W53" i="1" s="1"/>
  <c r="W55" i="1" s="1"/>
  <c r="W160" i="1" s="1"/>
  <c r="X45" i="1"/>
  <c r="Y44" i="1"/>
  <c r="L113" i="18"/>
  <c r="M110" i="11"/>
  <c r="L134" i="19"/>
  <c r="Q101" i="18"/>
  <c r="R100" i="18"/>
  <c r="I109" i="11"/>
  <c r="L93" i="11"/>
  <c r="L96" i="11" s="1"/>
  <c r="L117" i="11"/>
  <c r="N95" i="11"/>
  <c r="N113" i="11"/>
  <c r="Q122" i="19"/>
  <c r="R121" i="19"/>
  <c r="R46" i="19"/>
  <c r="Q47" i="19"/>
  <c r="N71" i="11"/>
  <c r="N117" i="11" s="1"/>
  <c r="P79" i="11"/>
  <c r="N73" i="19"/>
  <c r="M86" i="19"/>
  <c r="M89" i="19"/>
  <c r="M118" i="19"/>
  <c r="Q119" i="19" s="1"/>
  <c r="M115" i="19"/>
  <c r="P29" i="18"/>
  <c r="O30" i="18"/>
  <c r="N33" i="18"/>
  <c r="N35" i="18" s="1"/>
  <c r="N37" i="18" s="1"/>
  <c r="N24" i="19"/>
  <c r="N25" i="19" s="1"/>
  <c r="N27" i="19" s="1"/>
  <c r="N28" i="19" s="1"/>
  <c r="T129" i="19"/>
  <c r="P125" i="19"/>
  <c r="P130" i="19" s="1"/>
  <c r="P132" i="19" s="1"/>
  <c r="Q126" i="19"/>
  <c r="R127" i="19"/>
  <c r="S128" i="19"/>
  <c r="P119" i="19"/>
  <c r="N79" i="11"/>
  <c r="L73" i="19"/>
  <c r="L104" i="19"/>
  <c r="N80" i="11"/>
  <c r="O71" i="11"/>
  <c r="O117" i="11" s="1"/>
  <c r="M98" i="18"/>
  <c r="M95" i="18"/>
  <c r="R76" i="18"/>
  <c r="Q75" i="18"/>
  <c r="P74" i="18"/>
  <c r="O73" i="18"/>
  <c r="S77" i="18"/>
  <c r="Q60" i="18"/>
  <c r="P59" i="18"/>
  <c r="P64" i="18" s="1"/>
  <c r="P66" i="18" s="1"/>
  <c r="T63" i="18"/>
  <c r="S62" i="18"/>
  <c r="R61" i="18"/>
  <c r="P54" i="18"/>
  <c r="Q106" i="18"/>
  <c r="R107" i="18"/>
  <c r="S108" i="18"/>
  <c r="O104" i="18"/>
  <c r="O109" i="18" s="1"/>
  <c r="O111" i="18" s="1"/>
  <c r="P105" i="18"/>
  <c r="O99" i="18"/>
  <c r="M79" i="19"/>
  <c r="N85" i="19" s="1"/>
  <c r="M108" i="19"/>
  <c r="N114" i="19" s="1"/>
  <c r="M32" i="19"/>
  <c r="N38" i="19" s="1"/>
  <c r="N25" i="22"/>
  <c r="O24" i="22"/>
  <c r="L138" i="19"/>
  <c r="N54" i="11"/>
  <c r="N53" i="11" s="1"/>
  <c r="S53" i="19"/>
  <c r="T54" i="19"/>
  <c r="P50" i="19"/>
  <c r="P55" i="19" s="1"/>
  <c r="Q51" i="19"/>
  <c r="R52" i="19"/>
  <c r="O78" i="18"/>
  <c r="O80" i="18" s="1"/>
  <c r="M71" i="11"/>
  <c r="M117" i="11" s="1"/>
  <c r="N82" i="18"/>
  <c r="M42" i="19"/>
  <c r="M43" i="19"/>
  <c r="M39" i="19"/>
  <c r="M75" i="19" s="1"/>
  <c r="R136" i="18"/>
  <c r="P128" i="18"/>
  <c r="M64" i="22"/>
  <c r="M65" i="22" s="1"/>
  <c r="O58" i="11"/>
  <c r="K73" i="19"/>
  <c r="M79" i="11"/>
  <c r="M77" i="11" s="1"/>
  <c r="P80" i="11"/>
  <c r="P77" i="11" s="1"/>
  <c r="M52" i="18"/>
  <c r="M51" i="18"/>
  <c r="M48" i="18"/>
  <c r="M84" i="18" s="1"/>
  <c r="M124" i="18"/>
  <c r="M127" i="18"/>
  <c r="Q128" i="18" s="1"/>
  <c r="N48" i="11"/>
  <c r="K84" i="18"/>
  <c r="M117" i="18"/>
  <c r="N123" i="18" s="1"/>
  <c r="M88" i="18"/>
  <c r="N94" i="18" s="1"/>
  <c r="M41" i="18"/>
  <c r="N47" i="18" s="1"/>
  <c r="M52" i="22"/>
  <c r="N58" i="22" s="1"/>
  <c r="N59" i="22" s="1"/>
  <c r="M40" i="22"/>
  <c r="N46" i="22" s="1"/>
  <c r="N47" i="22" s="1"/>
  <c r="M29" i="22"/>
  <c r="N35" i="22" s="1"/>
  <c r="N36" i="22" s="1"/>
  <c r="S99" i="19"/>
  <c r="O95" i="19"/>
  <c r="O100" i="19" s="1"/>
  <c r="P96" i="19"/>
  <c r="Q97" i="19"/>
  <c r="R98" i="19"/>
  <c r="P90" i="19"/>
  <c r="O64" i="19"/>
  <c r="O69" i="19" s="1"/>
  <c r="O71" i="19" s="1"/>
  <c r="P65" i="19"/>
  <c r="Q66" i="19"/>
  <c r="R67" i="19"/>
  <c r="S68" i="19"/>
  <c r="O59" i="19"/>
  <c r="M139" i="19"/>
  <c r="P57" i="19"/>
  <c r="R78" i="11" s="1"/>
  <c r="N31" i="18"/>
  <c r="L143" i="18"/>
  <c r="O132" i="19"/>
  <c r="M53" i="11"/>
  <c r="M62" i="11" s="1"/>
  <c r="Q54" i="18"/>
  <c r="T118" i="1"/>
  <c r="S119" i="1"/>
  <c r="T124" i="1"/>
  <c r="S123" i="1"/>
  <c r="R122" i="1"/>
  <c r="R127" i="1" s="1"/>
  <c r="V126" i="1"/>
  <c r="U125" i="1"/>
  <c r="Q129" i="1"/>
  <c r="Q163" i="1" s="1"/>
  <c r="Q186" i="1" s="1"/>
  <c r="Q193" i="1" s="1"/>
  <c r="P131" i="1"/>
  <c r="V161" i="1" l="1"/>
  <c r="V184" i="1" s="1"/>
  <c r="V191" i="1" s="1"/>
  <c r="V71" i="1"/>
  <c r="O160" i="24"/>
  <c r="O71" i="24"/>
  <c r="K94" i="11"/>
  <c r="K96" i="11" s="1"/>
  <c r="K89" i="11"/>
  <c r="U143" i="1"/>
  <c r="U86" i="1"/>
  <c r="U83" i="1"/>
  <c r="T126" i="24"/>
  <c r="S125" i="24"/>
  <c r="R124" i="24"/>
  <c r="P122" i="24"/>
  <c r="P127" i="24" s="1"/>
  <c r="Q123" i="24"/>
  <c r="S137" i="18"/>
  <c r="M194" i="24"/>
  <c r="O198" i="24" s="1"/>
  <c r="O262" i="24"/>
  <c r="N160" i="24"/>
  <c r="N71" i="24"/>
  <c r="R44" i="24"/>
  <c r="Q45" i="24"/>
  <c r="N233" i="24"/>
  <c r="N231" i="24"/>
  <c r="E247" i="24"/>
  <c r="S239" i="24"/>
  <c r="U37" i="1"/>
  <c r="U142" i="1"/>
  <c r="U41" i="1"/>
  <c r="U40" i="1"/>
  <c r="W176" i="1"/>
  <c r="S91" i="19"/>
  <c r="R92" i="19"/>
  <c r="O129" i="24"/>
  <c r="P129" i="24"/>
  <c r="T147" i="1"/>
  <c r="T145" i="1"/>
  <c r="X116" i="1"/>
  <c r="X156" i="1" s="1"/>
  <c r="X179" i="1" s="1"/>
  <c r="Y116" i="1"/>
  <c r="Y156" i="1" s="1"/>
  <c r="Y179" i="1" s="1"/>
  <c r="R55" i="18"/>
  <c r="Q56" i="18"/>
  <c r="X63" i="1"/>
  <c r="Y64" i="1"/>
  <c r="W62" i="1"/>
  <c r="W67" i="1" s="1"/>
  <c r="Z65" i="1"/>
  <c r="AA66" i="1"/>
  <c r="W57" i="1"/>
  <c r="W154" i="1" s="1"/>
  <c r="W177" i="1" s="1"/>
  <c r="P134" i="18"/>
  <c r="P139" i="18" s="1"/>
  <c r="P141" i="18" s="1"/>
  <c r="T138" i="18"/>
  <c r="S51" i="24"/>
  <c r="P48" i="24"/>
  <c r="P53" i="24" s="1"/>
  <c r="T52" i="24"/>
  <c r="Q49" i="24"/>
  <c r="R50" i="24"/>
  <c r="P226" i="24"/>
  <c r="O230" i="24"/>
  <c r="J94" i="11"/>
  <c r="J96" i="11" s="1"/>
  <c r="J89" i="11"/>
  <c r="O99" i="24"/>
  <c r="P99" i="24"/>
  <c r="X176" i="1"/>
  <c r="T134" i="1"/>
  <c r="W25" i="1"/>
  <c r="V26" i="1"/>
  <c r="V34" i="18"/>
  <c r="L89" i="11"/>
  <c r="Q89" i="24"/>
  <c r="R88" i="24"/>
  <c r="E241" i="24"/>
  <c r="E243" i="24" s="1"/>
  <c r="E244" i="24" s="1"/>
  <c r="E246" i="24" s="1"/>
  <c r="E248" i="24"/>
  <c r="F238" i="24"/>
  <c r="W87" i="1"/>
  <c r="W155" i="1" s="1"/>
  <c r="W178" i="1" s="1"/>
  <c r="U30" i="1"/>
  <c r="V36" i="1" s="1"/>
  <c r="U76" i="1"/>
  <c r="V82" i="1" s="1"/>
  <c r="U105" i="1"/>
  <c r="V111" i="1" s="1"/>
  <c r="I75" i="19"/>
  <c r="I141" i="19" s="1"/>
  <c r="I139" i="19"/>
  <c r="I140" i="19" s="1"/>
  <c r="T96" i="24"/>
  <c r="R94" i="24"/>
  <c r="Q93" i="24"/>
  <c r="S95" i="24"/>
  <c r="P92" i="24"/>
  <c r="P97" i="24" s="1"/>
  <c r="J232" i="24"/>
  <c r="G236" i="24"/>
  <c r="G247" i="24" s="1"/>
  <c r="G253" i="24" s="1"/>
  <c r="U144" i="1"/>
  <c r="U115" i="1"/>
  <c r="U112" i="1"/>
  <c r="Q119" i="24"/>
  <c r="R118" i="24"/>
  <c r="L194" i="24"/>
  <c r="N198" i="24" s="1"/>
  <c r="N262" i="24"/>
  <c r="T73" i="1"/>
  <c r="I220" i="24"/>
  <c r="J197" i="24"/>
  <c r="I209" i="24"/>
  <c r="Q131" i="18"/>
  <c r="R130" i="18"/>
  <c r="U73" i="1"/>
  <c r="L197" i="1"/>
  <c r="K220" i="1"/>
  <c r="K209" i="1"/>
  <c r="N194" i="1"/>
  <c r="P198" i="1" s="1"/>
  <c r="P162" i="1"/>
  <c r="P185" i="1" s="1"/>
  <c r="P192" i="1" s="1"/>
  <c r="P135" i="1"/>
  <c r="P136" i="1" s="1"/>
  <c r="W183" i="1"/>
  <c r="W190" i="1" s="1"/>
  <c r="P164" i="1"/>
  <c r="O187" i="1"/>
  <c r="Q116" i="11"/>
  <c r="Q92" i="11"/>
  <c r="R89" i="1"/>
  <c r="S88" i="1"/>
  <c r="U96" i="1"/>
  <c r="Q92" i="1"/>
  <c r="Q97" i="1" s="1"/>
  <c r="T95" i="1"/>
  <c r="R93" i="1"/>
  <c r="S94" i="1"/>
  <c r="R65" i="11"/>
  <c r="P101" i="1"/>
  <c r="AB52" i="1"/>
  <c r="Z50" i="1"/>
  <c r="AA51" i="1"/>
  <c r="X48" i="1"/>
  <c r="X53" i="1" s="1"/>
  <c r="Y49" i="1"/>
  <c r="Z44" i="1"/>
  <c r="Y45" i="1"/>
  <c r="M115" i="11"/>
  <c r="M109" i="11" s="1"/>
  <c r="L115" i="11"/>
  <c r="L109" i="11" s="1"/>
  <c r="O115" i="11"/>
  <c r="N115" i="11"/>
  <c r="M113" i="18"/>
  <c r="S100" i="18"/>
  <c r="R101" i="18"/>
  <c r="N62" i="11"/>
  <c r="N112" i="11"/>
  <c r="N110" i="11" s="1"/>
  <c r="O95" i="11"/>
  <c r="O113" i="11"/>
  <c r="N77" i="11"/>
  <c r="N94" i="11" s="1"/>
  <c r="R47" i="19"/>
  <c r="S46" i="19"/>
  <c r="R122" i="19"/>
  <c r="S121" i="19"/>
  <c r="P71" i="11"/>
  <c r="P117" i="11" s="1"/>
  <c r="Q79" i="11"/>
  <c r="O73" i="19"/>
  <c r="O82" i="18"/>
  <c r="N51" i="18"/>
  <c r="N48" i="18"/>
  <c r="N52" i="18"/>
  <c r="Q68" i="18" s="1"/>
  <c r="N124" i="18"/>
  <c r="N127" i="18"/>
  <c r="R128" i="18" s="1"/>
  <c r="M143" i="18"/>
  <c r="T62" i="18"/>
  <c r="Q59" i="18"/>
  <c r="Q64" i="18" s="1"/>
  <c r="Q66" i="18" s="1"/>
  <c r="U63" i="18"/>
  <c r="R60" i="18"/>
  <c r="S61" i="18"/>
  <c r="S67" i="19"/>
  <c r="R66" i="19"/>
  <c r="Q65" i="19"/>
  <c r="P64" i="19"/>
  <c r="P69" i="19" s="1"/>
  <c r="T68" i="19"/>
  <c r="P59" i="19"/>
  <c r="N84" i="18"/>
  <c r="M93" i="11"/>
  <c r="M89" i="11"/>
  <c r="N40" i="22"/>
  <c r="O46" i="22" s="1"/>
  <c r="O47" i="22" s="1"/>
  <c r="N29" i="22"/>
  <c r="O35" i="22" s="1"/>
  <c r="O36" i="22" s="1"/>
  <c r="N52" i="22"/>
  <c r="O58" i="22" s="1"/>
  <c r="O59" i="22" s="1"/>
  <c r="N115" i="19"/>
  <c r="N118" i="19"/>
  <c r="L139" i="19"/>
  <c r="L140" i="19" s="1"/>
  <c r="L75" i="19"/>
  <c r="L141" i="19" s="1"/>
  <c r="N79" i="19"/>
  <c r="O85" i="19" s="1"/>
  <c r="N108" i="19"/>
  <c r="O114" i="19" s="1"/>
  <c r="N32" i="19"/>
  <c r="O38" i="19" s="1"/>
  <c r="O31" i="18"/>
  <c r="O24" i="19"/>
  <c r="O25" i="19" s="1"/>
  <c r="O27" i="19" s="1"/>
  <c r="O28" i="19" s="1"/>
  <c r="O33" i="18"/>
  <c r="O35" i="18" s="1"/>
  <c r="O37" i="18" s="1"/>
  <c r="O56" i="11"/>
  <c r="M134" i="19"/>
  <c r="P95" i="19"/>
  <c r="P100" i="19" s="1"/>
  <c r="P102" i="19" s="1"/>
  <c r="T99" i="19"/>
  <c r="S98" i="19"/>
  <c r="R97" i="19"/>
  <c r="Q96" i="19"/>
  <c r="N139" i="19"/>
  <c r="Q71" i="11"/>
  <c r="Q117" i="11" s="1"/>
  <c r="M94" i="11"/>
  <c r="Q45" i="19"/>
  <c r="R54" i="18"/>
  <c r="N93" i="11"/>
  <c r="Q81" i="11"/>
  <c r="P58" i="11"/>
  <c r="N64" i="22"/>
  <c r="N65" i="22" s="1"/>
  <c r="N98" i="18"/>
  <c r="N95" i="18"/>
  <c r="U138" i="18"/>
  <c r="T137" i="18"/>
  <c r="S136" i="18"/>
  <c r="R135" i="18"/>
  <c r="Q134" i="18"/>
  <c r="Q139" i="18" s="1"/>
  <c r="O48" i="11"/>
  <c r="O112" i="11" s="1"/>
  <c r="R75" i="18"/>
  <c r="Q74" i="18"/>
  <c r="P73" i="18"/>
  <c r="P78" i="18" s="1"/>
  <c r="T77" i="18"/>
  <c r="S76" i="18"/>
  <c r="K139" i="19"/>
  <c r="K140" i="19" s="1"/>
  <c r="K75" i="19"/>
  <c r="K141" i="19" s="1"/>
  <c r="O54" i="11"/>
  <c r="M138" i="19"/>
  <c r="M140" i="19" s="1"/>
  <c r="U54" i="19"/>
  <c r="T53" i="19"/>
  <c r="R51" i="19"/>
  <c r="S52" i="19"/>
  <c r="Q50" i="19"/>
  <c r="Q55" i="19" s="1"/>
  <c r="Q57" i="19" s="1"/>
  <c r="S78" i="11" s="1"/>
  <c r="O93" i="11"/>
  <c r="O89" i="11"/>
  <c r="R81" i="11"/>
  <c r="P24" i="22"/>
  <c r="O25" i="22"/>
  <c r="N43" i="19"/>
  <c r="N39" i="19"/>
  <c r="N42" i="19"/>
  <c r="N89" i="19"/>
  <c r="N86" i="19"/>
  <c r="T108" i="18"/>
  <c r="S107" i="18"/>
  <c r="R106" i="18"/>
  <c r="Q105" i="18"/>
  <c r="P104" i="18"/>
  <c r="P109" i="18" s="1"/>
  <c r="P111" i="18" s="1"/>
  <c r="P99" i="18"/>
  <c r="N41" i="18"/>
  <c r="O47" i="18" s="1"/>
  <c r="N117" i="18"/>
  <c r="O123" i="18" s="1"/>
  <c r="N88" i="18"/>
  <c r="O94" i="18" s="1"/>
  <c r="P30" i="18"/>
  <c r="Q29" i="18"/>
  <c r="R126" i="19"/>
  <c r="Q125" i="19"/>
  <c r="Q130" i="19" s="1"/>
  <c r="U129" i="19"/>
  <c r="T128" i="19"/>
  <c r="S127" i="19"/>
  <c r="O55" i="11"/>
  <c r="M104" i="19"/>
  <c r="P71" i="19"/>
  <c r="O102" i="19"/>
  <c r="P68" i="18"/>
  <c r="Q131" i="1"/>
  <c r="U118" i="1"/>
  <c r="T119" i="1"/>
  <c r="U124" i="1"/>
  <c r="T123" i="1"/>
  <c r="S122" i="1"/>
  <c r="S127" i="1" s="1"/>
  <c r="S129" i="1" s="1"/>
  <c r="S163" i="1" s="1"/>
  <c r="S186" i="1" s="1"/>
  <c r="S193" i="1" s="1"/>
  <c r="W126" i="1"/>
  <c r="V125" i="1"/>
  <c r="R129" i="1"/>
  <c r="R163" i="1" s="1"/>
  <c r="R186" i="1" s="1"/>
  <c r="R193" i="1" s="1"/>
  <c r="O231" i="24" l="1"/>
  <c r="O233" i="24"/>
  <c r="Z64" i="1"/>
  <c r="AB66" i="1"/>
  <c r="AA65" i="1"/>
  <c r="Y63" i="1"/>
  <c r="X62" i="1"/>
  <c r="X67" i="1" s="1"/>
  <c r="O73" i="24"/>
  <c r="O135" i="24"/>
  <c r="O136" i="24" s="1"/>
  <c r="N89" i="11"/>
  <c r="J220" i="24"/>
  <c r="J209" i="24"/>
  <c r="K197" i="24"/>
  <c r="V144" i="1"/>
  <c r="V112" i="1"/>
  <c r="V115" i="1"/>
  <c r="Z116" i="1" s="1"/>
  <c r="Z156" i="1" s="1"/>
  <c r="Z179" i="1" s="1"/>
  <c r="O101" i="24"/>
  <c r="O162" i="24"/>
  <c r="O185" i="24" s="1"/>
  <c r="O192" i="24" s="1"/>
  <c r="Q226" i="24"/>
  <c r="P230" i="24"/>
  <c r="P55" i="24"/>
  <c r="P163" i="24"/>
  <c r="P186" i="24" s="1"/>
  <c r="P193" i="24" s="1"/>
  <c r="P131" i="24"/>
  <c r="W157" i="1"/>
  <c r="W158" i="1" s="1"/>
  <c r="U145" i="1"/>
  <c r="U147" i="1"/>
  <c r="N135" i="24"/>
  <c r="N136" i="24" s="1"/>
  <c r="N73" i="24"/>
  <c r="O183" i="24"/>
  <c r="O190" i="24" s="1"/>
  <c r="E253" i="24"/>
  <c r="E258" i="24"/>
  <c r="E251" i="24"/>
  <c r="P101" i="24"/>
  <c r="P162" i="24"/>
  <c r="P185" i="24" s="1"/>
  <c r="P192" i="24" s="1"/>
  <c r="T91" i="19"/>
  <c r="S92" i="19"/>
  <c r="E256" i="24"/>
  <c r="F247" i="24"/>
  <c r="S44" i="24"/>
  <c r="R45" i="24"/>
  <c r="X87" i="1"/>
  <c r="X155" i="1" s="1"/>
  <c r="X178" i="1" s="1"/>
  <c r="S130" i="18"/>
  <c r="R131" i="18"/>
  <c r="S118" i="24"/>
  <c r="R119" i="24"/>
  <c r="V86" i="1"/>
  <c r="Y87" i="1" s="1"/>
  <c r="Y155" i="1" s="1"/>
  <c r="Y178" i="1" s="1"/>
  <c r="V143" i="1"/>
  <c r="V83" i="1"/>
  <c r="S88" i="24"/>
  <c r="R89" i="24"/>
  <c r="V76" i="1"/>
  <c r="W82" i="1" s="1"/>
  <c r="V30" i="1"/>
  <c r="W36" i="1" s="1"/>
  <c r="V105" i="1"/>
  <c r="O131" i="24"/>
  <c r="O163" i="24"/>
  <c r="O186" i="24" s="1"/>
  <c r="O193" i="24" s="1"/>
  <c r="W180" i="1"/>
  <c r="W43" i="11"/>
  <c r="W111" i="11" s="1"/>
  <c r="U134" i="1"/>
  <c r="N164" i="24"/>
  <c r="N187" i="24" s="1"/>
  <c r="N183" i="24"/>
  <c r="N190" i="24" s="1"/>
  <c r="K232" i="24"/>
  <c r="L232" i="24" s="1"/>
  <c r="M232" i="24" s="1"/>
  <c r="N232" i="24" s="1"/>
  <c r="O232" i="24" s="1"/>
  <c r="P232" i="24" s="1"/>
  <c r="Q232" i="24" s="1"/>
  <c r="R232" i="24" s="1"/>
  <c r="S232" i="24" s="1"/>
  <c r="T232" i="24" s="1"/>
  <c r="U232" i="24" s="1"/>
  <c r="V232" i="24" s="1"/>
  <c r="H236" i="24"/>
  <c r="H247" i="24" s="1"/>
  <c r="H253" i="24" s="1"/>
  <c r="Q122" i="24"/>
  <c r="Q127" i="24" s="1"/>
  <c r="U126" i="24"/>
  <c r="S124" i="24"/>
  <c r="T125" i="24"/>
  <c r="R123" i="24"/>
  <c r="V37" i="1"/>
  <c r="V41" i="1"/>
  <c r="Y57" i="1" s="1"/>
  <c r="Y154" i="1" s="1"/>
  <c r="Y177" i="1" s="1"/>
  <c r="V40" i="1"/>
  <c r="V142" i="1"/>
  <c r="R238" i="24"/>
  <c r="F248" i="24"/>
  <c r="F253" i="24" s="1"/>
  <c r="Q92" i="24"/>
  <c r="Q97" i="24" s="1"/>
  <c r="U96" i="24"/>
  <c r="T95" i="24"/>
  <c r="S94" i="24"/>
  <c r="R93" i="24"/>
  <c r="W26" i="1"/>
  <c r="X25" i="1"/>
  <c r="W34" i="18"/>
  <c r="X57" i="1"/>
  <c r="X154" i="1" s="1"/>
  <c r="W69" i="1"/>
  <c r="X69" i="1"/>
  <c r="X161" i="1" s="1"/>
  <c r="X184" i="1" s="1"/>
  <c r="S55" i="18"/>
  <c r="R56" i="18"/>
  <c r="Y43" i="1"/>
  <c r="Y153" i="1" s="1"/>
  <c r="S50" i="24"/>
  <c r="Q48" i="24"/>
  <c r="Q53" i="24" s="1"/>
  <c r="R49" i="24"/>
  <c r="U52" i="24"/>
  <c r="T51" i="24"/>
  <c r="M197" i="1"/>
  <c r="L220" i="1"/>
  <c r="L209" i="1"/>
  <c r="O194" i="1"/>
  <c r="Q198" i="1" s="1"/>
  <c r="P187" i="1"/>
  <c r="R116" i="11"/>
  <c r="R92" i="11"/>
  <c r="V96" i="1"/>
  <c r="U95" i="1"/>
  <c r="T94" i="1"/>
  <c r="R92" i="1"/>
  <c r="R97" i="1" s="1"/>
  <c r="R99" i="1" s="1"/>
  <c r="R162" i="1" s="1"/>
  <c r="S93" i="1"/>
  <c r="Q99" i="1"/>
  <c r="Q162" i="1" s="1"/>
  <c r="S89" i="1"/>
  <c r="T88" i="1"/>
  <c r="AA50" i="1"/>
  <c r="Z49" i="1"/>
  <c r="AB51" i="1"/>
  <c r="Y48" i="1"/>
  <c r="Y53" i="1" s="1"/>
  <c r="Z45" i="1"/>
  <c r="AA44" i="1"/>
  <c r="X55" i="1"/>
  <c r="X160" i="1" s="1"/>
  <c r="Y55" i="1"/>
  <c r="Y160" i="1" s="1"/>
  <c r="P115" i="11"/>
  <c r="Q115" i="11"/>
  <c r="P89" i="11"/>
  <c r="O110" i="11"/>
  <c r="O109" i="11" s="1"/>
  <c r="N109" i="11"/>
  <c r="T100" i="18"/>
  <c r="S101" i="18"/>
  <c r="P95" i="11"/>
  <c r="P113" i="11"/>
  <c r="S122" i="19"/>
  <c r="T121" i="19"/>
  <c r="T46" i="19"/>
  <c r="S47" i="19"/>
  <c r="N96" i="11"/>
  <c r="M141" i="19"/>
  <c r="M96" i="11"/>
  <c r="R80" i="11"/>
  <c r="O95" i="18"/>
  <c r="O98" i="18"/>
  <c r="U53" i="19"/>
  <c r="V54" i="19"/>
  <c r="R50" i="19"/>
  <c r="R55" i="19" s="1"/>
  <c r="S51" i="19"/>
  <c r="T52" i="19"/>
  <c r="Q24" i="22"/>
  <c r="P25" i="22"/>
  <c r="P31" i="18"/>
  <c r="P24" i="19"/>
  <c r="P25" i="19" s="1"/>
  <c r="P27" i="19" s="1"/>
  <c r="P28" i="19" s="1"/>
  <c r="P33" i="18"/>
  <c r="P35" i="18" s="1"/>
  <c r="P37" i="18" s="1"/>
  <c r="O127" i="18"/>
  <c r="O124" i="18"/>
  <c r="T98" i="19"/>
  <c r="S97" i="19"/>
  <c r="R96" i="19"/>
  <c r="Q95" i="19"/>
  <c r="U99" i="19"/>
  <c r="Q90" i="19"/>
  <c r="P54" i="11"/>
  <c r="N138" i="19"/>
  <c r="O52" i="22"/>
  <c r="P58" i="22" s="1"/>
  <c r="P59" i="22" s="1"/>
  <c r="O40" i="22"/>
  <c r="P46" i="22" s="1"/>
  <c r="P47" i="22" s="1"/>
  <c r="O29" i="22"/>
  <c r="P35" i="22" s="1"/>
  <c r="P36" i="22" s="1"/>
  <c r="T107" i="18"/>
  <c r="R105" i="18"/>
  <c r="S106" i="18"/>
  <c r="Q104" i="18"/>
  <c r="Q109" i="18" s="1"/>
  <c r="Q111" i="18" s="1"/>
  <c r="U108" i="18"/>
  <c r="Q99" i="18"/>
  <c r="O108" i="19"/>
  <c r="P114" i="19" s="1"/>
  <c r="O32" i="19"/>
  <c r="P38" i="19" s="1"/>
  <c r="O79" i="19"/>
  <c r="P85" i="19" s="1"/>
  <c r="O42" i="19"/>
  <c r="S45" i="19" s="1"/>
  <c r="O43" i="19"/>
  <c r="O39" i="19"/>
  <c r="O75" i="19" s="1"/>
  <c r="O89" i="19"/>
  <c r="O86" i="19"/>
  <c r="Q55" i="11" s="1"/>
  <c r="P56" i="11"/>
  <c r="N134" i="19"/>
  <c r="O64" i="22"/>
  <c r="O65" i="22" s="1"/>
  <c r="Q58" i="11"/>
  <c r="N143" i="18"/>
  <c r="O53" i="11"/>
  <c r="O94" i="11" s="1"/>
  <c r="Q132" i="19"/>
  <c r="R45" i="19"/>
  <c r="N75" i="19"/>
  <c r="Q100" i="19"/>
  <c r="Q102" i="19" s="1"/>
  <c r="Q80" i="11"/>
  <c r="Q77" i="11" s="1"/>
  <c r="Q89" i="11" s="1"/>
  <c r="R79" i="11"/>
  <c r="P73" i="19"/>
  <c r="R29" i="18"/>
  <c r="Q30" i="18"/>
  <c r="O51" i="18"/>
  <c r="O52" i="18"/>
  <c r="O48" i="18"/>
  <c r="P55" i="11"/>
  <c r="N104" i="19"/>
  <c r="T67" i="19"/>
  <c r="S66" i="19"/>
  <c r="R65" i="19"/>
  <c r="Q64" i="19"/>
  <c r="Q69" i="19" s="1"/>
  <c r="Q71" i="19" s="1"/>
  <c r="U68" i="19"/>
  <c r="N113" i="18"/>
  <c r="O41" i="18"/>
  <c r="P47" i="18" s="1"/>
  <c r="O117" i="18"/>
  <c r="P123" i="18" s="1"/>
  <c r="O88" i="18"/>
  <c r="P94" i="18" s="1"/>
  <c r="O115" i="19"/>
  <c r="O118" i="19"/>
  <c r="V129" i="19"/>
  <c r="R125" i="19"/>
  <c r="R130" i="19" s="1"/>
  <c r="R132" i="19" s="1"/>
  <c r="T127" i="19"/>
  <c r="S126" i="19"/>
  <c r="U128" i="19"/>
  <c r="U137" i="18"/>
  <c r="T136" i="18"/>
  <c r="S135" i="18"/>
  <c r="R134" i="18"/>
  <c r="R139" i="18" s="1"/>
  <c r="V138" i="18"/>
  <c r="S128" i="18"/>
  <c r="Q73" i="18"/>
  <c r="Q78" i="18" s="1"/>
  <c r="Q80" i="18" s="1"/>
  <c r="U77" i="18"/>
  <c r="T76" i="18"/>
  <c r="S75" i="18"/>
  <c r="R74" i="18"/>
  <c r="S60" i="18"/>
  <c r="R59" i="18"/>
  <c r="R64" i="18" s="1"/>
  <c r="R66" i="18" s="1"/>
  <c r="V63" i="18"/>
  <c r="U62" i="18"/>
  <c r="T61" i="18"/>
  <c r="S54" i="18"/>
  <c r="O139" i="19"/>
  <c r="O96" i="11"/>
  <c r="R141" i="18"/>
  <c r="P80" i="18"/>
  <c r="Q141" i="18"/>
  <c r="N140" i="19"/>
  <c r="Q59" i="19"/>
  <c r="R119" i="19"/>
  <c r="S131" i="1"/>
  <c r="V118" i="1"/>
  <c r="U119" i="1"/>
  <c r="R131" i="1"/>
  <c r="U123" i="1"/>
  <c r="T122" i="1"/>
  <c r="T127" i="1" s="1"/>
  <c r="T129" i="1" s="1"/>
  <c r="T163" i="1" s="1"/>
  <c r="T186" i="1" s="1"/>
  <c r="T193" i="1" s="1"/>
  <c r="X126" i="1"/>
  <c r="W125" i="1"/>
  <c r="V124" i="1"/>
  <c r="Y157" i="1" l="1"/>
  <c r="Y158" i="1" s="1"/>
  <c r="Y176" i="1"/>
  <c r="Y180" i="1" s="1"/>
  <c r="L197" i="24"/>
  <c r="K220" i="24"/>
  <c r="K209" i="24"/>
  <c r="Q129" i="24"/>
  <c r="R55" i="24"/>
  <c r="X177" i="1"/>
  <c r="X180" i="1" s="1"/>
  <c r="X157" i="1"/>
  <c r="X158" i="1" s="1"/>
  <c r="Q99" i="24"/>
  <c r="R99" i="24"/>
  <c r="Z43" i="1"/>
  <c r="Z153" i="1" s="1"/>
  <c r="N194" i="24"/>
  <c r="P198" i="24" s="1"/>
  <c r="P262" i="24"/>
  <c r="W143" i="1"/>
  <c r="W83" i="1"/>
  <c r="W86" i="1"/>
  <c r="S119" i="24"/>
  <c r="T118" i="24"/>
  <c r="P233" i="24"/>
  <c r="P231" i="24"/>
  <c r="W161" i="1"/>
  <c r="W184" i="1" s="1"/>
  <c r="W191" i="1" s="1"/>
  <c r="W71" i="1"/>
  <c r="W76" i="1"/>
  <c r="X82" i="1" s="1"/>
  <c r="W30" i="1"/>
  <c r="X36" i="1" s="1"/>
  <c r="W105" i="1"/>
  <c r="X111" i="1" s="1"/>
  <c r="V145" i="1"/>
  <c r="V147" i="1"/>
  <c r="W40" i="1"/>
  <c r="W142" i="1"/>
  <c r="W41" i="1"/>
  <c r="W37" i="1"/>
  <c r="U125" i="24"/>
  <c r="T124" i="24"/>
  <c r="R122" i="24"/>
  <c r="R127" i="24" s="1"/>
  <c r="R129" i="24" s="1"/>
  <c r="S123" i="24"/>
  <c r="V126" i="24"/>
  <c r="P160" i="24"/>
  <c r="P71" i="24"/>
  <c r="T55" i="18"/>
  <c r="S56" i="18"/>
  <c r="AB65" i="1"/>
  <c r="Z63" i="1"/>
  <c r="Y62" i="1"/>
  <c r="Y67" i="1" s="1"/>
  <c r="AA64" i="1"/>
  <c r="Z57" i="1"/>
  <c r="Z154" i="1" s="1"/>
  <c r="Z177" i="1" s="1"/>
  <c r="W232" i="24"/>
  <c r="X232" i="24" s="1"/>
  <c r="Y232" i="24" s="1"/>
  <c r="Z232" i="24" s="1"/>
  <c r="AA232" i="24" s="1"/>
  <c r="AC232" i="24" s="1"/>
  <c r="AD232" i="24" s="1"/>
  <c r="I236" i="24"/>
  <c r="S93" i="24"/>
  <c r="U95" i="24"/>
  <c r="R92" i="24"/>
  <c r="R97" i="24" s="1"/>
  <c r="T94" i="24"/>
  <c r="V96" i="24"/>
  <c r="V52" i="24"/>
  <c r="S49" i="24"/>
  <c r="U51" i="24"/>
  <c r="R48" i="24"/>
  <c r="R53" i="24" s="1"/>
  <c r="T50" i="24"/>
  <c r="R226" i="24"/>
  <c r="Q230" i="24"/>
  <c r="Y69" i="1"/>
  <c r="Y161" i="1" s="1"/>
  <c r="Y184" i="1" s="1"/>
  <c r="Y191" i="1" s="1"/>
  <c r="AA43" i="1"/>
  <c r="AA153" i="1" s="1"/>
  <c r="X191" i="1"/>
  <c r="X34" i="18"/>
  <c r="Y25" i="1"/>
  <c r="X26" i="1"/>
  <c r="V134" i="1"/>
  <c r="V73" i="1"/>
  <c r="W111" i="1"/>
  <c r="S89" i="24"/>
  <c r="T88" i="24"/>
  <c r="T130" i="18"/>
  <c r="S131" i="18"/>
  <c r="W138" i="18" s="1"/>
  <c r="T44" i="24"/>
  <c r="S45" i="24"/>
  <c r="T92" i="19"/>
  <c r="U91" i="19"/>
  <c r="O164" i="24"/>
  <c r="O187" i="24" s="1"/>
  <c r="Q55" i="24"/>
  <c r="N197" i="1"/>
  <c r="M220" i="1"/>
  <c r="M209" i="1"/>
  <c r="P194" i="1"/>
  <c r="R198" i="1" s="1"/>
  <c r="X183" i="1"/>
  <c r="X190" i="1" s="1"/>
  <c r="Y183" i="1"/>
  <c r="Y190" i="1" s="1"/>
  <c r="Q185" i="1"/>
  <c r="Q192" i="1" s="1"/>
  <c r="Q164" i="1"/>
  <c r="R185" i="1"/>
  <c r="R192" i="1" s="1"/>
  <c r="R164" i="1"/>
  <c r="R101" i="1"/>
  <c r="R135" i="1"/>
  <c r="R136" i="1" s="1"/>
  <c r="W96" i="1"/>
  <c r="V95" i="1"/>
  <c r="S92" i="1"/>
  <c r="S97" i="1" s="1"/>
  <c r="S99" i="1" s="1"/>
  <c r="S162" i="1" s="1"/>
  <c r="T93" i="1"/>
  <c r="U94" i="1"/>
  <c r="T65" i="11"/>
  <c r="T116" i="11" s="1"/>
  <c r="U88" i="1"/>
  <c r="T89" i="1"/>
  <c r="S65" i="11"/>
  <c r="Q101" i="1"/>
  <c r="Q135" i="1"/>
  <c r="Q136" i="1" s="1"/>
  <c r="X71" i="1"/>
  <c r="AA49" i="1"/>
  <c r="Z48" i="1"/>
  <c r="Z53" i="1" s="1"/>
  <c r="AB50" i="1"/>
  <c r="Y71" i="1"/>
  <c r="AA45" i="1"/>
  <c r="AB44" i="1"/>
  <c r="Z55" i="1"/>
  <c r="Z160" i="1" s="1"/>
  <c r="T101" i="18"/>
  <c r="U100" i="18"/>
  <c r="Q95" i="11"/>
  <c r="Q113" i="11"/>
  <c r="R77" i="11"/>
  <c r="T47" i="19"/>
  <c r="U46" i="19"/>
  <c r="O104" i="19"/>
  <c r="U121" i="19"/>
  <c r="T122" i="19"/>
  <c r="O62" i="11"/>
  <c r="T81" i="11"/>
  <c r="S79" i="11"/>
  <c r="Q73" i="19"/>
  <c r="S80" i="11"/>
  <c r="U127" i="19"/>
  <c r="V128" i="19"/>
  <c r="S125" i="19"/>
  <c r="S130" i="19" s="1"/>
  <c r="W129" i="19"/>
  <c r="T126" i="19"/>
  <c r="P95" i="18"/>
  <c r="P98" i="18"/>
  <c r="P52" i="18"/>
  <c r="P48" i="18"/>
  <c r="P51" i="18"/>
  <c r="V62" i="18"/>
  <c r="U61" i="18"/>
  <c r="T60" i="18"/>
  <c r="S59" i="18"/>
  <c r="S64" i="18" s="1"/>
  <c r="S66" i="18" s="1"/>
  <c r="W63" i="18"/>
  <c r="T54" i="18"/>
  <c r="Q33" i="18"/>
  <c r="Q35" i="18" s="1"/>
  <c r="Q37" i="18" s="1"/>
  <c r="Q24" i="19"/>
  <c r="Q25" i="19" s="1"/>
  <c r="Q27" i="19" s="1"/>
  <c r="Q28" i="19" s="1"/>
  <c r="P139" i="19"/>
  <c r="S81" i="11"/>
  <c r="S96" i="19"/>
  <c r="R95" i="19"/>
  <c r="R100" i="19" s="1"/>
  <c r="V99" i="19"/>
  <c r="U98" i="19"/>
  <c r="T97" i="19"/>
  <c r="R90" i="19"/>
  <c r="T66" i="19"/>
  <c r="R64" i="19"/>
  <c r="R69" i="19" s="1"/>
  <c r="R71" i="19" s="1"/>
  <c r="V68" i="19"/>
  <c r="U67" i="19"/>
  <c r="S65" i="19"/>
  <c r="P86" i="19"/>
  <c r="P89" i="19"/>
  <c r="P115" i="19"/>
  <c r="P118" i="19"/>
  <c r="R58" i="11"/>
  <c r="P64" i="22"/>
  <c r="P65" i="22" s="1"/>
  <c r="O143" i="18"/>
  <c r="P117" i="18"/>
  <c r="Q123" i="18" s="1"/>
  <c r="P88" i="18"/>
  <c r="Q94" i="18" s="1"/>
  <c r="P41" i="18"/>
  <c r="Q47" i="18" s="1"/>
  <c r="Q25" i="22"/>
  <c r="R24" i="22"/>
  <c r="O113" i="18"/>
  <c r="N141" i="19"/>
  <c r="P53" i="11"/>
  <c r="R59" i="19"/>
  <c r="P82" i="18"/>
  <c r="R71" i="11"/>
  <c r="R117" i="11" s="1"/>
  <c r="Q82" i="18"/>
  <c r="Q56" i="11"/>
  <c r="O134" i="19"/>
  <c r="P124" i="18"/>
  <c r="P127" i="18"/>
  <c r="V77" i="18"/>
  <c r="R73" i="18"/>
  <c r="R78" i="18" s="1"/>
  <c r="U76" i="18"/>
  <c r="T75" i="18"/>
  <c r="S74" i="18"/>
  <c r="R68" i="18"/>
  <c r="S29" i="18"/>
  <c r="R30" i="18"/>
  <c r="O138" i="19"/>
  <c r="O140" i="19" s="1"/>
  <c r="Q54" i="11"/>
  <c r="U52" i="19"/>
  <c r="W54" i="19"/>
  <c r="S50" i="19"/>
  <c r="S55" i="19" s="1"/>
  <c r="V53" i="19"/>
  <c r="T51" i="19"/>
  <c r="P43" i="19"/>
  <c r="P39" i="19"/>
  <c r="P42" i="19"/>
  <c r="U136" i="18"/>
  <c r="V137" i="18"/>
  <c r="P79" i="19"/>
  <c r="Q85" i="19" s="1"/>
  <c r="P108" i="19"/>
  <c r="Q114" i="19" s="1"/>
  <c r="P32" i="19"/>
  <c r="Q38" i="19" s="1"/>
  <c r="P52" i="22"/>
  <c r="Q58" i="22" s="1"/>
  <c r="Q59" i="22" s="1"/>
  <c r="P29" i="22"/>
  <c r="Q35" i="22" s="1"/>
  <c r="Q36" i="22" s="1"/>
  <c r="P40" i="22"/>
  <c r="Q46" i="22" s="1"/>
  <c r="Q47" i="22" s="1"/>
  <c r="R57" i="19"/>
  <c r="T78" i="11" s="1"/>
  <c r="S57" i="19"/>
  <c r="U78" i="11" s="1"/>
  <c r="U107" i="18"/>
  <c r="T106" i="18"/>
  <c r="S105" i="18"/>
  <c r="R104" i="18"/>
  <c r="R109" i="18" s="1"/>
  <c r="R111" i="18" s="1"/>
  <c r="V108" i="18"/>
  <c r="R99" i="18"/>
  <c r="R80" i="18"/>
  <c r="T119" i="19"/>
  <c r="Q31" i="18"/>
  <c r="R102" i="19"/>
  <c r="O84" i="18"/>
  <c r="P48" i="11"/>
  <c r="S119" i="19"/>
  <c r="T92" i="11"/>
  <c r="V123" i="1"/>
  <c r="U122" i="1"/>
  <c r="U127" i="1" s="1"/>
  <c r="U129" i="1" s="1"/>
  <c r="U163" i="1" s="1"/>
  <c r="U186" i="1" s="1"/>
  <c r="U193" i="1" s="1"/>
  <c r="W124" i="1"/>
  <c r="X125" i="1"/>
  <c r="Y126" i="1"/>
  <c r="W118" i="1"/>
  <c r="V119" i="1"/>
  <c r="T131" i="1"/>
  <c r="R163" i="24" l="1"/>
  <c r="R186" i="24" s="1"/>
  <c r="R193" i="24" s="1"/>
  <c r="R131" i="24"/>
  <c r="X144" i="1"/>
  <c r="X112" i="1"/>
  <c r="X115" i="1"/>
  <c r="V91" i="19"/>
  <c r="U92" i="19"/>
  <c r="X30" i="1"/>
  <c r="Y36" i="1" s="1"/>
  <c r="X105" i="1"/>
  <c r="X76" i="1"/>
  <c r="Y82" i="1" s="1"/>
  <c r="W147" i="1"/>
  <c r="W126" i="24"/>
  <c r="T123" i="24"/>
  <c r="V125" i="24"/>
  <c r="S122" i="24"/>
  <c r="S127" i="24" s="1"/>
  <c r="U124" i="24"/>
  <c r="R101" i="24"/>
  <c r="R162" i="24"/>
  <c r="R185" i="24" s="1"/>
  <c r="R192" i="24" s="1"/>
  <c r="T135" i="18"/>
  <c r="U130" i="18"/>
  <c r="T131" i="18"/>
  <c r="Z25" i="1"/>
  <c r="Y26" i="1"/>
  <c r="Y34" i="18"/>
  <c r="X142" i="1"/>
  <c r="X40" i="1"/>
  <c r="AB43" i="1" s="1"/>
  <c r="AB153" i="1" s="1"/>
  <c r="X37" i="1"/>
  <c r="X73" i="1" s="1"/>
  <c r="X41" i="1"/>
  <c r="Z87" i="1"/>
  <c r="Z155" i="1" s="1"/>
  <c r="Z178" i="1" s="1"/>
  <c r="Q162" i="24"/>
  <c r="Q185" i="24" s="1"/>
  <c r="Q192" i="24" s="1"/>
  <c r="Q101" i="24"/>
  <c r="Q163" i="24"/>
  <c r="Q186" i="24" s="1"/>
  <c r="Q193" i="24" s="1"/>
  <c r="Q131" i="24"/>
  <c r="AA176" i="1"/>
  <c r="L209" i="24"/>
  <c r="M197" i="24"/>
  <c r="L220" i="24"/>
  <c r="S134" i="18"/>
  <c r="S139" i="18" s="1"/>
  <c r="Q160" i="24"/>
  <c r="Q71" i="24"/>
  <c r="V51" i="24"/>
  <c r="U50" i="24"/>
  <c r="S48" i="24"/>
  <c r="S53" i="24" s="1"/>
  <c r="T49" i="24"/>
  <c r="W52" i="24"/>
  <c r="U88" i="24"/>
  <c r="T89" i="24"/>
  <c r="Q231" i="24"/>
  <c r="Q233" i="24"/>
  <c r="I247" i="24"/>
  <c r="J236" i="24"/>
  <c r="J239" i="24"/>
  <c r="N239" i="24"/>
  <c r="U55" i="18"/>
  <c r="T56" i="18"/>
  <c r="T59" i="18" s="1"/>
  <c r="T64" i="18" s="1"/>
  <c r="T66" i="18" s="1"/>
  <c r="X86" i="1"/>
  <c r="AA87" i="1" s="1"/>
  <c r="AA155" i="1" s="1"/>
  <c r="AA178" i="1" s="1"/>
  <c r="X143" i="1"/>
  <c r="X83" i="1"/>
  <c r="Z157" i="1"/>
  <c r="Z158" i="1" s="1"/>
  <c r="Z176" i="1"/>
  <c r="Z180" i="1" s="1"/>
  <c r="W144" i="1"/>
  <c r="W145" i="1" s="1"/>
  <c r="W112" i="1"/>
  <c r="W134" i="1" s="1"/>
  <c r="W115" i="1"/>
  <c r="P164" i="24"/>
  <c r="P187" i="24" s="1"/>
  <c r="P183" i="24"/>
  <c r="P190" i="24" s="1"/>
  <c r="Y111" i="1"/>
  <c r="R160" i="24"/>
  <c r="R71" i="24"/>
  <c r="O194" i="24"/>
  <c r="Q198" i="24" s="1"/>
  <c r="Q262" i="24"/>
  <c r="U44" i="24"/>
  <c r="T45" i="24"/>
  <c r="T93" i="24"/>
  <c r="S92" i="24"/>
  <c r="S97" i="24" s="1"/>
  <c r="W96" i="24"/>
  <c r="U94" i="24"/>
  <c r="V95" i="24"/>
  <c r="S226" i="24"/>
  <c r="R230" i="24"/>
  <c r="P135" i="24"/>
  <c r="P136" i="24" s="1"/>
  <c r="P73" i="24"/>
  <c r="S129" i="24"/>
  <c r="AB64" i="1"/>
  <c r="AA63" i="1"/>
  <c r="Z62" i="1"/>
  <c r="Z67" i="1" s="1"/>
  <c r="AA57" i="1"/>
  <c r="AA154" i="1" s="1"/>
  <c r="AA177" i="1" s="1"/>
  <c r="W73" i="1"/>
  <c r="U118" i="24"/>
  <c r="T119" i="24"/>
  <c r="O197" i="1"/>
  <c r="N220" i="1"/>
  <c r="N209" i="1"/>
  <c r="S185" i="1"/>
  <c r="S192" i="1" s="1"/>
  <c r="S164" i="1"/>
  <c r="Z183" i="1"/>
  <c r="Z190" i="1" s="1"/>
  <c r="R187" i="1"/>
  <c r="Q187" i="1"/>
  <c r="S116" i="11"/>
  <c r="S92" i="11"/>
  <c r="V88" i="1"/>
  <c r="U89" i="1"/>
  <c r="S101" i="1"/>
  <c r="U65" i="11"/>
  <c r="S135" i="1"/>
  <c r="S136" i="1" s="1"/>
  <c r="W95" i="1"/>
  <c r="T92" i="1"/>
  <c r="T97" i="1" s="1"/>
  <c r="T99" i="1" s="1"/>
  <c r="T162" i="1" s="1"/>
  <c r="U93" i="1"/>
  <c r="V94" i="1"/>
  <c r="X96" i="1"/>
  <c r="AB45" i="1"/>
  <c r="AB48" i="1" s="1"/>
  <c r="AB49" i="1"/>
  <c r="AA48" i="1"/>
  <c r="AA53" i="1" s="1"/>
  <c r="AA55" i="1" s="1"/>
  <c r="AA160" i="1" s="1"/>
  <c r="R115" i="11"/>
  <c r="O141" i="19"/>
  <c r="V100" i="18"/>
  <c r="U101" i="18"/>
  <c r="P93" i="11"/>
  <c r="P112" i="11"/>
  <c r="P110" i="11" s="1"/>
  <c r="R95" i="11"/>
  <c r="R113" i="11"/>
  <c r="V121" i="19"/>
  <c r="U122" i="19"/>
  <c r="V46" i="19"/>
  <c r="U47" i="19"/>
  <c r="S132" i="19"/>
  <c r="T79" i="11"/>
  <c r="R73" i="19"/>
  <c r="Q118" i="19"/>
  <c r="Q115" i="19"/>
  <c r="R54" i="11"/>
  <c r="P138" i="19"/>
  <c r="R24" i="19"/>
  <c r="R25" i="19" s="1"/>
  <c r="R27" i="19" s="1"/>
  <c r="R28" i="19" s="1"/>
  <c r="R33" i="18"/>
  <c r="R35" i="18" s="1"/>
  <c r="R37" i="18" s="1"/>
  <c r="T128" i="18"/>
  <c r="U135" i="18"/>
  <c r="T134" i="18"/>
  <c r="T139" i="18" s="1"/>
  <c r="X138" i="18"/>
  <c r="W137" i="18"/>
  <c r="V136" i="18"/>
  <c r="R89" i="11"/>
  <c r="P62" i="11"/>
  <c r="P94" i="11"/>
  <c r="R25" i="22"/>
  <c r="S24" i="22"/>
  <c r="Q48" i="18"/>
  <c r="Q84" i="18" s="1"/>
  <c r="Q51" i="18"/>
  <c r="Q52" i="18"/>
  <c r="Q127" i="18"/>
  <c r="Q124" i="18"/>
  <c r="R56" i="11"/>
  <c r="P134" i="19"/>
  <c r="R55" i="11"/>
  <c r="P104" i="19"/>
  <c r="Q41" i="18"/>
  <c r="R47" i="18" s="1"/>
  <c r="Q117" i="18"/>
  <c r="R123" i="18" s="1"/>
  <c r="Q88" i="18"/>
  <c r="R94" i="18" s="1"/>
  <c r="U60" i="18"/>
  <c r="V76" i="18"/>
  <c r="T74" i="18"/>
  <c r="U75" i="18"/>
  <c r="S73" i="18"/>
  <c r="S78" i="18" s="1"/>
  <c r="S80" i="18" s="1"/>
  <c r="W77" i="18"/>
  <c r="S68" i="18"/>
  <c r="P113" i="18"/>
  <c r="Q139" i="19"/>
  <c r="Q53" i="11"/>
  <c r="Q94" i="11" s="1"/>
  <c r="R31" i="18"/>
  <c r="P75" i="19"/>
  <c r="T80" i="11"/>
  <c r="R82" i="18"/>
  <c r="Q64" i="22"/>
  <c r="Q65" i="22" s="1"/>
  <c r="S58" i="11"/>
  <c r="Q42" i="19"/>
  <c r="U45" i="19" s="1"/>
  <c r="Q43" i="19"/>
  <c r="T59" i="19" s="1"/>
  <c r="Q39" i="19"/>
  <c r="Q75" i="19" s="1"/>
  <c r="Q86" i="19"/>
  <c r="Q89" i="19"/>
  <c r="X54" i="19"/>
  <c r="T50" i="19"/>
  <c r="T55" i="19" s="1"/>
  <c r="W53" i="19"/>
  <c r="U51" i="19"/>
  <c r="V52" i="19"/>
  <c r="T45" i="19"/>
  <c r="V67" i="19"/>
  <c r="U66" i="19"/>
  <c r="T65" i="19"/>
  <c r="S64" i="19"/>
  <c r="S69" i="19" s="1"/>
  <c r="S71" i="19" s="1"/>
  <c r="W68" i="19"/>
  <c r="S59" i="19"/>
  <c r="T29" i="18"/>
  <c r="S30" i="18"/>
  <c r="P143" i="18"/>
  <c r="P84" i="18"/>
  <c r="Q29" i="22"/>
  <c r="R35" i="22" s="1"/>
  <c r="R36" i="22" s="1"/>
  <c r="Q40" i="22"/>
  <c r="R46" i="22" s="1"/>
  <c r="R47" i="22" s="1"/>
  <c r="Q52" i="22"/>
  <c r="R58" i="22" s="1"/>
  <c r="R59" i="22" s="1"/>
  <c r="Q98" i="18"/>
  <c r="Q95" i="18"/>
  <c r="X129" i="19"/>
  <c r="T125" i="19"/>
  <c r="T130" i="19" s="1"/>
  <c r="T132" i="19" s="1"/>
  <c r="U126" i="19"/>
  <c r="V127" i="19"/>
  <c r="W128" i="19"/>
  <c r="V98" i="19"/>
  <c r="U97" i="19"/>
  <c r="T96" i="19"/>
  <c r="S95" i="19"/>
  <c r="S100" i="19" s="1"/>
  <c r="S102" i="19" s="1"/>
  <c r="W99" i="19"/>
  <c r="S90" i="19"/>
  <c r="Q108" i="19"/>
  <c r="R114" i="19" s="1"/>
  <c r="Q32" i="19"/>
  <c r="R38" i="19" s="1"/>
  <c r="Q79" i="19"/>
  <c r="R85" i="19" s="1"/>
  <c r="W108" i="18"/>
  <c r="T105" i="18"/>
  <c r="U106" i="18"/>
  <c r="V107" i="18"/>
  <c r="S104" i="18"/>
  <c r="S109" i="18" s="1"/>
  <c r="S99" i="18"/>
  <c r="S141" i="18"/>
  <c r="S71" i="11"/>
  <c r="S117" i="11" s="1"/>
  <c r="P140" i="19"/>
  <c r="Q48" i="11"/>
  <c r="Q112" i="11" s="1"/>
  <c r="Q110" i="11" s="1"/>
  <c r="U119" i="19"/>
  <c r="S77" i="11"/>
  <c r="W119" i="1"/>
  <c r="X118" i="1"/>
  <c r="U131" i="1"/>
  <c r="Z126" i="1"/>
  <c r="Y125" i="1"/>
  <c r="X124" i="1"/>
  <c r="W123" i="1"/>
  <c r="V122" i="1"/>
  <c r="V127" i="1" s="1"/>
  <c r="V129" i="1" s="1"/>
  <c r="V163" i="1" s="1"/>
  <c r="V186" i="1" s="1"/>
  <c r="V193" i="1" s="1"/>
  <c r="AG205" i="1" l="1"/>
  <c r="AI205" i="1" s="1"/>
  <c r="AA69" i="1"/>
  <c r="AA161" i="1" s="1"/>
  <c r="AA184" i="1" s="1"/>
  <c r="AA191" i="1" s="1"/>
  <c r="AK191" i="1" s="1"/>
  <c r="AO191" i="1" s="1"/>
  <c r="T226" i="24"/>
  <c r="S230" i="24"/>
  <c r="Q73" i="24"/>
  <c r="Q135" i="24"/>
  <c r="Q136" i="24" s="1"/>
  <c r="W62" i="18"/>
  <c r="V61" i="18"/>
  <c r="U119" i="24"/>
  <c r="V118" i="24"/>
  <c r="V55" i="18"/>
  <c r="U56" i="18"/>
  <c r="W95" i="24"/>
  <c r="T92" i="24"/>
  <c r="T97" i="24" s="1"/>
  <c r="V94" i="24"/>
  <c r="X96" i="24"/>
  <c r="U93" i="24"/>
  <c r="Q183" i="24"/>
  <c r="Q190" i="24" s="1"/>
  <c r="Q164" i="24"/>
  <c r="Q187" i="24" s="1"/>
  <c r="Y76" i="1"/>
  <c r="Z82" i="1" s="1"/>
  <c r="Y30" i="1"/>
  <c r="Z36" i="1" s="1"/>
  <c r="Y105" i="1"/>
  <c r="Z111" i="1" s="1"/>
  <c r="Y83" i="1"/>
  <c r="Y143" i="1"/>
  <c r="Y86" i="1"/>
  <c r="AB87" i="1" s="1"/>
  <c r="AB155" i="1" s="1"/>
  <c r="W91" i="19"/>
  <c r="V92" i="19"/>
  <c r="X63" i="18"/>
  <c r="S99" i="24"/>
  <c r="W51" i="24"/>
  <c r="X52" i="24"/>
  <c r="T48" i="24"/>
  <c r="T53" i="24" s="1"/>
  <c r="T55" i="24" s="1"/>
  <c r="U49" i="24"/>
  <c r="V50" i="24"/>
  <c r="R73" i="24"/>
  <c r="R135" i="24"/>
  <c r="R136" i="24" s="1"/>
  <c r="P194" i="24"/>
  <c r="R198" i="24" s="1"/>
  <c r="R262" i="24"/>
  <c r="Z69" i="1"/>
  <c r="O248" i="24"/>
  <c r="O238" i="24" s="1"/>
  <c r="O241" i="24" s="1"/>
  <c r="N249" i="24"/>
  <c r="U89" i="24"/>
  <c r="V88" i="24"/>
  <c r="AA157" i="1"/>
  <c r="AA158" i="1" s="1"/>
  <c r="X145" i="1"/>
  <c r="X147" i="1"/>
  <c r="AA25" i="1"/>
  <c r="Z26" i="1"/>
  <c r="Z34" i="18"/>
  <c r="V124" i="24"/>
  <c r="T122" i="24"/>
  <c r="T127" i="24" s="1"/>
  <c r="U123" i="24"/>
  <c r="X126" i="24"/>
  <c r="W125" i="24"/>
  <c r="Y112" i="1"/>
  <c r="Y144" i="1"/>
  <c r="Y115" i="1"/>
  <c r="M220" i="24"/>
  <c r="N197" i="24"/>
  <c r="M209" i="24"/>
  <c r="X134" i="1"/>
  <c r="U131" i="18"/>
  <c r="V130" i="18"/>
  <c r="AG204" i="1"/>
  <c r="AI204" i="1" s="1"/>
  <c r="S163" i="24"/>
  <c r="S186" i="24" s="1"/>
  <c r="S193" i="24" s="1"/>
  <c r="S131" i="24"/>
  <c r="R231" i="24"/>
  <c r="R233" i="24"/>
  <c r="U45" i="24"/>
  <c r="V44" i="24"/>
  <c r="R164" i="24"/>
  <c r="R187" i="24" s="1"/>
  <c r="R183" i="24"/>
  <c r="R190" i="24" s="1"/>
  <c r="AB116" i="1"/>
  <c r="AB156" i="1" s="1"/>
  <c r="AA116" i="1"/>
  <c r="AA156" i="1" s="1"/>
  <c r="AA179" i="1" s="1"/>
  <c r="AA180" i="1"/>
  <c r="AG194" i="1" s="1"/>
  <c r="AG203" i="1"/>
  <c r="AA62" i="1"/>
  <c r="AA67" i="1" s="1"/>
  <c r="AB63" i="1"/>
  <c r="S55" i="24"/>
  <c r="T129" i="24"/>
  <c r="Y40" i="1"/>
  <c r="Y41" i="1"/>
  <c r="AB62" i="1" s="1"/>
  <c r="Y142" i="1"/>
  <c r="Y37" i="1"/>
  <c r="P96" i="11"/>
  <c r="T77" i="11"/>
  <c r="P197" i="1"/>
  <c r="O220" i="1"/>
  <c r="O209" i="1"/>
  <c r="Q194" i="1"/>
  <c r="S198" i="1" s="1"/>
  <c r="R194" i="1"/>
  <c r="T198" i="1" s="1"/>
  <c r="AA183" i="1"/>
  <c r="AA190" i="1" s="1"/>
  <c r="AK190" i="1" s="1"/>
  <c r="T185" i="1"/>
  <c r="T192" i="1" s="1"/>
  <c r="T164" i="1"/>
  <c r="S187" i="1"/>
  <c r="V65" i="11"/>
  <c r="T101" i="1"/>
  <c r="T135" i="1"/>
  <c r="T136" i="1" s="1"/>
  <c r="U116" i="11"/>
  <c r="U92" i="11"/>
  <c r="V89" i="1"/>
  <c r="W88" i="1"/>
  <c r="AB53" i="1"/>
  <c r="AB55" i="1" s="1"/>
  <c r="U92" i="1"/>
  <c r="U97" i="1" s="1"/>
  <c r="U99" i="1" s="1"/>
  <c r="U162" i="1" s="1"/>
  <c r="X95" i="1"/>
  <c r="V93" i="1"/>
  <c r="W94" i="1"/>
  <c r="Y96" i="1"/>
  <c r="AA71" i="1"/>
  <c r="S115" i="11"/>
  <c r="Q109" i="11"/>
  <c r="P109" i="11"/>
  <c r="W100" i="18"/>
  <c r="V101" i="18"/>
  <c r="S95" i="11"/>
  <c r="S113" i="11"/>
  <c r="W46" i="19"/>
  <c r="V47" i="19"/>
  <c r="V122" i="19"/>
  <c r="W121" i="19"/>
  <c r="T71" i="11"/>
  <c r="T117" i="11" s="1"/>
  <c r="P141" i="19"/>
  <c r="U80" i="11"/>
  <c r="U79" i="11"/>
  <c r="S73" i="19"/>
  <c r="R86" i="19"/>
  <c r="R89" i="19"/>
  <c r="U90" i="19" s="1"/>
  <c r="R115" i="19"/>
  <c r="R118" i="19"/>
  <c r="V106" i="18"/>
  <c r="U105" i="18"/>
  <c r="T104" i="18"/>
  <c r="T109" i="18" s="1"/>
  <c r="T111" i="18" s="1"/>
  <c r="X108" i="18"/>
  <c r="W107" i="18"/>
  <c r="S31" i="18"/>
  <c r="S24" i="19"/>
  <c r="S25" i="19" s="1"/>
  <c r="S27" i="19" s="1"/>
  <c r="S28" i="19" s="1"/>
  <c r="S33" i="18"/>
  <c r="S35" i="18" s="1"/>
  <c r="S37" i="18" s="1"/>
  <c r="T57" i="19"/>
  <c r="V78" i="11" s="1"/>
  <c r="S55" i="11"/>
  <c r="Q104" i="19"/>
  <c r="U65" i="19"/>
  <c r="T64" i="19"/>
  <c r="T69" i="19" s="1"/>
  <c r="X68" i="19"/>
  <c r="W67" i="19"/>
  <c r="V66" i="19"/>
  <c r="R98" i="18"/>
  <c r="R95" i="18"/>
  <c r="R48" i="18"/>
  <c r="R84" i="18" s="1"/>
  <c r="R51" i="18"/>
  <c r="V54" i="18" s="1"/>
  <c r="R52" i="18"/>
  <c r="Y138" i="18"/>
  <c r="W136" i="18"/>
  <c r="U134" i="18"/>
  <c r="U139" i="18" s="1"/>
  <c r="U141" i="18" s="1"/>
  <c r="X137" i="18"/>
  <c r="V135" i="18"/>
  <c r="U128" i="18"/>
  <c r="W61" i="18"/>
  <c r="V60" i="18"/>
  <c r="Y63" i="18"/>
  <c r="U59" i="18"/>
  <c r="U64" i="18" s="1"/>
  <c r="U66" i="18" s="1"/>
  <c r="X62" i="18"/>
  <c r="U54" i="18"/>
  <c r="S25" i="22"/>
  <c r="T24" i="22"/>
  <c r="R88" i="18"/>
  <c r="S94" i="18" s="1"/>
  <c r="R117" i="18"/>
  <c r="S123" i="18" s="1"/>
  <c r="R41" i="18"/>
  <c r="S47" i="18" s="1"/>
  <c r="S56" i="11"/>
  <c r="Q134" i="19"/>
  <c r="R139" i="19"/>
  <c r="V81" i="11"/>
  <c r="Q62" i="11"/>
  <c r="Q93" i="11"/>
  <c r="Q96" i="11" s="1"/>
  <c r="S89" i="11"/>
  <c r="R39" i="19"/>
  <c r="R42" i="19"/>
  <c r="R43" i="19"/>
  <c r="Q113" i="18"/>
  <c r="R64" i="22"/>
  <c r="R65" i="22" s="1"/>
  <c r="T58" i="11"/>
  <c r="T30" i="18"/>
  <c r="T31" i="18" s="1"/>
  <c r="U29" i="18"/>
  <c r="W98" i="19"/>
  <c r="V97" i="19"/>
  <c r="U96" i="19"/>
  <c r="T95" i="19"/>
  <c r="T100" i="19" s="1"/>
  <c r="X99" i="19"/>
  <c r="S54" i="11"/>
  <c r="Q138" i="19"/>
  <c r="Q140" i="19" s="1"/>
  <c r="X53" i="19"/>
  <c r="Y54" i="19"/>
  <c r="U50" i="19"/>
  <c r="U55" i="19" s="1"/>
  <c r="W52" i="19"/>
  <c r="V51" i="19"/>
  <c r="S82" i="18"/>
  <c r="R124" i="18"/>
  <c r="R127" i="18"/>
  <c r="V128" i="18" s="1"/>
  <c r="Q143" i="18"/>
  <c r="V75" i="18"/>
  <c r="U74" i="18"/>
  <c r="T73" i="18"/>
  <c r="T78" i="18" s="1"/>
  <c r="T80" i="18" s="1"/>
  <c r="X77" i="18"/>
  <c r="W76" i="18"/>
  <c r="T68" i="18"/>
  <c r="R52" i="22"/>
  <c r="S58" i="22" s="1"/>
  <c r="S59" i="22" s="1"/>
  <c r="R29" i="22"/>
  <c r="S35" i="22" s="1"/>
  <c r="S36" i="22" s="1"/>
  <c r="R40" i="22"/>
  <c r="S46" i="22" s="1"/>
  <c r="S47" i="22" s="1"/>
  <c r="R108" i="19"/>
  <c r="S114" i="19" s="1"/>
  <c r="R32" i="19"/>
  <c r="S38" i="19" s="1"/>
  <c r="R79" i="19"/>
  <c r="S85" i="19" s="1"/>
  <c r="W127" i="19"/>
  <c r="X128" i="19"/>
  <c r="U125" i="19"/>
  <c r="U130" i="19" s="1"/>
  <c r="U132" i="19" s="1"/>
  <c r="Y129" i="19"/>
  <c r="V126" i="19"/>
  <c r="U81" i="11"/>
  <c r="T102" i="19"/>
  <c r="Q141" i="19"/>
  <c r="T141" i="18"/>
  <c r="T99" i="18"/>
  <c r="R48" i="11"/>
  <c r="R112" i="11" s="1"/>
  <c r="R110" i="11" s="1"/>
  <c r="T71" i="19"/>
  <c r="S111" i="18"/>
  <c r="R53" i="11"/>
  <c r="R94" i="11" s="1"/>
  <c r="T90" i="19"/>
  <c r="Y118" i="1"/>
  <c r="X119" i="1"/>
  <c r="V131" i="1"/>
  <c r="AA126" i="1"/>
  <c r="Z125" i="1"/>
  <c r="Y124" i="1"/>
  <c r="X123" i="1"/>
  <c r="W122" i="1"/>
  <c r="W127" i="1" s="1"/>
  <c r="W129" i="1" s="1"/>
  <c r="W163" i="1" s="1"/>
  <c r="W186" i="1" s="1"/>
  <c r="W193" i="1" s="1"/>
  <c r="T160" i="24" l="1"/>
  <c r="T71" i="24"/>
  <c r="Z30" i="1"/>
  <c r="AA36" i="1" s="1"/>
  <c r="Z76" i="1"/>
  <c r="AA82" i="1" s="1"/>
  <c r="Z105" i="1"/>
  <c r="AA111" i="1" s="1"/>
  <c r="Z40" i="1"/>
  <c r="Z37" i="1"/>
  <c r="Z142" i="1"/>
  <c r="Z41" i="1"/>
  <c r="W118" i="24"/>
  <c r="V119" i="24"/>
  <c r="Y134" i="1"/>
  <c r="Y73" i="1"/>
  <c r="T163" i="24"/>
  <c r="T186" i="24" s="1"/>
  <c r="T193" i="24" s="1"/>
  <c r="T131" i="24"/>
  <c r="AG206" i="1"/>
  <c r="AI206" i="1" s="1"/>
  <c r="AG193" i="1"/>
  <c r="W44" i="24"/>
  <c r="V45" i="24"/>
  <c r="W130" i="18"/>
  <c r="V131" i="18"/>
  <c r="O197" i="24"/>
  <c r="N220" i="24"/>
  <c r="N209" i="24"/>
  <c r="AA26" i="1"/>
  <c r="AA34" i="18"/>
  <c r="AB25" i="1"/>
  <c r="V89" i="24"/>
  <c r="W88" i="24"/>
  <c r="Z161" i="1"/>
  <c r="Z184" i="1" s="1"/>
  <c r="Z191" i="1" s="1"/>
  <c r="Z71" i="1"/>
  <c r="Z73" i="1" s="1"/>
  <c r="T99" i="24"/>
  <c r="Z86" i="1"/>
  <c r="Z83" i="1"/>
  <c r="Z143" i="1"/>
  <c r="X125" i="24"/>
  <c r="V123" i="24"/>
  <c r="U122" i="24"/>
  <c r="U127" i="24" s="1"/>
  <c r="Y126" i="24"/>
  <c r="W124" i="24"/>
  <c r="AN204" i="1"/>
  <c r="Y145" i="1"/>
  <c r="Y147" i="1"/>
  <c r="S160" i="24"/>
  <c r="S71" i="24"/>
  <c r="AG190" i="1"/>
  <c r="X51" i="24"/>
  <c r="W50" i="24"/>
  <c r="U48" i="24"/>
  <c r="U53" i="24" s="1"/>
  <c r="V49" i="24"/>
  <c r="Y52" i="24"/>
  <c r="V93" i="24"/>
  <c r="Y96" i="24"/>
  <c r="U92" i="24"/>
  <c r="U97" i="24" s="1"/>
  <c r="U99" i="24" s="1"/>
  <c r="X95" i="24"/>
  <c r="W94" i="24"/>
  <c r="Q194" i="24"/>
  <c r="S198" i="24" s="1"/>
  <c r="S262" i="24"/>
  <c r="S233" i="24"/>
  <c r="S231" i="24"/>
  <c r="AG192" i="1"/>
  <c r="T262" i="24"/>
  <c r="R194" i="24"/>
  <c r="T198" i="24" s="1"/>
  <c r="AB67" i="1"/>
  <c r="AB69" i="1" s="1"/>
  <c r="AB161" i="1" s="1"/>
  <c r="AB57" i="1"/>
  <c r="AB154" i="1" s="1"/>
  <c r="AB157" i="1" s="1"/>
  <c r="AB158" i="1" s="1"/>
  <c r="AG207" i="1"/>
  <c r="AI203" i="1"/>
  <c r="AG191" i="1"/>
  <c r="S101" i="24"/>
  <c r="S162" i="24"/>
  <c r="S185" i="24" s="1"/>
  <c r="S192" i="24" s="1"/>
  <c r="W92" i="19"/>
  <c r="X91" i="19"/>
  <c r="Z144" i="1"/>
  <c r="Z115" i="1"/>
  <c r="Z112" i="1"/>
  <c r="V56" i="18"/>
  <c r="W55" i="18"/>
  <c r="U226" i="24"/>
  <c r="T230" i="24"/>
  <c r="AN205" i="1"/>
  <c r="Q197" i="1"/>
  <c r="P220" i="1"/>
  <c r="P209" i="1"/>
  <c r="S194" i="1"/>
  <c r="U198" i="1" s="1"/>
  <c r="AO190" i="1"/>
  <c r="AB71" i="1"/>
  <c r="AB160" i="1"/>
  <c r="U185" i="1"/>
  <c r="U192" i="1" s="1"/>
  <c r="U164" i="1"/>
  <c r="T187" i="1"/>
  <c r="W89" i="1"/>
  <c r="X88" i="1"/>
  <c r="V116" i="11"/>
  <c r="V92" i="11"/>
  <c r="U101" i="1"/>
  <c r="W65" i="11"/>
  <c r="U135" i="1"/>
  <c r="U136" i="1" s="1"/>
  <c r="Y95" i="1"/>
  <c r="V92" i="1"/>
  <c r="V97" i="1" s="1"/>
  <c r="X94" i="1"/>
  <c r="W93" i="1"/>
  <c r="Z96" i="1"/>
  <c r="T115" i="11"/>
  <c r="R109" i="11"/>
  <c r="X100" i="18"/>
  <c r="W101" i="18"/>
  <c r="T95" i="11"/>
  <c r="T113" i="11"/>
  <c r="S48" i="11"/>
  <c r="S112" i="11" s="1"/>
  <c r="S110" i="11" s="1"/>
  <c r="T89" i="11"/>
  <c r="S53" i="11"/>
  <c r="S94" i="11" s="1"/>
  <c r="X46" i="19"/>
  <c r="W47" i="19"/>
  <c r="X121" i="19"/>
  <c r="W122" i="19"/>
  <c r="W81" i="11"/>
  <c r="T82" i="18"/>
  <c r="V80" i="11"/>
  <c r="U71" i="11"/>
  <c r="U117" i="11" s="1"/>
  <c r="S86" i="19"/>
  <c r="S89" i="19"/>
  <c r="S118" i="19"/>
  <c r="S115" i="19"/>
  <c r="U58" i="11"/>
  <c r="S64" i="22"/>
  <c r="S65" i="22" s="1"/>
  <c r="V134" i="18"/>
  <c r="V139" i="18" s="1"/>
  <c r="V141" i="18" s="1"/>
  <c r="Y137" i="18"/>
  <c r="X136" i="18"/>
  <c r="W135" i="18"/>
  <c r="Z138" i="18"/>
  <c r="T33" i="18"/>
  <c r="T35" i="18" s="1"/>
  <c r="T37" i="18" s="1"/>
  <c r="T24" i="19"/>
  <c r="T25" i="19" s="1"/>
  <c r="T27" i="19" s="1"/>
  <c r="T28" i="19" s="1"/>
  <c r="U64" i="19"/>
  <c r="U69" i="19" s="1"/>
  <c r="Y68" i="19"/>
  <c r="X67" i="19"/>
  <c r="V65" i="19"/>
  <c r="W66" i="19"/>
  <c r="U59" i="19"/>
  <c r="T54" i="11"/>
  <c r="R138" i="19"/>
  <c r="S124" i="18"/>
  <c r="S127" i="18"/>
  <c r="T25" i="22"/>
  <c r="U24" i="22"/>
  <c r="X76" i="18"/>
  <c r="V74" i="18"/>
  <c r="W75" i="18"/>
  <c r="U73" i="18"/>
  <c r="U78" i="18" s="1"/>
  <c r="U80" i="18" s="1"/>
  <c r="Y77" i="18"/>
  <c r="U68" i="18"/>
  <c r="X107" i="18"/>
  <c r="V105" i="18"/>
  <c r="W106" i="18"/>
  <c r="U104" i="18"/>
  <c r="U109" i="18" s="1"/>
  <c r="U111" i="18" s="1"/>
  <c r="Y108" i="18"/>
  <c r="U99" i="18"/>
  <c r="S79" i="19"/>
  <c r="T85" i="19" s="1"/>
  <c r="S108" i="19"/>
  <c r="T114" i="19" s="1"/>
  <c r="S32" i="19"/>
  <c r="T38" i="19" s="1"/>
  <c r="T56" i="11"/>
  <c r="R134" i="19"/>
  <c r="T55" i="11"/>
  <c r="R104" i="19"/>
  <c r="R75" i="19"/>
  <c r="U77" i="11"/>
  <c r="V79" i="11"/>
  <c r="T73" i="19"/>
  <c r="R62" i="11"/>
  <c r="R93" i="11"/>
  <c r="R96" i="11" s="1"/>
  <c r="S43" i="19"/>
  <c r="S42" i="19"/>
  <c r="S39" i="19"/>
  <c r="R143" i="18"/>
  <c r="U30" i="18"/>
  <c r="V29" i="18"/>
  <c r="Y53" i="19"/>
  <c r="Z54" i="19"/>
  <c r="V50" i="19"/>
  <c r="V55" i="19" s="1"/>
  <c r="V57" i="19" s="1"/>
  <c r="X78" i="11" s="1"/>
  <c r="X52" i="19"/>
  <c r="W51" i="19"/>
  <c r="V45" i="19"/>
  <c r="W45" i="19"/>
  <c r="S48" i="18"/>
  <c r="S51" i="18"/>
  <c r="S52" i="18"/>
  <c r="S98" i="18"/>
  <c r="S95" i="18"/>
  <c r="S40" i="22"/>
  <c r="T46" i="22" s="1"/>
  <c r="T47" i="22" s="1"/>
  <c r="S52" i="22"/>
  <c r="T58" i="22" s="1"/>
  <c r="T59" i="22" s="1"/>
  <c r="S29" i="22"/>
  <c r="T35" i="22" s="1"/>
  <c r="T36" i="22" s="1"/>
  <c r="V59" i="18"/>
  <c r="V64" i="18" s="1"/>
  <c r="Z63" i="18"/>
  <c r="Y62" i="18"/>
  <c r="X61" i="18"/>
  <c r="W60" i="18"/>
  <c r="R113" i="18"/>
  <c r="S117" i="18"/>
  <c r="T123" i="18" s="1"/>
  <c r="S88" i="18"/>
  <c r="T94" i="18" s="1"/>
  <c r="S41" i="18"/>
  <c r="T47" i="18" s="1"/>
  <c r="W126" i="19"/>
  <c r="V125" i="19"/>
  <c r="V130" i="19" s="1"/>
  <c r="V132" i="19" s="1"/>
  <c r="Z129" i="19"/>
  <c r="Y128" i="19"/>
  <c r="X127" i="19"/>
  <c r="W119" i="19"/>
  <c r="V119" i="19"/>
  <c r="Y99" i="19"/>
  <c r="X98" i="19"/>
  <c r="W97" i="19"/>
  <c r="V96" i="19"/>
  <c r="U95" i="19"/>
  <c r="U100" i="19" s="1"/>
  <c r="U102" i="19" s="1"/>
  <c r="V90" i="19"/>
  <c r="S139" i="19"/>
  <c r="S75" i="19"/>
  <c r="R140" i="19"/>
  <c r="W128" i="18"/>
  <c r="U71" i="19"/>
  <c r="U57" i="19"/>
  <c r="W78" i="11" s="1"/>
  <c r="W131" i="1"/>
  <c r="Z118" i="1"/>
  <c r="Y119" i="1"/>
  <c r="AA125" i="1"/>
  <c r="Y123" i="1"/>
  <c r="AB126" i="1"/>
  <c r="Z124" i="1"/>
  <c r="X122" i="1"/>
  <c r="X127" i="1" s="1"/>
  <c r="U162" i="24" l="1"/>
  <c r="U185" i="24" s="1"/>
  <c r="U192" i="24" s="1"/>
  <c r="U101" i="24"/>
  <c r="X55" i="18"/>
  <c r="W56" i="18"/>
  <c r="AA63" i="18" s="1"/>
  <c r="S73" i="24"/>
  <c r="S135" i="24"/>
  <c r="S136" i="24" s="1"/>
  <c r="Y51" i="24"/>
  <c r="V48" i="24"/>
  <c r="V53" i="24" s="1"/>
  <c r="Z52" i="24"/>
  <c r="W49" i="24"/>
  <c r="X50" i="24"/>
  <c r="X124" i="24"/>
  <c r="V122" i="24"/>
  <c r="V127" i="24" s="1"/>
  <c r="Y125" i="24"/>
  <c r="W123" i="24"/>
  <c r="Z126" i="24"/>
  <c r="Z145" i="1"/>
  <c r="Z147" i="1"/>
  <c r="AA86" i="1"/>
  <c r="AA143" i="1"/>
  <c r="AA83" i="1"/>
  <c r="Y91" i="19"/>
  <c r="X92" i="19"/>
  <c r="S183" i="24"/>
  <c r="S190" i="24" s="1"/>
  <c r="S164" i="24"/>
  <c r="S187" i="24" s="1"/>
  <c r="U129" i="24"/>
  <c r="V129" i="24"/>
  <c r="O209" i="24"/>
  <c r="O220" i="24"/>
  <c r="P197" i="24"/>
  <c r="X44" i="24"/>
  <c r="W45" i="24"/>
  <c r="W119" i="24"/>
  <c r="X118" i="24"/>
  <c r="Z134" i="1"/>
  <c r="AA40" i="1"/>
  <c r="AA142" i="1"/>
  <c r="AA37" i="1"/>
  <c r="AA41" i="1"/>
  <c r="AB34" i="18"/>
  <c r="AB26" i="1"/>
  <c r="T231" i="24"/>
  <c r="T233" i="24"/>
  <c r="AI207" i="1"/>
  <c r="AK203" i="1" s="1"/>
  <c r="AO203" i="1" s="1"/>
  <c r="AN203" i="1"/>
  <c r="X88" i="24"/>
  <c r="W89" i="24"/>
  <c r="AA30" i="1"/>
  <c r="AB36" i="1" s="1"/>
  <c r="AA76" i="1"/>
  <c r="AB82" i="1" s="1"/>
  <c r="AA105" i="1"/>
  <c r="AB111" i="1" s="1"/>
  <c r="T73" i="24"/>
  <c r="T135" i="24"/>
  <c r="T136" i="24" s="1"/>
  <c r="U55" i="24"/>
  <c r="V55" i="24"/>
  <c r="V77" i="11"/>
  <c r="V226" i="24"/>
  <c r="U230" i="24"/>
  <c r="AJ197" i="1"/>
  <c r="T162" i="24"/>
  <c r="T185" i="24" s="1"/>
  <c r="T192" i="24" s="1"/>
  <c r="T101" i="24"/>
  <c r="Z96" i="24"/>
  <c r="W93" i="24"/>
  <c r="Y95" i="24"/>
  <c r="V92" i="24"/>
  <c r="V97" i="24" s="1"/>
  <c r="V99" i="24" s="1"/>
  <c r="X94" i="24"/>
  <c r="W131" i="18"/>
  <c r="X135" i="18" s="1"/>
  <c r="X130" i="18"/>
  <c r="AK206" i="1"/>
  <c r="AO206" i="1" s="1"/>
  <c r="AN206" i="1"/>
  <c r="AA112" i="1"/>
  <c r="AA144" i="1"/>
  <c r="AA115" i="1"/>
  <c r="T164" i="24"/>
  <c r="T187" i="24" s="1"/>
  <c r="T183" i="24"/>
  <c r="T190" i="24" s="1"/>
  <c r="R197" i="1"/>
  <c r="Q220" i="1"/>
  <c r="Q209" i="1"/>
  <c r="T194" i="1"/>
  <c r="V198" i="1" s="1"/>
  <c r="U187" i="1"/>
  <c r="X93" i="1"/>
  <c r="Y94" i="1"/>
  <c r="Z95" i="1"/>
  <c r="W92" i="1"/>
  <c r="W97" i="1" s="1"/>
  <c r="AA96" i="1"/>
  <c r="W99" i="1"/>
  <c r="W162" i="1" s="1"/>
  <c r="W116" i="11"/>
  <c r="W92" i="11"/>
  <c r="Y88" i="1"/>
  <c r="X89" i="1"/>
  <c r="V99" i="1"/>
  <c r="V162" i="1" s="1"/>
  <c r="U115" i="11"/>
  <c r="S93" i="11"/>
  <c r="S96" i="11" s="1"/>
  <c r="S109" i="11"/>
  <c r="Y100" i="18"/>
  <c r="X101" i="18"/>
  <c r="U95" i="11"/>
  <c r="U113" i="11"/>
  <c r="S62" i="11"/>
  <c r="Y121" i="19"/>
  <c r="X122" i="19"/>
  <c r="Y46" i="19"/>
  <c r="X47" i="19"/>
  <c r="R141" i="19"/>
  <c r="V71" i="11"/>
  <c r="V117" i="11" s="1"/>
  <c r="U82" i="18"/>
  <c r="W80" i="11"/>
  <c r="X81" i="11"/>
  <c r="T52" i="18"/>
  <c r="T48" i="18"/>
  <c r="T84" i="18" s="1"/>
  <c r="T51" i="18"/>
  <c r="T127" i="18"/>
  <c r="T124" i="18"/>
  <c r="V58" i="11"/>
  <c r="T64" i="22"/>
  <c r="T65" i="22" s="1"/>
  <c r="W105" i="18"/>
  <c r="V104" i="18"/>
  <c r="V109" i="18" s="1"/>
  <c r="V111" i="18" s="1"/>
  <c r="Z108" i="18"/>
  <c r="Y107" i="18"/>
  <c r="X106" i="18"/>
  <c r="W59" i="18"/>
  <c r="W64" i="18" s="1"/>
  <c r="W66" i="18" s="1"/>
  <c r="X60" i="18"/>
  <c r="W54" i="18"/>
  <c r="U31" i="18"/>
  <c r="U24" i="19"/>
  <c r="U25" i="19" s="1"/>
  <c r="U27" i="19" s="1"/>
  <c r="U28" i="19" s="1"/>
  <c r="U33" i="18"/>
  <c r="U35" i="18" s="1"/>
  <c r="U37" i="18" s="1"/>
  <c r="X51" i="19"/>
  <c r="W50" i="19"/>
  <c r="W55" i="19" s="1"/>
  <c r="W57" i="19" s="1"/>
  <c r="Y78" i="11" s="1"/>
  <c r="AA54" i="19"/>
  <c r="Z53" i="19"/>
  <c r="Y52" i="19"/>
  <c r="T139" i="19"/>
  <c r="T43" i="19"/>
  <c r="W59" i="19" s="1"/>
  <c r="T42" i="19"/>
  <c r="T39" i="19"/>
  <c r="T86" i="19"/>
  <c r="T89" i="19"/>
  <c r="T40" i="22"/>
  <c r="U46" i="22" s="1"/>
  <c r="U47" i="22" s="1"/>
  <c r="T52" i="22"/>
  <c r="U58" i="22" s="1"/>
  <c r="U59" i="22" s="1"/>
  <c r="T29" i="22"/>
  <c r="U35" i="22" s="1"/>
  <c r="U36" i="22" s="1"/>
  <c r="S143" i="18"/>
  <c r="T108" i="19"/>
  <c r="U114" i="19" s="1"/>
  <c r="T32" i="19"/>
  <c r="U38" i="19" s="1"/>
  <c r="T79" i="19"/>
  <c r="U85" i="19" s="1"/>
  <c r="U56" i="11"/>
  <c r="S134" i="19"/>
  <c r="V95" i="19"/>
  <c r="V100" i="19" s="1"/>
  <c r="V102" i="19" s="1"/>
  <c r="Z99" i="19"/>
  <c r="W96" i="19"/>
  <c r="X97" i="19"/>
  <c r="Y98" i="19"/>
  <c r="V99" i="18"/>
  <c r="T48" i="11"/>
  <c r="T112" i="11" s="1"/>
  <c r="T110" i="11" s="1"/>
  <c r="T53" i="11"/>
  <c r="T94" i="11" s="1"/>
  <c r="S113" i="18"/>
  <c r="W79" i="11"/>
  <c r="U73" i="19"/>
  <c r="U89" i="11"/>
  <c r="T95" i="18"/>
  <c r="T98" i="18"/>
  <c r="V68" i="18"/>
  <c r="V73" i="18"/>
  <c r="V78" i="18" s="1"/>
  <c r="V80" i="18" s="1"/>
  <c r="X75" i="18"/>
  <c r="W74" i="18"/>
  <c r="Y76" i="18"/>
  <c r="Z77" i="18"/>
  <c r="V30" i="18"/>
  <c r="V31" i="18" s="1"/>
  <c r="W29" i="18"/>
  <c r="U54" i="11"/>
  <c r="S138" i="19"/>
  <c r="S140" i="19" s="1"/>
  <c r="Z68" i="19"/>
  <c r="Y67" i="19"/>
  <c r="X66" i="19"/>
  <c r="W65" i="19"/>
  <c r="V64" i="19"/>
  <c r="V69" i="19" s="1"/>
  <c r="V59" i="19"/>
  <c r="T115" i="19"/>
  <c r="T118" i="19"/>
  <c r="V24" i="22"/>
  <c r="U25" i="22"/>
  <c r="Y136" i="18"/>
  <c r="X128" i="18"/>
  <c r="T88" i="18"/>
  <c r="U94" i="18" s="1"/>
  <c r="T41" i="18"/>
  <c r="U47" i="18" s="1"/>
  <c r="T117" i="18"/>
  <c r="U123" i="18" s="1"/>
  <c r="W125" i="19"/>
  <c r="W130" i="19" s="1"/>
  <c r="AA129" i="19"/>
  <c r="Z128" i="19"/>
  <c r="Y127" i="19"/>
  <c r="X126" i="19"/>
  <c r="U55" i="11"/>
  <c r="S104" i="19"/>
  <c r="V66" i="18"/>
  <c r="V71" i="19"/>
  <c r="S84" i="18"/>
  <c r="Z119" i="1"/>
  <c r="AA118" i="1"/>
  <c r="Y122" i="1"/>
  <c r="Y127" i="1" s="1"/>
  <c r="Y129" i="1" s="1"/>
  <c r="Y163" i="1" s="1"/>
  <c r="Y186" i="1" s="1"/>
  <c r="Y193" i="1" s="1"/>
  <c r="Z123" i="1"/>
  <c r="AB125" i="1"/>
  <c r="AA124" i="1"/>
  <c r="X129" i="1"/>
  <c r="X163" i="1" s="1"/>
  <c r="X186" i="1" s="1"/>
  <c r="X193" i="1" s="1"/>
  <c r="AB115" i="1" l="1"/>
  <c r="AB112" i="1"/>
  <c r="AB144" i="1"/>
  <c r="W55" i="24"/>
  <c r="AA138" i="18"/>
  <c r="W134" i="18"/>
  <c r="W139" i="18" s="1"/>
  <c r="Y61" i="18"/>
  <c r="V262" i="24"/>
  <c r="T194" i="24"/>
  <c r="V198" i="24" s="1"/>
  <c r="U233" i="24"/>
  <c r="U231" i="24"/>
  <c r="U160" i="24"/>
  <c r="U71" i="24"/>
  <c r="AB143" i="1"/>
  <c r="AB86" i="1"/>
  <c r="AB83" i="1"/>
  <c r="X45" i="24"/>
  <c r="Y44" i="24"/>
  <c r="V131" i="24"/>
  <c r="V163" i="24"/>
  <c r="V186" i="24" s="1"/>
  <c r="V193" i="24" s="1"/>
  <c r="X56" i="18"/>
  <c r="Y55" i="18"/>
  <c r="X89" i="24"/>
  <c r="Y88" i="24"/>
  <c r="Y50" i="24"/>
  <c r="W48" i="24"/>
  <c r="W53" i="24" s="1"/>
  <c r="X49" i="24"/>
  <c r="Z51" i="24"/>
  <c r="AA52" i="24"/>
  <c r="Z137" i="18"/>
  <c r="Z62" i="18"/>
  <c r="V101" i="24"/>
  <c r="V162" i="24"/>
  <c r="V185" i="24" s="1"/>
  <c r="V192" i="24" s="1"/>
  <c r="W226" i="24"/>
  <c r="V230" i="24"/>
  <c r="AB41" i="1"/>
  <c r="AB40" i="1"/>
  <c r="AB142" i="1"/>
  <c r="AB37" i="1"/>
  <c r="AA134" i="1"/>
  <c r="AA73" i="1"/>
  <c r="Y118" i="24"/>
  <c r="X119" i="24"/>
  <c r="P220" i="24"/>
  <c r="P209" i="24"/>
  <c r="Q197" i="24"/>
  <c r="U163" i="24"/>
  <c r="U186" i="24" s="1"/>
  <c r="U193" i="24" s="1"/>
  <c r="U131" i="24"/>
  <c r="Y92" i="19"/>
  <c r="Z91" i="19"/>
  <c r="V160" i="24"/>
  <c r="V71" i="24"/>
  <c r="X131" i="18"/>
  <c r="Y130" i="18"/>
  <c r="X93" i="24"/>
  <c r="W92" i="24"/>
  <c r="W97" i="24" s="1"/>
  <c r="AA96" i="24"/>
  <c r="Z95" i="24"/>
  <c r="Y94" i="24"/>
  <c r="AK207" i="1"/>
  <c r="AO207" i="1" s="1"/>
  <c r="AO213" i="1" s="1"/>
  <c r="AN207" i="1"/>
  <c r="AN213" i="1" s="1"/>
  <c r="AK204" i="1"/>
  <c r="AO204" i="1" s="1"/>
  <c r="AK205" i="1"/>
  <c r="AO205" i="1" s="1"/>
  <c r="AB76" i="1"/>
  <c r="AB30" i="1"/>
  <c r="AB105" i="1"/>
  <c r="AA145" i="1"/>
  <c r="AA147" i="1"/>
  <c r="AA126" i="24"/>
  <c r="X123" i="24"/>
  <c r="Z125" i="24"/>
  <c r="W122" i="24"/>
  <c r="W127" i="24" s="1"/>
  <c r="Y124" i="24"/>
  <c r="S194" i="24"/>
  <c r="U198" i="24" s="1"/>
  <c r="U262" i="24"/>
  <c r="W129" i="24"/>
  <c r="S197" i="1"/>
  <c r="R220" i="1"/>
  <c r="R209" i="1"/>
  <c r="U194" i="1"/>
  <c r="W198" i="1" s="1"/>
  <c r="V185" i="1"/>
  <c r="V192" i="1" s="1"/>
  <c r="V164" i="1"/>
  <c r="W185" i="1"/>
  <c r="W192" i="1" s="1"/>
  <c r="W164" i="1"/>
  <c r="Y89" i="1"/>
  <c r="Z88" i="1"/>
  <c r="X65" i="11"/>
  <c r="V101" i="1"/>
  <c r="V135" i="1"/>
  <c r="V136" i="1" s="1"/>
  <c r="AA95" i="1"/>
  <c r="Y93" i="1"/>
  <c r="Z94" i="1"/>
  <c r="AB96" i="1"/>
  <c r="X92" i="1"/>
  <c r="X97" i="1" s="1"/>
  <c r="W101" i="1"/>
  <c r="Y65" i="11"/>
  <c r="W135" i="1"/>
  <c r="W136" i="1" s="1"/>
  <c r="X99" i="1"/>
  <c r="X162" i="1" s="1"/>
  <c r="V115" i="11"/>
  <c r="S141" i="19"/>
  <c r="T109" i="11"/>
  <c r="Y101" i="18"/>
  <c r="Z100" i="18"/>
  <c r="V95" i="11"/>
  <c r="V113" i="11"/>
  <c r="V89" i="11"/>
  <c r="W71" i="11"/>
  <c r="W117" i="11" s="1"/>
  <c r="Z46" i="19"/>
  <c r="Y47" i="19"/>
  <c r="Y122" i="19"/>
  <c r="Z121" i="19"/>
  <c r="W77" i="11"/>
  <c r="U48" i="11"/>
  <c r="U127" i="18"/>
  <c r="Y128" i="18" s="1"/>
  <c r="U124" i="18"/>
  <c r="W24" i="22"/>
  <c r="V25" i="22"/>
  <c r="V56" i="11"/>
  <c r="T134" i="19"/>
  <c r="W30" i="18"/>
  <c r="W31" i="18" s="1"/>
  <c r="X29" i="18"/>
  <c r="V82" i="18"/>
  <c r="X71" i="11"/>
  <c r="X117" i="11" s="1"/>
  <c r="W132" i="19"/>
  <c r="U52" i="18"/>
  <c r="U48" i="18"/>
  <c r="U84" i="18" s="1"/>
  <c r="U51" i="18"/>
  <c r="U29" i="22"/>
  <c r="V35" i="22" s="1"/>
  <c r="V36" i="22" s="1"/>
  <c r="U40" i="22"/>
  <c r="V46" i="22" s="1"/>
  <c r="V47" i="22" s="1"/>
  <c r="U52" i="22"/>
  <c r="V58" i="22" s="1"/>
  <c r="V59" i="22" s="1"/>
  <c r="Z127" i="19"/>
  <c r="AA128" i="19"/>
  <c r="Y126" i="19"/>
  <c r="AB129" i="19"/>
  <c r="X125" i="19"/>
  <c r="X130" i="19" s="1"/>
  <c r="X132" i="19" s="1"/>
  <c r="X119" i="19"/>
  <c r="T113" i="18"/>
  <c r="T62" i="11"/>
  <c r="T93" i="11"/>
  <c r="T96" i="11" s="1"/>
  <c r="X80" i="11"/>
  <c r="U42" i="19"/>
  <c r="U39" i="19"/>
  <c r="U75" i="19" s="1"/>
  <c r="U43" i="19"/>
  <c r="W58" i="11"/>
  <c r="U64" i="22"/>
  <c r="U65" i="22" s="1"/>
  <c r="V55" i="11"/>
  <c r="T104" i="19"/>
  <c r="Z52" i="19"/>
  <c r="Y51" i="19"/>
  <c r="AA53" i="19"/>
  <c r="AB54" i="19"/>
  <c r="X50" i="19"/>
  <c r="X55" i="19" s="1"/>
  <c r="X45" i="19"/>
  <c r="U79" i="19"/>
  <c r="V85" i="19" s="1"/>
  <c r="U108" i="19"/>
  <c r="V114" i="19" s="1"/>
  <c r="U32" i="19"/>
  <c r="V38" i="19" s="1"/>
  <c r="T143" i="18"/>
  <c r="X59" i="18"/>
  <c r="X64" i="18" s="1"/>
  <c r="X66" i="18" s="1"/>
  <c r="AB63" i="18"/>
  <c r="AA62" i="18"/>
  <c r="Z61" i="18"/>
  <c r="Y60" i="18"/>
  <c r="X54" i="18"/>
  <c r="X74" i="18"/>
  <c r="W73" i="18"/>
  <c r="W78" i="18" s="1"/>
  <c r="W80" i="18" s="1"/>
  <c r="AA77" i="18"/>
  <c r="Z76" i="18"/>
  <c r="Y75" i="18"/>
  <c r="U53" i="11"/>
  <c r="U94" i="11" s="1"/>
  <c r="X57" i="19"/>
  <c r="Z78" i="11" s="1"/>
  <c r="W68" i="18"/>
  <c r="X79" i="11"/>
  <c r="V73" i="19"/>
  <c r="U95" i="18"/>
  <c r="U98" i="18"/>
  <c r="X99" i="18" s="1"/>
  <c r="W141" i="18"/>
  <c r="V24" i="19"/>
  <c r="V25" i="19" s="1"/>
  <c r="V27" i="19" s="1"/>
  <c r="V28" i="19" s="1"/>
  <c r="V33" i="18"/>
  <c r="V35" i="18" s="1"/>
  <c r="V37" i="18" s="1"/>
  <c r="Y106" i="18"/>
  <c r="W104" i="18"/>
  <c r="W109" i="18" s="1"/>
  <c r="W111" i="18" s="1"/>
  <c r="AA108" i="18"/>
  <c r="Z107" i="18"/>
  <c r="X105" i="18"/>
  <c r="U139" i="19"/>
  <c r="U86" i="19"/>
  <c r="U89" i="19"/>
  <c r="U115" i="19"/>
  <c r="U118" i="19"/>
  <c r="AA99" i="19"/>
  <c r="Z98" i="19"/>
  <c r="Y97" i="19"/>
  <c r="X96" i="19"/>
  <c r="W95" i="19"/>
  <c r="W100" i="19" s="1"/>
  <c r="W90" i="19"/>
  <c r="T138" i="19"/>
  <c r="T140" i="19" s="1"/>
  <c r="V54" i="11"/>
  <c r="Y66" i="19"/>
  <c r="X65" i="19"/>
  <c r="W64" i="19"/>
  <c r="W69" i="19" s="1"/>
  <c r="AA68" i="19"/>
  <c r="Z67" i="19"/>
  <c r="U117" i="18"/>
  <c r="V123" i="18" s="1"/>
  <c r="U88" i="18"/>
  <c r="V94" i="18" s="1"/>
  <c r="U41" i="18"/>
  <c r="V47" i="18" s="1"/>
  <c r="Z136" i="18"/>
  <c r="Y135" i="18"/>
  <c r="X134" i="18"/>
  <c r="X139" i="18" s="1"/>
  <c r="X141" i="18" s="1"/>
  <c r="AB138" i="18"/>
  <c r="AA137" i="18"/>
  <c r="W99" i="18"/>
  <c r="T75" i="19"/>
  <c r="T141" i="19" s="1"/>
  <c r="X131" i="1"/>
  <c r="X135" i="1"/>
  <c r="X136" i="1" s="1"/>
  <c r="Y131" i="1"/>
  <c r="AB118" i="1"/>
  <c r="AB119" i="1" s="1"/>
  <c r="AB122" i="1" s="1"/>
  <c r="AA119" i="1"/>
  <c r="AB124" i="1"/>
  <c r="Z122" i="1"/>
  <c r="Z127" i="1" s="1"/>
  <c r="Z129" i="1" s="1"/>
  <c r="Z163" i="1" s="1"/>
  <c r="Z186" i="1" s="1"/>
  <c r="Z193" i="1" s="1"/>
  <c r="AA123" i="1"/>
  <c r="V135" i="24" l="1"/>
  <c r="V136" i="24" s="1"/>
  <c r="V73" i="24"/>
  <c r="Z88" i="24"/>
  <c r="Y89" i="24"/>
  <c r="U183" i="24"/>
  <c r="U190" i="24" s="1"/>
  <c r="U164" i="24"/>
  <c r="U187" i="24" s="1"/>
  <c r="U194" i="24" s="1"/>
  <c r="W198" i="24" s="1"/>
  <c r="V164" i="24"/>
  <c r="V187" i="24" s="1"/>
  <c r="V194" i="24" s="1"/>
  <c r="X198" i="24" s="1"/>
  <c r="V183" i="24"/>
  <c r="V190" i="24" s="1"/>
  <c r="Z124" i="24"/>
  <c r="X122" i="24"/>
  <c r="X127" i="24" s="1"/>
  <c r="Y123" i="24"/>
  <c r="AB126" i="24"/>
  <c r="AA125" i="24"/>
  <c r="AB134" i="1"/>
  <c r="AB73" i="1"/>
  <c r="V233" i="24"/>
  <c r="I238" i="24" s="1"/>
  <c r="V231" i="24"/>
  <c r="V234" i="24"/>
  <c r="Y93" i="24"/>
  <c r="AA95" i="24"/>
  <c r="X92" i="24"/>
  <c r="X97" i="24" s="1"/>
  <c r="AB96" i="24"/>
  <c r="Z94" i="24"/>
  <c r="W99" i="24"/>
  <c r="X99" i="24"/>
  <c r="W160" i="24"/>
  <c r="W71" i="24"/>
  <c r="Y131" i="18"/>
  <c r="Z130" i="18"/>
  <c r="AA91" i="19"/>
  <c r="Z92" i="19"/>
  <c r="Q209" i="24"/>
  <c r="R197" i="24"/>
  <c r="Q220" i="24"/>
  <c r="Y119" i="24"/>
  <c r="Z118" i="24"/>
  <c r="AB147" i="1"/>
  <c r="AB145" i="1"/>
  <c r="AD144" i="1" s="1"/>
  <c r="B145" i="1"/>
  <c r="B146" i="1" s="1"/>
  <c r="C146" i="1" s="1"/>
  <c r="X226" i="24"/>
  <c r="W230" i="24"/>
  <c r="X55" i="24"/>
  <c r="Y56" i="18"/>
  <c r="Z55" i="18"/>
  <c r="Y45" i="24"/>
  <c r="Z44" i="24"/>
  <c r="W131" i="24"/>
  <c r="W163" i="24"/>
  <c r="W186" i="24" s="1"/>
  <c r="W193" i="24" s="1"/>
  <c r="Z50" i="24"/>
  <c r="X48" i="24"/>
  <c r="X53" i="24" s="1"/>
  <c r="AB52" i="24"/>
  <c r="Y49" i="24"/>
  <c r="AA51" i="24"/>
  <c r="U73" i="24"/>
  <c r="U135" i="24"/>
  <c r="U136" i="24" s="1"/>
  <c r="T197" i="1"/>
  <c r="S220" i="1"/>
  <c r="S209" i="1"/>
  <c r="X185" i="1"/>
  <c r="X192" i="1" s="1"/>
  <c r="X164" i="1"/>
  <c r="W187" i="1"/>
  <c r="V187" i="1"/>
  <c r="X116" i="11"/>
  <c r="X92" i="11"/>
  <c r="Z93" i="1"/>
  <c r="Y92" i="1"/>
  <c r="Y97" i="1" s="1"/>
  <c r="Y99" i="1" s="1"/>
  <c r="Y162" i="1" s="1"/>
  <c r="AB95" i="1"/>
  <c r="AA94" i="1"/>
  <c r="Z65" i="11"/>
  <c r="X101" i="1"/>
  <c r="Y116" i="11"/>
  <c r="Y92" i="11"/>
  <c r="AA88" i="1"/>
  <c r="Z89" i="1"/>
  <c r="W115" i="11"/>
  <c r="X115" i="11"/>
  <c r="V53" i="11"/>
  <c r="V94" i="11" s="1"/>
  <c r="Z101" i="18"/>
  <c r="AA100" i="18"/>
  <c r="W95" i="11"/>
  <c r="W113" i="11"/>
  <c r="W89" i="11"/>
  <c r="U93" i="11"/>
  <c r="U96" i="11" s="1"/>
  <c r="U112" i="11"/>
  <c r="U110" i="11" s="1"/>
  <c r="U62" i="11"/>
  <c r="Z47" i="19"/>
  <c r="AA46" i="19"/>
  <c r="Z122" i="19"/>
  <c r="AA121" i="19"/>
  <c r="Z81" i="11"/>
  <c r="W82" i="18"/>
  <c r="V124" i="18"/>
  <c r="V127" i="18"/>
  <c r="Z128" i="18" s="1"/>
  <c r="W56" i="11"/>
  <c r="U134" i="19"/>
  <c r="W55" i="11"/>
  <c r="U104" i="19"/>
  <c r="V41" i="18"/>
  <c r="W47" i="18" s="1"/>
  <c r="V117" i="18"/>
  <c r="W123" i="18" s="1"/>
  <c r="V88" i="18"/>
  <c r="W94" i="18" s="1"/>
  <c r="AB108" i="18"/>
  <c r="AA107" i="18"/>
  <c r="Z106" i="18"/>
  <c r="Y105" i="18"/>
  <c r="X104" i="18"/>
  <c r="X109" i="18" s="1"/>
  <c r="X111" i="18" s="1"/>
  <c r="V139" i="19"/>
  <c r="V95" i="18"/>
  <c r="V98" i="18"/>
  <c r="Y99" i="18" s="1"/>
  <c r="AA127" i="19"/>
  <c r="Z126" i="19"/>
  <c r="Y125" i="19"/>
  <c r="Y130" i="19" s="1"/>
  <c r="AB128" i="19"/>
  <c r="Y119" i="19"/>
  <c r="Y96" i="19"/>
  <c r="X95" i="19"/>
  <c r="X100" i="19" s="1"/>
  <c r="AB99" i="19"/>
  <c r="AA98" i="19"/>
  <c r="Z97" i="19"/>
  <c r="V108" i="19"/>
  <c r="W114" i="19" s="1"/>
  <c r="V32" i="19"/>
  <c r="W38" i="19" s="1"/>
  <c r="V79" i="19"/>
  <c r="W85" i="19" s="1"/>
  <c r="Y71" i="11"/>
  <c r="Y117" i="11" s="1"/>
  <c r="U113" i="18"/>
  <c r="V39" i="19"/>
  <c r="V43" i="19"/>
  <c r="V42" i="19"/>
  <c r="V86" i="19"/>
  <c r="V89" i="19"/>
  <c r="W54" i="11"/>
  <c r="U138" i="19"/>
  <c r="U140" i="19" s="1"/>
  <c r="V64" i="22"/>
  <c r="V65" i="22" s="1"/>
  <c r="X58" i="11"/>
  <c r="X30" i="18"/>
  <c r="Y29" i="18"/>
  <c r="X31" i="18"/>
  <c r="W33" i="18"/>
  <c r="W35" i="18" s="1"/>
  <c r="W37" i="18" s="1"/>
  <c r="W24" i="19"/>
  <c r="W25" i="19" s="1"/>
  <c r="W27" i="19" s="1"/>
  <c r="W28" i="19" s="1"/>
  <c r="W25" i="22"/>
  <c r="X24" i="22"/>
  <c r="Z135" i="18"/>
  <c r="AA136" i="18"/>
  <c r="AB137" i="18"/>
  <c r="Y134" i="18"/>
  <c r="Y139" i="18" s="1"/>
  <c r="Y141" i="18" s="1"/>
  <c r="U141" i="19"/>
  <c r="V48" i="11"/>
  <c r="V112" i="11" s="1"/>
  <c r="V110" i="11" s="1"/>
  <c r="X77" i="11"/>
  <c r="X89" i="11" s="1"/>
  <c r="Y45" i="19"/>
  <c r="V52" i="18"/>
  <c r="V48" i="18"/>
  <c r="V51" i="18"/>
  <c r="W71" i="19"/>
  <c r="V118" i="19"/>
  <c r="V115" i="19"/>
  <c r="AB68" i="19"/>
  <c r="AA67" i="19"/>
  <c r="Z66" i="19"/>
  <c r="Y65" i="19"/>
  <c r="X64" i="19"/>
  <c r="X69" i="19" s="1"/>
  <c r="X71" i="19" s="1"/>
  <c r="X59" i="19"/>
  <c r="Y50" i="19"/>
  <c r="Y55" i="19" s="1"/>
  <c r="Z51" i="19"/>
  <c r="AA52" i="19"/>
  <c r="AB53" i="19"/>
  <c r="AA61" i="18"/>
  <c r="AB62" i="18"/>
  <c r="Z60" i="18"/>
  <c r="Y59" i="18"/>
  <c r="Y64" i="18" s="1"/>
  <c r="Y66" i="18" s="1"/>
  <c r="Y54" i="18"/>
  <c r="X68" i="18"/>
  <c r="AB77" i="18"/>
  <c r="AA76" i="18"/>
  <c r="Z75" i="18"/>
  <c r="Y74" i="18"/>
  <c r="X73" i="18"/>
  <c r="X78" i="18" s="1"/>
  <c r="Y81" i="11"/>
  <c r="V52" i="22"/>
  <c r="W58" i="22" s="1"/>
  <c r="W59" i="22" s="1"/>
  <c r="V29" i="22"/>
  <c r="W35" i="22" s="1"/>
  <c r="W36" i="22" s="1"/>
  <c r="V40" i="22"/>
  <c r="W46" i="22" s="1"/>
  <c r="W47" i="22" s="1"/>
  <c r="U143" i="18"/>
  <c r="X102" i="19"/>
  <c r="W102" i="19"/>
  <c r="Y132" i="19"/>
  <c r="X90" i="19"/>
  <c r="Z131" i="1"/>
  <c r="AA122" i="1"/>
  <c r="AA127" i="1" s="1"/>
  <c r="AA129" i="1" s="1"/>
  <c r="AA163" i="1" s="1"/>
  <c r="AA186" i="1" s="1"/>
  <c r="AA193" i="1" s="1"/>
  <c r="AK193" i="1" s="1"/>
  <c r="AO193" i="1" s="1"/>
  <c r="AB123" i="1"/>
  <c r="AB127" i="1"/>
  <c r="W234" i="24" l="1"/>
  <c r="W231" i="24"/>
  <c r="W233" i="24"/>
  <c r="AA92" i="19"/>
  <c r="AB91" i="19"/>
  <c r="AB92" i="19" s="1"/>
  <c r="Z56" i="18"/>
  <c r="AA55" i="18"/>
  <c r="Y226" i="24"/>
  <c r="X230" i="24"/>
  <c r="R209" i="24"/>
  <c r="S197" i="24"/>
  <c r="R220" i="24"/>
  <c r="Z131" i="18"/>
  <c r="AA130" i="18"/>
  <c r="X101" i="24"/>
  <c r="X162" i="24"/>
  <c r="X185" i="24" s="1"/>
  <c r="X192" i="24" s="1"/>
  <c r="Y48" i="24"/>
  <c r="Y53" i="24" s="1"/>
  <c r="AA50" i="24"/>
  <c r="AB51" i="24"/>
  <c r="Z49" i="24"/>
  <c r="W183" i="24"/>
  <c r="W190" i="24" s="1"/>
  <c r="AA88" i="24"/>
  <c r="Z89" i="24"/>
  <c r="Y55" i="24"/>
  <c r="AD143" i="1"/>
  <c r="AD142" i="1"/>
  <c r="Z119" i="24"/>
  <c r="AA118" i="24"/>
  <c r="W101" i="24"/>
  <c r="W162" i="24"/>
  <c r="W185" i="24" s="1"/>
  <c r="W192" i="24" s="1"/>
  <c r="W53" i="11"/>
  <c r="W94" i="11" s="1"/>
  <c r="AA44" i="24"/>
  <c r="Z45" i="24"/>
  <c r="X160" i="24"/>
  <c r="X71" i="24"/>
  <c r="L202" i="1"/>
  <c r="T202" i="1"/>
  <c r="D202" i="1"/>
  <c r="K202" i="1"/>
  <c r="S202" i="1"/>
  <c r="AA202" i="1"/>
  <c r="J202" i="1"/>
  <c r="I202" i="1"/>
  <c r="Y202" i="1"/>
  <c r="F202" i="1"/>
  <c r="N202" i="1"/>
  <c r="V202" i="1"/>
  <c r="E202" i="1"/>
  <c r="E213" i="1" s="1"/>
  <c r="M202" i="1"/>
  <c r="U202" i="1"/>
  <c r="R202" i="1"/>
  <c r="Z202" i="1"/>
  <c r="Q202" i="1"/>
  <c r="H202" i="1"/>
  <c r="P202" i="1"/>
  <c r="X202" i="1"/>
  <c r="G202" i="1"/>
  <c r="O202" i="1"/>
  <c r="W202" i="1"/>
  <c r="Y122" i="24"/>
  <c r="Y127" i="24" s="1"/>
  <c r="AA124" i="24"/>
  <c r="AB125" i="24"/>
  <c r="Z123" i="24"/>
  <c r="W135" i="24"/>
  <c r="W136" i="24" s="1"/>
  <c r="W73" i="24"/>
  <c r="J238" i="24"/>
  <c r="L238" i="24"/>
  <c r="N238" i="24" s="1"/>
  <c r="P238" i="24" s="1"/>
  <c r="I248" i="24"/>
  <c r="Y92" i="24"/>
  <c r="Y97" i="24" s="1"/>
  <c r="AB95" i="24"/>
  <c r="AA94" i="24"/>
  <c r="Z93" i="24"/>
  <c r="X129" i="24"/>
  <c r="U197" i="1"/>
  <c r="T220" i="1"/>
  <c r="T209" i="1"/>
  <c r="V194" i="1"/>
  <c r="X198" i="1" s="1"/>
  <c r="W194" i="1"/>
  <c r="Y198" i="1" s="1"/>
  <c r="Y185" i="1"/>
  <c r="Y192" i="1" s="1"/>
  <c r="Y164" i="1"/>
  <c r="X187" i="1"/>
  <c r="Z116" i="11"/>
  <c r="Z92" i="11"/>
  <c r="Y101" i="1"/>
  <c r="AA65" i="11"/>
  <c r="Y135" i="1"/>
  <c r="Y136" i="1" s="1"/>
  <c r="AB88" i="1"/>
  <c r="AB89" i="1" s="1"/>
  <c r="AB92" i="1" s="1"/>
  <c r="AA89" i="1"/>
  <c r="AA93" i="1"/>
  <c r="Z92" i="1"/>
  <c r="Z97" i="1" s="1"/>
  <c r="AB94" i="1"/>
  <c r="Z99" i="1"/>
  <c r="Z162" i="1" s="1"/>
  <c r="Y115" i="11"/>
  <c r="AB129" i="1"/>
  <c r="AB163" i="1" s="1"/>
  <c r="V109" i="11"/>
  <c r="AA101" i="18"/>
  <c r="AB100" i="18"/>
  <c r="AB101" i="18" s="1"/>
  <c r="U109" i="11"/>
  <c r="X95" i="11"/>
  <c r="X113" i="11"/>
  <c r="AB121" i="19"/>
  <c r="AB122" i="19" s="1"/>
  <c r="AA122" i="19"/>
  <c r="AB46" i="19"/>
  <c r="AB47" i="19" s="1"/>
  <c r="AA47" i="19"/>
  <c r="Y80" i="11"/>
  <c r="Z80" i="11"/>
  <c r="W64" i="22"/>
  <c r="W65" i="22" s="1"/>
  <c r="Y58" i="11"/>
  <c r="Y57" i="19"/>
  <c r="AA78" i="11" s="1"/>
  <c r="Z125" i="19"/>
  <c r="Z130" i="19" s="1"/>
  <c r="Z132" i="19" s="1"/>
  <c r="AB127" i="19"/>
  <c r="AA126" i="19"/>
  <c r="Z119" i="19"/>
  <c r="Y79" i="11"/>
  <c r="W73" i="19"/>
  <c r="V62" i="11"/>
  <c r="V93" i="11"/>
  <c r="V96" i="11" s="1"/>
  <c r="Y24" i="22"/>
  <c r="X25" i="22"/>
  <c r="W108" i="19"/>
  <c r="X114" i="19" s="1"/>
  <c r="W32" i="19"/>
  <c r="X38" i="19" s="1"/>
  <c r="W79" i="19"/>
  <c r="X85" i="19" s="1"/>
  <c r="X33" i="18"/>
  <c r="X35" i="18" s="1"/>
  <c r="X37" i="18" s="1"/>
  <c r="X24" i="19"/>
  <c r="X25" i="19" s="1"/>
  <c r="X27" i="19" s="1"/>
  <c r="X28" i="19" s="1"/>
  <c r="X55" i="11"/>
  <c r="V104" i="19"/>
  <c r="AA66" i="19"/>
  <c r="AB67" i="19"/>
  <c r="Z65" i="19"/>
  <c r="Y64" i="19"/>
  <c r="Y69" i="19" s="1"/>
  <c r="Y59" i="19"/>
  <c r="W89" i="19"/>
  <c r="W86" i="19"/>
  <c r="Y55" i="11" s="1"/>
  <c r="W118" i="19"/>
  <c r="AA119" i="19" s="1"/>
  <c r="W115" i="19"/>
  <c r="Z105" i="18"/>
  <c r="Y104" i="18"/>
  <c r="Y109" i="18" s="1"/>
  <c r="Y111" i="18" s="1"/>
  <c r="AB107" i="18"/>
  <c r="AA106" i="18"/>
  <c r="W98" i="18"/>
  <c r="W95" i="18"/>
  <c r="W52" i="18"/>
  <c r="W51" i="18"/>
  <c r="AA54" i="18" s="1"/>
  <c r="W48" i="18"/>
  <c r="V143" i="18"/>
  <c r="Y68" i="18"/>
  <c r="Y71" i="19"/>
  <c r="V84" i="18"/>
  <c r="W48" i="11"/>
  <c r="W112" i="11" s="1"/>
  <c r="W110" i="11" s="1"/>
  <c r="AA81" i="11"/>
  <c r="X56" i="11"/>
  <c r="V134" i="19"/>
  <c r="Z79" i="11"/>
  <c r="X73" i="19"/>
  <c r="AB61" i="18"/>
  <c r="AA60" i="18"/>
  <c r="Z59" i="18"/>
  <c r="Z64" i="18" s="1"/>
  <c r="Z66" i="18" s="1"/>
  <c r="Z54" i="18"/>
  <c r="AA75" i="18"/>
  <c r="AB76" i="18"/>
  <c r="Y73" i="18"/>
  <c r="Y78" i="18" s="1"/>
  <c r="Z74" i="18"/>
  <c r="W52" i="22"/>
  <c r="X58" i="22" s="1"/>
  <c r="X59" i="22" s="1"/>
  <c r="W29" i="22"/>
  <c r="X35" i="22" s="1"/>
  <c r="X36" i="22" s="1"/>
  <c r="W40" i="22"/>
  <c r="X46" i="22" s="1"/>
  <c r="X47" i="22" s="1"/>
  <c r="W41" i="18"/>
  <c r="X47" i="18" s="1"/>
  <c r="W117" i="18"/>
  <c r="X123" i="18" s="1"/>
  <c r="W88" i="18"/>
  <c r="X94" i="18" s="1"/>
  <c r="Y30" i="18"/>
  <c r="Y31" i="18" s="1"/>
  <c r="Z29" i="18"/>
  <c r="Y95" i="19"/>
  <c r="Y100" i="19" s="1"/>
  <c r="Z96" i="19"/>
  <c r="AA97" i="19"/>
  <c r="AB98" i="19"/>
  <c r="Y90" i="19"/>
  <c r="AA51" i="19"/>
  <c r="Z50" i="19"/>
  <c r="Z55" i="19" s="1"/>
  <c r="AB52" i="19"/>
  <c r="Z45" i="19"/>
  <c r="X54" i="11"/>
  <c r="V138" i="19"/>
  <c r="V140" i="19" s="1"/>
  <c r="W42" i="19"/>
  <c r="W39" i="19"/>
  <c r="W43" i="19"/>
  <c r="V113" i="18"/>
  <c r="W124" i="18"/>
  <c r="W127" i="18"/>
  <c r="Z134" i="18"/>
  <c r="Z139" i="18" s="1"/>
  <c r="AA135" i="18"/>
  <c r="AB136" i="18"/>
  <c r="W84" i="18"/>
  <c r="X80" i="18"/>
  <c r="Z90" i="19"/>
  <c r="V75" i="19"/>
  <c r="V141" i="19" s="1"/>
  <c r="AA131" i="1"/>
  <c r="AB131" i="1"/>
  <c r="Z48" i="24" l="1"/>
  <c r="Z53" i="24" s="1"/>
  <c r="AB50" i="24"/>
  <c r="AA49" i="24"/>
  <c r="Z226" i="24"/>
  <c r="Y230" i="24"/>
  <c r="I253" i="24"/>
  <c r="L248" i="24"/>
  <c r="N248" i="24" s="1"/>
  <c r="Z129" i="24"/>
  <c r="F213" i="1"/>
  <c r="J213" i="1"/>
  <c r="K213" i="1" s="1"/>
  <c r="C213" i="1"/>
  <c r="B213" i="1" s="1"/>
  <c r="AA45" i="24"/>
  <c r="AB44" i="24"/>
  <c r="AB45" i="24" s="1"/>
  <c r="AB48" i="24" s="1"/>
  <c r="S209" i="24"/>
  <c r="S220" i="24"/>
  <c r="T197" i="24"/>
  <c r="AB55" i="18"/>
  <c r="AB56" i="18" s="1"/>
  <c r="AA56" i="18"/>
  <c r="AB88" i="24"/>
  <c r="AB89" i="24" s="1"/>
  <c r="AB92" i="24" s="1"/>
  <c r="AA89" i="24"/>
  <c r="X73" i="24"/>
  <c r="X135" i="24"/>
  <c r="X136" i="24" s="1"/>
  <c r="AA119" i="24"/>
  <c r="AB118" i="24"/>
  <c r="AB119" i="24" s="1"/>
  <c r="AB122" i="24" s="1"/>
  <c r="Y160" i="24"/>
  <c r="Y71" i="24"/>
  <c r="W164" i="24"/>
  <c r="W187" i="24" s="1"/>
  <c r="W194" i="24" s="1"/>
  <c r="Y198" i="24" s="1"/>
  <c r="Z55" i="24"/>
  <c r="AB130" i="18"/>
  <c r="AB131" i="18" s="1"/>
  <c r="AA131" i="18"/>
  <c r="X163" i="24"/>
  <c r="X186" i="24" s="1"/>
  <c r="X193" i="24" s="1"/>
  <c r="X131" i="24"/>
  <c r="X183" i="24"/>
  <c r="X190" i="24" s="1"/>
  <c r="Y99" i="24"/>
  <c r="AB124" i="24"/>
  <c r="AA123" i="24"/>
  <c r="Z122" i="24"/>
  <c r="Z127" i="24" s="1"/>
  <c r="AA93" i="24"/>
  <c r="AB94" i="24"/>
  <c r="Z92" i="24"/>
  <c r="Z97" i="24" s="1"/>
  <c r="Z99" i="24" s="1"/>
  <c r="Y129" i="24"/>
  <c r="X234" i="24"/>
  <c r="X233" i="24"/>
  <c r="X231" i="24"/>
  <c r="V197" i="1"/>
  <c r="U220" i="1"/>
  <c r="U209" i="1"/>
  <c r="X194" i="1"/>
  <c r="Z198" i="1" s="1"/>
  <c r="Z185" i="1"/>
  <c r="Z192" i="1" s="1"/>
  <c r="Z164" i="1"/>
  <c r="Y187" i="1"/>
  <c r="AA92" i="1"/>
  <c r="AA97" i="1" s="1"/>
  <c r="AB93" i="1"/>
  <c r="AB97" i="1" s="1"/>
  <c r="AB65" i="11"/>
  <c r="Z101" i="1"/>
  <c r="Z135" i="1"/>
  <c r="Z136" i="1" s="1"/>
  <c r="AA116" i="11"/>
  <c r="AA92" i="11"/>
  <c r="AA99" i="1"/>
  <c r="AA162" i="1" s="1"/>
  <c r="Z77" i="11"/>
  <c r="W109" i="11"/>
  <c r="X53" i="11"/>
  <c r="X94" i="11" s="1"/>
  <c r="Y95" i="11"/>
  <c r="Y113" i="11"/>
  <c r="Y77" i="11"/>
  <c r="Y89" i="11" s="1"/>
  <c r="Z71" i="11"/>
  <c r="Z117" i="11" s="1"/>
  <c r="X82" i="18"/>
  <c r="AA128" i="18"/>
  <c r="AB135" i="18"/>
  <c r="AA134" i="18"/>
  <c r="AA139" i="18" s="1"/>
  <c r="AA141" i="18" s="1"/>
  <c r="Z64" i="19"/>
  <c r="Z69" i="19" s="1"/>
  <c r="AB66" i="19"/>
  <c r="AA65" i="19"/>
  <c r="Z59" i="19"/>
  <c r="AA29" i="18"/>
  <c r="Z30" i="18"/>
  <c r="Z58" i="11"/>
  <c r="X64" i="22"/>
  <c r="X65" i="22" s="1"/>
  <c r="AB81" i="11"/>
  <c r="W143" i="18"/>
  <c r="Y54" i="11"/>
  <c r="W138" i="19"/>
  <c r="Y24" i="19"/>
  <c r="Y25" i="19" s="1"/>
  <c r="Y27" i="19" s="1"/>
  <c r="Y28" i="19" s="1"/>
  <c r="Y33" i="18"/>
  <c r="Y35" i="18" s="1"/>
  <c r="Y37" i="18" s="1"/>
  <c r="X127" i="18"/>
  <c r="X124" i="18"/>
  <c r="X139" i="19"/>
  <c r="W62" i="11"/>
  <c r="W93" i="11"/>
  <c r="W96" i="11" s="1"/>
  <c r="AB60" i="18"/>
  <c r="AA59" i="18"/>
  <c r="AA64" i="18" s="1"/>
  <c r="W113" i="18"/>
  <c r="AA125" i="19"/>
  <c r="AA130" i="19" s="1"/>
  <c r="AB126" i="19"/>
  <c r="AB97" i="19"/>
  <c r="Z95" i="19"/>
  <c r="Z100" i="19" s="1"/>
  <c r="Z102" i="19" s="1"/>
  <c r="AA96" i="19"/>
  <c r="X88" i="18"/>
  <c r="Y94" i="18" s="1"/>
  <c r="X41" i="18"/>
  <c r="Y47" i="18" s="1"/>
  <c r="X117" i="18"/>
  <c r="Y123" i="18" s="1"/>
  <c r="X43" i="19"/>
  <c r="AA59" i="19" s="1"/>
  <c r="X42" i="19"/>
  <c r="X39" i="19"/>
  <c r="X75" i="19" s="1"/>
  <c r="X52" i="22"/>
  <c r="Y58" i="22" s="1"/>
  <c r="Y59" i="22" s="1"/>
  <c r="X40" i="22"/>
  <c r="Y46" i="22" s="1"/>
  <c r="Y47" i="22" s="1"/>
  <c r="X29" i="22"/>
  <c r="Y35" i="22" s="1"/>
  <c r="Y36" i="22" s="1"/>
  <c r="W75" i="19"/>
  <c r="W139" i="19"/>
  <c r="Z141" i="18"/>
  <c r="Y80" i="18"/>
  <c r="X48" i="11"/>
  <c r="X112" i="11" s="1"/>
  <c r="X110" i="11" s="1"/>
  <c r="Z57" i="19"/>
  <c r="AB78" i="11" s="1"/>
  <c r="W104" i="19"/>
  <c r="AA50" i="19"/>
  <c r="AA55" i="19" s="1"/>
  <c r="AB51" i="19"/>
  <c r="AA45" i="19"/>
  <c r="X98" i="18"/>
  <c r="X95" i="18"/>
  <c r="X51" i="18"/>
  <c r="X48" i="18"/>
  <c r="X52" i="18"/>
  <c r="AA79" i="11"/>
  <c r="Y73" i="19"/>
  <c r="Z73" i="18"/>
  <c r="Z78" i="18" s="1"/>
  <c r="AB75" i="18"/>
  <c r="AA74" i="18"/>
  <c r="Z68" i="18"/>
  <c r="Z104" i="18"/>
  <c r="Z109" i="18" s="1"/>
  <c r="AB106" i="18"/>
  <c r="AA105" i="18"/>
  <c r="Z99" i="18"/>
  <c r="Y56" i="11"/>
  <c r="W134" i="19"/>
  <c r="X108" i="19"/>
  <c r="Y114" i="19" s="1"/>
  <c r="X32" i="19"/>
  <c r="Y38" i="19" s="1"/>
  <c r="X79" i="19"/>
  <c r="Y85" i="19" s="1"/>
  <c r="X86" i="19"/>
  <c r="X89" i="19"/>
  <c r="X118" i="19"/>
  <c r="X115" i="19"/>
  <c r="Z24" i="22"/>
  <c r="Y25" i="22"/>
  <c r="AA66" i="18"/>
  <c r="Y102" i="19"/>
  <c r="Z71" i="19"/>
  <c r="Z162" i="24" l="1"/>
  <c r="Z185" i="24" s="1"/>
  <c r="Z192" i="24" s="1"/>
  <c r="Z101" i="24"/>
  <c r="AB49" i="24"/>
  <c r="AA48" i="24"/>
  <c r="AA53" i="24" s="1"/>
  <c r="AB55" i="24" s="1"/>
  <c r="Y131" i="24"/>
  <c r="Y163" i="24"/>
  <c r="Y186" i="24" s="1"/>
  <c r="Y193" i="24" s="1"/>
  <c r="X164" i="24"/>
  <c r="X187" i="24" s="1"/>
  <c r="X194" i="24" s="1"/>
  <c r="Z198" i="24" s="1"/>
  <c r="Y73" i="24"/>
  <c r="Y135" i="24"/>
  <c r="Y136" i="24" s="1"/>
  <c r="AA122" i="24"/>
  <c r="AA127" i="24" s="1"/>
  <c r="AB123" i="24"/>
  <c r="T220" i="24"/>
  <c r="U197" i="24"/>
  <c r="T209" i="24"/>
  <c r="AA226" i="24"/>
  <c r="Z230" i="24"/>
  <c r="Y183" i="24"/>
  <c r="Y190" i="24" s="1"/>
  <c r="Y162" i="24"/>
  <c r="Y185" i="24" s="1"/>
  <c r="Y192" i="24" s="1"/>
  <c r="Y101" i="24"/>
  <c r="Z131" i="24"/>
  <c r="Z163" i="24"/>
  <c r="Z186" i="24" s="1"/>
  <c r="Z193" i="24" s="1"/>
  <c r="Z160" i="24"/>
  <c r="Z71" i="24"/>
  <c r="AB127" i="24"/>
  <c r="AB93" i="24"/>
  <c r="AB97" i="24" s="1"/>
  <c r="AA92" i="24"/>
  <c r="AA97" i="24" s="1"/>
  <c r="AB53" i="24"/>
  <c r="Y233" i="24"/>
  <c r="Y234" i="24"/>
  <c r="Y231" i="24"/>
  <c r="W197" i="1"/>
  <c r="V220" i="1"/>
  <c r="V209" i="1"/>
  <c r="Y194" i="1"/>
  <c r="AA198" i="1" s="1"/>
  <c r="AA185" i="1"/>
  <c r="AA192" i="1" s="1"/>
  <c r="AK192" i="1" s="1"/>
  <c r="AA164" i="1"/>
  <c r="Z187" i="1"/>
  <c r="AA101" i="1"/>
  <c r="AC65" i="11"/>
  <c r="AA135" i="1"/>
  <c r="AA136" i="1" s="1"/>
  <c r="AB116" i="11"/>
  <c r="AB92" i="11"/>
  <c r="AB99" i="1"/>
  <c r="AB162" i="1" s="1"/>
  <c r="Z115" i="11"/>
  <c r="W140" i="19"/>
  <c r="X109" i="11"/>
  <c r="Z95" i="11"/>
  <c r="Z113" i="11"/>
  <c r="Y48" i="11"/>
  <c r="Y112" i="11" s="1"/>
  <c r="Y110" i="11" s="1"/>
  <c r="AB80" i="11"/>
  <c r="Z56" i="11"/>
  <c r="X134" i="19"/>
  <c r="AB96" i="19"/>
  <c r="AA95" i="19"/>
  <c r="AA100" i="19" s="1"/>
  <c r="AA90" i="19"/>
  <c r="Y115" i="19"/>
  <c r="Y118" i="19"/>
  <c r="Z111" i="18"/>
  <c r="X113" i="18"/>
  <c r="AB79" i="11"/>
  <c r="Z73" i="19"/>
  <c r="AA80" i="11"/>
  <c r="AA77" i="11" s="1"/>
  <c r="AA24" i="22"/>
  <c r="Z25" i="22"/>
  <c r="AB125" i="19"/>
  <c r="AB130" i="19" s="1"/>
  <c r="AB132" i="19" s="1"/>
  <c r="AB119" i="19"/>
  <c r="Z55" i="11"/>
  <c r="X104" i="19"/>
  <c r="Y39" i="19"/>
  <c r="Y43" i="19"/>
  <c r="AB64" i="19" s="1"/>
  <c r="Y42" i="19"/>
  <c r="Y93" i="11"/>
  <c r="Y75" i="19"/>
  <c r="Y139" i="19"/>
  <c r="AB74" i="18"/>
  <c r="AA73" i="18"/>
  <c r="AA78" i="18" s="1"/>
  <c r="AA80" i="18" s="1"/>
  <c r="AA68" i="18"/>
  <c r="AB59" i="18"/>
  <c r="AB64" i="18" s="1"/>
  <c r="AB66" i="18" s="1"/>
  <c r="AB54" i="18"/>
  <c r="AB105" i="18"/>
  <c r="AA104" i="18"/>
  <c r="AA109" i="18" s="1"/>
  <c r="X138" i="19"/>
  <c r="X140" i="19" s="1"/>
  <c r="Z54" i="11"/>
  <c r="AA64" i="19"/>
  <c r="AA69" i="19" s="1"/>
  <c r="AB65" i="19"/>
  <c r="Y51" i="18"/>
  <c r="Y48" i="18"/>
  <c r="Y52" i="18"/>
  <c r="AA132" i="19"/>
  <c r="AB128" i="18"/>
  <c r="AB134" i="18"/>
  <c r="AB139" i="18" s="1"/>
  <c r="AB141" i="18" s="1"/>
  <c r="Y79" i="19"/>
  <c r="Z85" i="19" s="1"/>
  <c r="Y108" i="19"/>
  <c r="Z114" i="19" s="1"/>
  <c r="Y32" i="19"/>
  <c r="Z38" i="19" s="1"/>
  <c r="AB29" i="18"/>
  <c r="AA30" i="18"/>
  <c r="AA31" i="18" s="1"/>
  <c r="Z89" i="11"/>
  <c r="W141" i="19"/>
  <c r="Y53" i="11"/>
  <c r="Y94" i="11" s="1"/>
  <c r="Y52" i="22"/>
  <c r="Z58" i="22" s="1"/>
  <c r="Z59" i="22" s="1"/>
  <c r="Y29" i="22"/>
  <c r="Z35" i="22" s="1"/>
  <c r="Z36" i="22" s="1"/>
  <c r="Y40" i="22"/>
  <c r="Z46" i="22" s="1"/>
  <c r="Z47" i="22" s="1"/>
  <c r="Y89" i="19"/>
  <c r="AB95" i="19" s="1"/>
  <c r="AB100" i="19" s="1"/>
  <c r="Y86" i="19"/>
  <c r="AA55" i="11" s="1"/>
  <c r="X62" i="11"/>
  <c r="X93" i="11"/>
  <c r="X96" i="11" s="1"/>
  <c r="Y82" i="18"/>
  <c r="AA71" i="11"/>
  <c r="AA117" i="11" s="1"/>
  <c r="Y64" i="22"/>
  <c r="Y65" i="22" s="1"/>
  <c r="AA58" i="11"/>
  <c r="AB50" i="19"/>
  <c r="AB55" i="19" s="1"/>
  <c r="AB57" i="19" s="1"/>
  <c r="AB45" i="19"/>
  <c r="Y124" i="18"/>
  <c r="Y127" i="18"/>
  <c r="Y95" i="18"/>
  <c r="Y98" i="18"/>
  <c r="X143" i="18"/>
  <c r="Y117" i="18"/>
  <c r="Z123" i="18" s="1"/>
  <c r="Y88" i="18"/>
  <c r="Z94" i="18" s="1"/>
  <c r="Y41" i="18"/>
  <c r="Z47" i="18" s="1"/>
  <c r="Z31" i="18"/>
  <c r="Z24" i="19"/>
  <c r="Z25" i="19" s="1"/>
  <c r="Z27" i="19" s="1"/>
  <c r="Z28" i="19" s="1"/>
  <c r="Z33" i="18"/>
  <c r="Z35" i="18" s="1"/>
  <c r="Z37" i="18" s="1"/>
  <c r="X84" i="18"/>
  <c r="AA57" i="19"/>
  <c r="AC78" i="11" s="1"/>
  <c r="Z80" i="18"/>
  <c r="X141" i="19"/>
  <c r="AA71" i="19"/>
  <c r="AA99" i="18"/>
  <c r="AB160" i="24" l="1"/>
  <c r="AB71" i="24"/>
  <c r="AA55" i="24"/>
  <c r="Z73" i="24"/>
  <c r="Z135" i="24"/>
  <c r="Z136" i="24" s="1"/>
  <c r="Y164" i="24"/>
  <c r="Y187" i="24" s="1"/>
  <c r="Y194" i="24" s="1"/>
  <c r="AA198" i="24" s="1"/>
  <c r="AA200" i="24" s="1"/>
  <c r="AB129" i="24"/>
  <c r="AA129" i="24"/>
  <c r="AB99" i="24"/>
  <c r="Z183" i="24"/>
  <c r="Z190" i="24" s="1"/>
  <c r="Z164" i="24"/>
  <c r="Z187" i="24" s="1"/>
  <c r="Z194" i="24" s="1"/>
  <c r="AA99" i="24"/>
  <c r="U220" i="24"/>
  <c r="V197" i="24"/>
  <c r="U209" i="24"/>
  <c r="AC226" i="24"/>
  <c r="AA230" i="24"/>
  <c r="Z234" i="24"/>
  <c r="Z233" i="24"/>
  <c r="Z231" i="24"/>
  <c r="X197" i="1"/>
  <c r="W220" i="1"/>
  <c r="W209" i="1"/>
  <c r="Z194" i="1"/>
  <c r="AO192" i="1"/>
  <c r="AK213" i="1"/>
  <c r="AK197" i="1"/>
  <c r="AB164" i="1"/>
  <c r="AA187" i="1"/>
  <c r="AA194" i="1" s="1"/>
  <c r="AB101" i="1"/>
  <c r="AB135" i="1"/>
  <c r="AB136" i="1" s="1"/>
  <c r="AC116" i="11"/>
  <c r="AC92" i="11"/>
  <c r="AA115" i="11"/>
  <c r="AB77" i="11"/>
  <c r="Y109" i="11"/>
  <c r="AA95" i="11"/>
  <c r="AA113" i="11"/>
  <c r="AB59" i="19"/>
  <c r="Z53" i="11"/>
  <c r="Z94" i="11" s="1"/>
  <c r="AA82" i="18"/>
  <c r="Z117" i="18"/>
  <c r="AA123" i="18" s="1"/>
  <c r="Z88" i="18"/>
  <c r="AA94" i="18" s="1"/>
  <c r="Z41" i="18"/>
  <c r="AA47" i="18" s="1"/>
  <c r="AA89" i="11"/>
  <c r="AC79" i="11"/>
  <c r="AA73" i="19"/>
  <c r="Z82" i="18"/>
  <c r="Z108" i="19"/>
  <c r="AA114" i="19" s="1"/>
  <c r="Z79" i="19"/>
  <c r="AA85" i="19" s="1"/>
  <c r="Z32" i="19"/>
  <c r="AA38" i="19" s="1"/>
  <c r="Z52" i="18"/>
  <c r="Z51" i="18"/>
  <c r="Z48" i="18"/>
  <c r="Z127" i="18"/>
  <c r="Z124" i="18"/>
  <c r="Y113" i="18"/>
  <c r="Y143" i="18"/>
  <c r="Y84" i="18"/>
  <c r="AB58" i="11"/>
  <c r="Z64" i="22"/>
  <c r="Z65" i="22" s="1"/>
  <c r="AA33" i="18"/>
  <c r="AA35" i="18" s="1"/>
  <c r="AA37" i="18" s="1"/>
  <c r="AA24" i="19"/>
  <c r="AA25" i="19" s="1"/>
  <c r="AA27" i="19" s="1"/>
  <c r="AA28" i="19" s="1"/>
  <c r="AB30" i="18"/>
  <c r="AB31" i="18" s="1"/>
  <c r="Z118" i="19"/>
  <c r="Z115" i="19"/>
  <c r="AB73" i="18"/>
  <c r="AB78" i="18" s="1"/>
  <c r="AB80" i="18" s="1"/>
  <c r="AB68" i="18"/>
  <c r="Y138" i="19"/>
  <c r="Y140" i="19" s="1"/>
  <c r="AA54" i="11"/>
  <c r="AA25" i="22"/>
  <c r="AB24" i="22"/>
  <c r="AB25" i="22" s="1"/>
  <c r="AA56" i="11"/>
  <c r="Y134" i="19"/>
  <c r="AA102" i="19"/>
  <c r="AB102" i="19"/>
  <c r="Z48" i="11"/>
  <c r="Z112" i="11" s="1"/>
  <c r="Z110" i="11" s="1"/>
  <c r="AB90" i="19"/>
  <c r="Y96" i="11"/>
  <c r="Z95" i="18"/>
  <c r="Z98" i="18"/>
  <c r="AB104" i="18"/>
  <c r="AB109" i="18" s="1"/>
  <c r="AB99" i="18"/>
  <c r="Z43" i="19"/>
  <c r="Z39" i="19"/>
  <c r="Z75" i="19" s="1"/>
  <c r="Z42" i="19"/>
  <c r="Z86" i="19"/>
  <c r="Z89" i="19"/>
  <c r="AC81" i="11"/>
  <c r="Z40" i="22"/>
  <c r="AA46" i="22" s="1"/>
  <c r="AA47" i="22" s="1"/>
  <c r="Z52" i="22"/>
  <c r="AA58" i="22" s="1"/>
  <c r="AA59" i="22" s="1"/>
  <c r="Z29" i="22"/>
  <c r="AA35" i="22" s="1"/>
  <c r="AA36" i="22" s="1"/>
  <c r="Z139" i="19"/>
  <c r="AB111" i="18"/>
  <c r="Y62" i="11"/>
  <c r="AB69" i="19"/>
  <c r="AB71" i="19" s="1"/>
  <c r="Y104" i="19"/>
  <c r="AA111" i="18"/>
  <c r="AB163" i="24" l="1"/>
  <c r="AB131" i="24"/>
  <c r="AA160" i="24"/>
  <c r="AA71" i="24"/>
  <c r="AA163" i="24"/>
  <c r="AA186" i="24" s="1"/>
  <c r="AA193" i="24" s="1"/>
  <c r="AK193" i="24" s="1"/>
  <c r="AO193" i="24" s="1"/>
  <c r="AA131" i="24"/>
  <c r="V209" i="24"/>
  <c r="V220" i="24"/>
  <c r="W197" i="24"/>
  <c r="AB135" i="24"/>
  <c r="AB136" i="24" s="1"/>
  <c r="AB73" i="24"/>
  <c r="AA162" i="24"/>
  <c r="AA185" i="24" s="1"/>
  <c r="AA192" i="24" s="1"/>
  <c r="AK192" i="24" s="1"/>
  <c r="AO192" i="24" s="1"/>
  <c r="AA101" i="24"/>
  <c r="AA231" i="24"/>
  <c r="AA234" i="24"/>
  <c r="AA233" i="24"/>
  <c r="AC233" i="24" s="1"/>
  <c r="AD233" i="24" s="1"/>
  <c r="AB101" i="24"/>
  <c r="AB162" i="24"/>
  <c r="AB164" i="24"/>
  <c r="Y197" i="1"/>
  <c r="X220" i="1"/>
  <c r="X209" i="1"/>
  <c r="AK194" i="1"/>
  <c r="AO194" i="1" s="1"/>
  <c r="AO196" i="1" s="1"/>
  <c r="AB71" i="11"/>
  <c r="AB117" i="11" s="1"/>
  <c r="AB115" i="11" s="1"/>
  <c r="Z109" i="11"/>
  <c r="AB95" i="11"/>
  <c r="AB113" i="11"/>
  <c r="AA48" i="11"/>
  <c r="AA112" i="11" s="1"/>
  <c r="AA110" i="11" s="1"/>
  <c r="Y141" i="19"/>
  <c r="Z113" i="18"/>
  <c r="AA53" i="11"/>
  <c r="AA94" i="11" s="1"/>
  <c r="AB73" i="19"/>
  <c r="AC58" i="11"/>
  <c r="AA64" i="22"/>
  <c r="AA65" i="22" s="1"/>
  <c r="AB54" i="11"/>
  <c r="Z138" i="19"/>
  <c r="Z140" i="19" s="1"/>
  <c r="AB82" i="18"/>
  <c r="AC71" i="11"/>
  <c r="AC117" i="11" s="1"/>
  <c r="Z62" i="11"/>
  <c r="Z93" i="11"/>
  <c r="Z96" i="11" s="1"/>
  <c r="AC80" i="11"/>
  <c r="AC77" i="11" s="1"/>
  <c r="AA40" i="22"/>
  <c r="AB46" i="22" s="1"/>
  <c r="AB47" i="22" s="1"/>
  <c r="AA52" i="22"/>
  <c r="AB58" i="22" s="1"/>
  <c r="AB59" i="22" s="1"/>
  <c r="AA29" i="22"/>
  <c r="AB35" i="22" s="1"/>
  <c r="AB36" i="22" s="1"/>
  <c r="AB33" i="18"/>
  <c r="AB35" i="18" s="1"/>
  <c r="AB37" i="18" s="1"/>
  <c r="AB24" i="19"/>
  <c r="AB25" i="19" s="1"/>
  <c r="AB27" i="19" s="1"/>
  <c r="AB28" i="19" s="1"/>
  <c r="AA88" i="18"/>
  <c r="AB94" i="18" s="1"/>
  <c r="AA41" i="18"/>
  <c r="AB47" i="18" s="1"/>
  <c r="AA117" i="18"/>
  <c r="AB123" i="18" s="1"/>
  <c r="AA42" i="19"/>
  <c r="AA39" i="19"/>
  <c r="AA43" i="19"/>
  <c r="AA118" i="19"/>
  <c r="AA115" i="19"/>
  <c r="AA98" i="18"/>
  <c r="AA95" i="18"/>
  <c r="AB55" i="11"/>
  <c r="Z104" i="19"/>
  <c r="AB40" i="22"/>
  <c r="AB29" i="22"/>
  <c r="AB52" i="22"/>
  <c r="AB56" i="11"/>
  <c r="Z134" i="19"/>
  <c r="AA108" i="19"/>
  <c r="AB114" i="19" s="1"/>
  <c r="AA79" i="19"/>
  <c r="AB85" i="19" s="1"/>
  <c r="AA32" i="19"/>
  <c r="AB38" i="19" s="1"/>
  <c r="Z143" i="18"/>
  <c r="AA89" i="19"/>
  <c r="AA86" i="19"/>
  <c r="AC55" i="11" s="1"/>
  <c r="Z84" i="18"/>
  <c r="AA75" i="19"/>
  <c r="AA139" i="19"/>
  <c r="AA48" i="18"/>
  <c r="AA51" i="18"/>
  <c r="AA52" i="18"/>
  <c r="AA124" i="18"/>
  <c r="AA127" i="18"/>
  <c r="AA135" i="24" l="1"/>
  <c r="AA136" i="24" s="1"/>
  <c r="AA73" i="24"/>
  <c r="AA164" i="24"/>
  <c r="AA187" i="24" s="1"/>
  <c r="AA194" i="24" s="1"/>
  <c r="AK194" i="24" s="1"/>
  <c r="AO194" i="24" s="1"/>
  <c r="AO196" i="24" s="1"/>
  <c r="AA183" i="24"/>
  <c r="AA190" i="24" s="1"/>
  <c r="AK190" i="24" s="1"/>
  <c r="W209" i="24"/>
  <c r="X197" i="24"/>
  <c r="W220" i="24"/>
  <c r="Z141" i="19"/>
  <c r="AA200" i="1"/>
  <c r="Z197" i="1"/>
  <c r="Y220" i="1"/>
  <c r="Y209" i="1"/>
  <c r="AB48" i="11"/>
  <c r="AB112" i="11" s="1"/>
  <c r="AB110" i="11" s="1"/>
  <c r="AB89" i="11"/>
  <c r="AC115" i="11"/>
  <c r="AA93" i="11"/>
  <c r="AA96" i="11" s="1"/>
  <c r="AA109" i="11"/>
  <c r="AC95" i="11"/>
  <c r="AC113" i="11"/>
  <c r="AB93" i="11"/>
  <c r="AA113" i="18"/>
  <c r="AA62" i="11"/>
  <c r="AB86" i="19"/>
  <c r="AB89" i="19"/>
  <c r="AA143" i="18"/>
  <c r="AB43" i="19"/>
  <c r="AB42" i="19"/>
  <c r="AB39" i="19"/>
  <c r="AB118" i="19"/>
  <c r="AB115" i="19"/>
  <c r="AC56" i="11"/>
  <c r="AA134" i="19"/>
  <c r="AB51" i="18"/>
  <c r="AB48" i="18"/>
  <c r="AB52" i="18"/>
  <c r="AB79" i="19"/>
  <c r="AB32" i="19"/>
  <c r="AB108" i="19"/>
  <c r="AB64" i="22"/>
  <c r="AB65" i="22" s="1"/>
  <c r="AC89" i="11"/>
  <c r="AB53" i="11"/>
  <c r="AB94" i="11" s="1"/>
  <c r="AC54" i="11"/>
  <c r="AA138" i="19"/>
  <c r="AA140" i="19" s="1"/>
  <c r="AB127" i="18"/>
  <c r="AB124" i="18"/>
  <c r="AB95" i="18"/>
  <c r="AB98" i="18"/>
  <c r="AB41" i="18"/>
  <c r="AB88" i="18"/>
  <c r="AB117" i="18"/>
  <c r="AB139" i="19"/>
  <c r="AB75" i="19"/>
  <c r="AA84" i="18"/>
  <c r="AA104" i="19"/>
  <c r="AO190" i="24" l="1"/>
  <c r="AK197" i="24"/>
  <c r="AK213" i="24"/>
  <c r="X220" i="24"/>
  <c r="X209" i="24"/>
  <c r="Y197" i="24"/>
  <c r="AB96" i="11"/>
  <c r="AA197" i="1"/>
  <c r="AA209" i="1" s="1"/>
  <c r="Z220" i="1"/>
  <c r="Z209" i="1"/>
  <c r="AC53" i="11"/>
  <c r="AC94" i="11" s="1"/>
  <c r="AC48" i="11"/>
  <c r="AC93" i="11" s="1"/>
  <c r="AC96" i="11" s="1"/>
  <c r="AB62" i="11"/>
  <c r="AB109" i="11"/>
  <c r="AA141" i="19"/>
  <c r="AB113" i="18"/>
  <c r="AB134" i="19"/>
  <c r="AB138" i="19"/>
  <c r="AB140" i="19" s="1"/>
  <c r="AB104" i="19"/>
  <c r="AB143" i="18"/>
  <c r="AB84" i="18"/>
  <c r="Z197" i="24" l="1"/>
  <c r="Y209" i="24"/>
  <c r="Y220" i="24"/>
  <c r="AC62" i="11"/>
  <c r="AC112" i="11"/>
  <c r="AC110" i="11" s="1"/>
  <c r="AC109" i="11" s="1"/>
  <c r="AB141" i="19"/>
  <c r="Z220" i="24" l="1"/>
  <c r="Z209" i="24"/>
  <c r="AA197" i="24"/>
  <c r="AA209" i="24" s="1"/>
  <c r="Z142" i="11"/>
  <c r="V142" i="11"/>
  <c r="R142" i="11"/>
  <c r="N142" i="11"/>
  <c r="J142" i="11"/>
  <c r="F142" i="11"/>
  <c r="AA141" i="11"/>
  <c r="W141" i="11"/>
  <c r="S141" i="11"/>
  <c r="O141" i="11"/>
  <c r="K141" i="11"/>
  <c r="G141" i="11"/>
  <c r="AB140" i="11"/>
  <c r="X140" i="11"/>
  <c r="T140" i="11"/>
  <c r="P140" i="11"/>
  <c r="L140" i="11"/>
  <c r="H140" i="11"/>
  <c r="F135" i="11"/>
  <c r="J135" i="11"/>
  <c r="N135" i="11"/>
  <c r="R135" i="11"/>
  <c r="V135" i="11"/>
  <c r="Z135" i="11"/>
  <c r="F136" i="11"/>
  <c r="J136" i="11"/>
  <c r="N136" i="11"/>
  <c r="R136" i="11"/>
  <c r="V136" i="11"/>
  <c r="Z136" i="11"/>
  <c r="F137" i="11"/>
  <c r="J137" i="11"/>
  <c r="R137" i="11"/>
  <c r="V137" i="11"/>
  <c r="Z137" i="11"/>
  <c r="AC142" i="11"/>
  <c r="U142" i="11"/>
  <c r="M142" i="11"/>
  <c r="E142" i="11"/>
  <c r="V141" i="11"/>
  <c r="N141" i="11"/>
  <c r="F141" i="11"/>
  <c r="W140" i="11"/>
  <c r="O140" i="11"/>
  <c r="G140" i="11"/>
  <c r="K135" i="11"/>
  <c r="O135" i="11"/>
  <c r="W135" i="11"/>
  <c r="G136" i="11"/>
  <c r="O136" i="11"/>
  <c r="W136" i="11"/>
  <c r="G137" i="11"/>
  <c r="O137" i="11"/>
  <c r="W137" i="11"/>
  <c r="AB142" i="11"/>
  <c r="X142" i="11"/>
  <c r="T142" i="11"/>
  <c r="P142" i="11"/>
  <c r="L142" i="11"/>
  <c r="H142" i="11"/>
  <c r="AC141" i="11"/>
  <c r="Y141" i="11"/>
  <c r="U141" i="11"/>
  <c r="Q141" i="11"/>
  <c r="M141" i="11"/>
  <c r="I141" i="11"/>
  <c r="E141" i="11"/>
  <c r="Z140" i="11"/>
  <c r="V140" i="11"/>
  <c r="R140" i="11"/>
  <c r="N140" i="11"/>
  <c r="J140" i="11"/>
  <c r="F140" i="11"/>
  <c r="H135" i="11"/>
  <c r="L135" i="11"/>
  <c r="P135" i="11"/>
  <c r="T135" i="11"/>
  <c r="X135" i="11"/>
  <c r="AB135" i="11"/>
  <c r="H136" i="11"/>
  <c r="L136" i="11"/>
  <c r="P136" i="11"/>
  <c r="T136" i="11"/>
  <c r="X136" i="11"/>
  <c r="AB136" i="11"/>
  <c r="H137" i="11"/>
  <c r="L137" i="11"/>
  <c r="P137" i="11"/>
  <c r="T137" i="11"/>
  <c r="X137" i="11"/>
  <c r="AB137" i="11"/>
  <c r="E135" i="11"/>
  <c r="AA142" i="11"/>
  <c r="W142" i="11"/>
  <c r="S142" i="11"/>
  <c r="O142" i="11"/>
  <c r="K142" i="11"/>
  <c r="G142" i="11"/>
  <c r="AB141" i="11"/>
  <c r="X141" i="11"/>
  <c r="T141" i="11"/>
  <c r="P141" i="11"/>
  <c r="L141" i="11"/>
  <c r="H141" i="11"/>
  <c r="AC140" i="11"/>
  <c r="Y140" i="11"/>
  <c r="U140" i="11"/>
  <c r="Q140" i="11"/>
  <c r="M140" i="11"/>
  <c r="I140" i="11"/>
  <c r="E140" i="11"/>
  <c r="E139" i="11" s="1"/>
  <c r="I135" i="11"/>
  <c r="M135" i="11"/>
  <c r="Q135" i="11"/>
  <c r="U135" i="11"/>
  <c r="Y135" i="11"/>
  <c r="AC135" i="11"/>
  <c r="I136" i="11"/>
  <c r="M136" i="11"/>
  <c r="Q136" i="11"/>
  <c r="U136" i="11"/>
  <c r="Y136" i="11"/>
  <c r="AC136" i="11"/>
  <c r="I137" i="11"/>
  <c r="M137" i="11"/>
  <c r="Q137" i="11"/>
  <c r="U137" i="11"/>
  <c r="Y137" i="11"/>
  <c r="AC137" i="11"/>
  <c r="N137" i="11"/>
  <c r="E136" i="11"/>
  <c r="Y142" i="11"/>
  <c r="Q142" i="11"/>
  <c r="I142" i="11"/>
  <c r="Z141" i="11"/>
  <c r="R141" i="11"/>
  <c r="J141" i="11"/>
  <c r="AA140" i="11"/>
  <c r="S140" i="11"/>
  <c r="S139" i="11" s="1"/>
  <c r="K140" i="11"/>
  <c r="G135" i="11"/>
  <c r="S135" i="11"/>
  <c r="AA135" i="11"/>
  <c r="K136" i="11"/>
  <c r="S136" i="11"/>
  <c r="AA136" i="11"/>
  <c r="K137" i="11"/>
  <c r="S137" i="11"/>
  <c r="AA137" i="11"/>
  <c r="E137" i="11"/>
  <c r="U139" i="11" l="1"/>
  <c r="G134" i="11"/>
  <c r="M139" i="11"/>
  <c r="AC139" i="11"/>
  <c r="F139" i="11"/>
  <c r="N139" i="11"/>
  <c r="V139" i="11"/>
  <c r="K139" i="11"/>
  <c r="AA139" i="11"/>
  <c r="AA134" i="11"/>
  <c r="AC134" i="11"/>
  <c r="S134" i="11"/>
  <c r="S133" i="11" s="1"/>
  <c r="Y134" i="11"/>
  <c r="Q134" i="11"/>
  <c r="I134" i="11"/>
  <c r="I139" i="11"/>
  <c r="Q139" i="11"/>
  <c r="Y139" i="11"/>
  <c r="E134" i="11"/>
  <c r="E133" i="11" s="1"/>
  <c r="X134" i="11"/>
  <c r="P134" i="11"/>
  <c r="H134" i="11"/>
  <c r="J139" i="11"/>
  <c r="R139" i="11"/>
  <c r="Z139" i="11"/>
  <c r="W134" i="11"/>
  <c r="K134" i="11"/>
  <c r="O139" i="11"/>
  <c r="Z134" i="11"/>
  <c r="Z133" i="11" s="1"/>
  <c r="R134" i="11"/>
  <c r="J134" i="11"/>
  <c r="J133" i="11" s="1"/>
  <c r="H139" i="11"/>
  <c r="P139" i="11"/>
  <c r="X139" i="11"/>
  <c r="U134" i="11"/>
  <c r="U133" i="11" s="1"/>
  <c r="M134" i="11"/>
  <c r="M133" i="11" s="1"/>
  <c r="AB134" i="11"/>
  <c r="T134" i="11"/>
  <c r="L134" i="11"/>
  <c r="O134" i="11"/>
  <c r="O133" i="11" s="1"/>
  <c r="G139" i="11"/>
  <c r="W139" i="11"/>
  <c r="V134" i="11"/>
  <c r="V133" i="11" s="1"/>
  <c r="N134" i="11"/>
  <c r="N133" i="11" s="1"/>
  <c r="F134" i="11"/>
  <c r="F133" i="11" s="1"/>
  <c r="L139" i="11"/>
  <c r="T139" i="11"/>
  <c r="AB139" i="11"/>
  <c r="R133" i="11" l="1"/>
  <c r="G133" i="11"/>
  <c r="K133" i="11"/>
  <c r="L133" i="11"/>
  <c r="AB133" i="11"/>
  <c r="I133" i="11"/>
  <c r="Y133" i="11"/>
  <c r="AA133" i="11"/>
  <c r="T133" i="11"/>
  <c r="W133" i="11"/>
  <c r="H133" i="11"/>
  <c r="X133" i="11"/>
  <c r="Q133" i="11"/>
  <c r="AC133" i="11"/>
  <c r="P133" i="11"/>
  <c r="H123" i="11" l="1"/>
  <c r="K123" i="11"/>
  <c r="N123" i="11"/>
  <c r="AC123" i="11"/>
  <c r="R123" i="11"/>
  <c r="Q123" i="11"/>
  <c r="F125" i="11"/>
  <c r="E125" i="11"/>
  <c r="W123" i="11"/>
  <c r="M123" i="11"/>
  <c r="Z123" i="11"/>
  <c r="S123" i="11"/>
  <c r="K130" i="11"/>
  <c r="O130" i="11"/>
  <c r="S130" i="11"/>
  <c r="W130" i="11"/>
  <c r="AA130" i="11"/>
  <c r="J130" i="11"/>
  <c r="F129" i="11"/>
  <c r="G130" i="11"/>
  <c r="E128" i="11"/>
  <c r="N130" i="11"/>
  <c r="R130" i="11"/>
  <c r="V130" i="11"/>
  <c r="Z130" i="11"/>
  <c r="I128" i="11"/>
  <c r="F128" i="11"/>
  <c r="G129" i="11"/>
  <c r="H130" i="11"/>
  <c r="X123" i="11"/>
  <c r="I123" i="11"/>
  <c r="E123" i="11"/>
  <c r="E122" i="11" s="1"/>
  <c r="P123" i="11"/>
  <c r="O123" i="11"/>
  <c r="J123" i="11"/>
  <c r="U123" i="11"/>
  <c r="AB123" i="11"/>
  <c r="V123" i="11"/>
  <c r="E124" i="11"/>
  <c r="T123" i="11"/>
  <c r="L123" i="11"/>
  <c r="AA123" i="11"/>
  <c r="G123" i="11"/>
  <c r="M130" i="11"/>
  <c r="Q130" i="11"/>
  <c r="U130" i="11"/>
  <c r="Y130" i="11"/>
  <c r="AC130" i="11"/>
  <c r="G128" i="11"/>
  <c r="H129" i="11"/>
  <c r="E130" i="11"/>
  <c r="L130" i="11"/>
  <c r="P130" i="11"/>
  <c r="T130" i="11"/>
  <c r="X130" i="11"/>
  <c r="AB130" i="11"/>
  <c r="I130" i="11"/>
  <c r="H128" i="11"/>
  <c r="H127" i="11" s="1"/>
  <c r="F130" i="11"/>
  <c r="E129" i="11"/>
  <c r="Y123" i="11"/>
  <c r="F123" i="11"/>
  <c r="F122" i="11" s="1"/>
  <c r="F124" i="11"/>
  <c r="I125" i="11"/>
  <c r="H125" i="11"/>
  <c r="G124" i="11"/>
  <c r="J125" i="11"/>
  <c r="G125" i="11"/>
  <c r="I129" i="11"/>
  <c r="M128" i="11"/>
  <c r="K128" i="11"/>
  <c r="K125" i="11"/>
  <c r="J128" i="11"/>
  <c r="L128" i="11"/>
  <c r="J124" i="11"/>
  <c r="K124" i="11"/>
  <c r="H124" i="11"/>
  <c r="N128" i="11"/>
  <c r="N127" i="11" s="1"/>
  <c r="L125" i="11"/>
  <c r="K129" i="11"/>
  <c r="J129" i="11"/>
  <c r="O128" i="11"/>
  <c r="L124" i="11"/>
  <c r="I124" i="11"/>
  <c r="M125" i="11"/>
  <c r="M124" i="11"/>
  <c r="N125" i="11"/>
  <c r="M129" i="11"/>
  <c r="L129" i="11"/>
  <c r="O129" i="11"/>
  <c r="N129" i="11"/>
  <c r="P128" i="11"/>
  <c r="Q128" i="11"/>
  <c r="P129" i="11"/>
  <c r="Q129" i="11"/>
  <c r="N124" i="11"/>
  <c r="O125" i="11"/>
  <c r="O124" i="11"/>
  <c r="R128" i="11"/>
  <c r="P125" i="11"/>
  <c r="Q125" i="11"/>
  <c r="T128" i="11"/>
  <c r="T127" i="11" s="1"/>
  <c r="R129" i="11"/>
  <c r="Q124" i="11"/>
  <c r="R125" i="11"/>
  <c r="S128" i="11"/>
  <c r="S127" i="11" s="1"/>
  <c r="S129" i="11"/>
  <c r="P124" i="11"/>
  <c r="U128" i="11"/>
  <c r="S125" i="11"/>
  <c r="T129" i="11"/>
  <c r="R124" i="11"/>
  <c r="V128" i="11"/>
  <c r="S124" i="11"/>
  <c r="T125" i="11"/>
  <c r="U129" i="11"/>
  <c r="U125" i="11"/>
  <c r="V129" i="11"/>
  <c r="W128" i="11"/>
  <c r="T124" i="11"/>
  <c r="V125" i="11"/>
  <c r="W129" i="11"/>
  <c r="X129" i="11"/>
  <c r="W125" i="11"/>
  <c r="X128" i="11"/>
  <c r="X127" i="11" s="1"/>
  <c r="Y129" i="11"/>
  <c r="Y128" i="11"/>
  <c r="V124" i="11"/>
  <c r="U124" i="11"/>
  <c r="Z128" i="11"/>
  <c r="W124" i="11"/>
  <c r="X125" i="11"/>
  <c r="AA128" i="11"/>
  <c r="Z129" i="11"/>
  <c r="Y125" i="11"/>
  <c r="X124" i="11"/>
  <c r="Z125" i="11"/>
  <c r="AA129" i="11"/>
  <c r="AB128" i="11"/>
  <c r="Y124" i="11"/>
  <c r="AA125" i="11"/>
  <c r="Z124" i="11"/>
  <c r="AC128" i="11"/>
  <c r="AB125" i="11"/>
  <c r="AA124" i="11"/>
  <c r="AB129" i="11"/>
  <c r="AC129" i="11"/>
  <c r="AC125" i="11"/>
  <c r="AB124" i="11"/>
  <c r="AC124" i="11"/>
  <c r="AD106" i="11"/>
  <c r="B169" i="1"/>
  <c r="Y148" i="1"/>
  <c r="O148" i="1"/>
  <c r="N148" i="1"/>
  <c r="M148" i="1"/>
  <c r="L148" i="1"/>
  <c r="P148" i="1"/>
  <c r="W148" i="1"/>
  <c r="Z148" i="1"/>
  <c r="S148" i="1"/>
  <c r="R148" i="1"/>
  <c r="T148" i="1"/>
  <c r="D148" i="1"/>
  <c r="AB148" i="1"/>
  <c r="J148" i="1"/>
  <c r="F148" i="1"/>
  <c r="Q148" i="1"/>
  <c r="H148" i="1"/>
  <c r="K148" i="1"/>
  <c r="U148" i="1"/>
  <c r="V148" i="1"/>
  <c r="E148" i="1"/>
  <c r="AA148" i="1"/>
  <c r="G148" i="1"/>
  <c r="X148" i="1"/>
  <c r="I148" i="1"/>
  <c r="B169" i="24"/>
  <c r="H148" i="24"/>
  <c r="D148" i="24"/>
  <c r="G148" i="24"/>
  <c r="I148" i="24"/>
  <c r="F148" i="24"/>
  <c r="K148" i="24"/>
  <c r="E148" i="24"/>
  <c r="J148" i="24"/>
  <c r="L148" i="24"/>
  <c r="M148" i="24"/>
  <c r="N148" i="24"/>
  <c r="O148" i="24"/>
  <c r="P148" i="24"/>
  <c r="Q148" i="24"/>
  <c r="R148" i="24"/>
  <c r="S148" i="24"/>
  <c r="T148" i="24"/>
  <c r="U148" i="24"/>
  <c r="V148" i="24"/>
  <c r="W148" i="24"/>
  <c r="X148" i="24"/>
  <c r="Y148" i="24"/>
  <c r="Z148" i="24"/>
  <c r="AA148" i="24"/>
  <c r="AB148" i="24"/>
  <c r="L127" i="11" l="1"/>
  <c r="AC127" i="11"/>
  <c r="AB127" i="11"/>
  <c r="AA127" i="11"/>
  <c r="Y127" i="11"/>
  <c r="W127" i="11"/>
  <c r="V127" i="11"/>
  <c r="U127" i="11"/>
  <c r="R127" i="11"/>
  <c r="Q127" i="11"/>
  <c r="J127" i="11"/>
  <c r="K127" i="11"/>
  <c r="Y122" i="11"/>
  <c r="G127" i="11"/>
  <c r="G122" i="11"/>
  <c r="L122" i="11"/>
  <c r="L121" i="11" s="1"/>
  <c r="AB122" i="11"/>
  <c r="J122" i="11"/>
  <c r="P122" i="11"/>
  <c r="I122" i="11"/>
  <c r="F127" i="11"/>
  <c r="F121" i="11" s="1"/>
  <c r="E127" i="11"/>
  <c r="E121" i="11" s="1"/>
  <c r="Z122" i="11"/>
  <c r="W122" i="11"/>
  <c r="R122" i="11"/>
  <c r="N122" i="11"/>
  <c r="N121" i="11" s="1"/>
  <c r="H122" i="11"/>
  <c r="H121" i="11" s="1"/>
  <c r="O167" i="24"/>
  <c r="Y167" i="24"/>
  <c r="L168" i="24"/>
  <c r="T168" i="24"/>
  <c r="AB168" i="24"/>
  <c r="O169" i="24"/>
  <c r="W169" i="24"/>
  <c r="J170" i="24"/>
  <c r="T170" i="24"/>
  <c r="AB170" i="24"/>
  <c r="H167" i="24"/>
  <c r="L167" i="24"/>
  <c r="P167" i="24"/>
  <c r="T167" i="24"/>
  <c r="X167" i="24"/>
  <c r="AB167" i="24"/>
  <c r="K168" i="24"/>
  <c r="O168" i="24"/>
  <c r="S168" i="24"/>
  <c r="W168" i="24"/>
  <c r="AA168" i="24"/>
  <c r="J169" i="24"/>
  <c r="N169" i="24"/>
  <c r="R169" i="24"/>
  <c r="V169" i="24"/>
  <c r="Z169" i="24"/>
  <c r="I170" i="24"/>
  <c r="M170" i="24"/>
  <c r="Q170" i="24"/>
  <c r="U170" i="24"/>
  <c r="Y170" i="24"/>
  <c r="G167" i="24"/>
  <c r="G171" i="24"/>
  <c r="M167" i="24"/>
  <c r="S167" i="24"/>
  <c r="AA167" i="24"/>
  <c r="N168" i="24"/>
  <c r="V168" i="24"/>
  <c r="I169" i="24"/>
  <c r="Q169" i="24"/>
  <c r="Y169" i="24"/>
  <c r="L170" i="24"/>
  <c r="R170" i="24"/>
  <c r="Z170" i="24"/>
  <c r="I167" i="24"/>
  <c r="U167" i="24"/>
  <c r="H168" i="24"/>
  <c r="P168" i="24"/>
  <c r="X168" i="24"/>
  <c r="K169" i="24"/>
  <c r="S169" i="24"/>
  <c r="AA169" i="24"/>
  <c r="N170" i="24"/>
  <c r="X170" i="24"/>
  <c r="G170" i="24"/>
  <c r="J167" i="24"/>
  <c r="N167" i="24"/>
  <c r="R167" i="24"/>
  <c r="V167" i="24"/>
  <c r="Z167" i="24"/>
  <c r="I168" i="24"/>
  <c r="M168" i="24"/>
  <c r="Q168" i="24"/>
  <c r="U168" i="24"/>
  <c r="Y168" i="24"/>
  <c r="H169" i="24"/>
  <c r="L169" i="24"/>
  <c r="P169" i="24"/>
  <c r="T169" i="24"/>
  <c r="X169" i="24"/>
  <c r="AB169" i="24"/>
  <c r="K170" i="24"/>
  <c r="O170" i="24"/>
  <c r="S170" i="24"/>
  <c r="W170" i="24"/>
  <c r="AA170" i="24"/>
  <c r="G169" i="24"/>
  <c r="K167" i="24"/>
  <c r="Q167" i="24"/>
  <c r="W167" i="24"/>
  <c r="J168" i="24"/>
  <c r="R168" i="24"/>
  <c r="Z168" i="24"/>
  <c r="M169" i="24"/>
  <c r="U169" i="24"/>
  <c r="H170" i="24"/>
  <c r="P170" i="24"/>
  <c r="V170" i="24"/>
  <c r="G168" i="24"/>
  <c r="D171" i="24"/>
  <c r="F171" i="24"/>
  <c r="C171" i="24"/>
  <c r="E171" i="24"/>
  <c r="I171" i="24"/>
  <c r="H171" i="24"/>
  <c r="K171" i="24"/>
  <c r="J171" i="24"/>
  <c r="L171" i="24"/>
  <c r="M171" i="24"/>
  <c r="N171" i="24"/>
  <c r="O171" i="24"/>
  <c r="P171" i="24"/>
  <c r="Q171" i="24"/>
  <c r="R171" i="24"/>
  <c r="T171" i="24"/>
  <c r="S171" i="24"/>
  <c r="U171" i="24"/>
  <c r="V171" i="24"/>
  <c r="W171" i="24"/>
  <c r="X171" i="24"/>
  <c r="Y171" i="24"/>
  <c r="AB171" i="24"/>
  <c r="Z171" i="24"/>
  <c r="AA171" i="24"/>
  <c r="E171" i="1"/>
  <c r="D171" i="1"/>
  <c r="C171" i="1"/>
  <c r="F171" i="1"/>
  <c r="G171" i="1"/>
  <c r="H171" i="1"/>
  <c r="K171" i="1"/>
  <c r="I171" i="1"/>
  <c r="J171" i="1"/>
  <c r="L171" i="1"/>
  <c r="M171" i="1"/>
  <c r="N171" i="1"/>
  <c r="O171" i="1"/>
  <c r="P171" i="1"/>
  <c r="R171" i="1"/>
  <c r="Q171" i="1"/>
  <c r="S171" i="1"/>
  <c r="T171" i="1"/>
  <c r="U171" i="1"/>
  <c r="W171" i="1"/>
  <c r="V171" i="1"/>
  <c r="X171" i="1"/>
  <c r="Y171" i="1"/>
  <c r="Z171" i="1"/>
  <c r="AA171" i="1"/>
  <c r="AB171" i="1"/>
  <c r="Z127" i="11"/>
  <c r="P127" i="11"/>
  <c r="P121" i="11" s="1"/>
  <c r="O127" i="11"/>
  <c r="M127" i="11"/>
  <c r="AA122" i="11"/>
  <c r="T122" i="11"/>
  <c r="T121" i="11" s="1"/>
  <c r="V122" i="11"/>
  <c r="U122" i="11"/>
  <c r="O122" i="11"/>
  <c r="X122" i="11"/>
  <c r="X121" i="11" s="1"/>
  <c r="I127" i="11"/>
  <c r="S122" i="11"/>
  <c r="S121" i="11" s="1"/>
  <c r="M122" i="11"/>
  <c r="Q122" i="11"/>
  <c r="AC122" i="11"/>
  <c r="AD134" i="11" s="1"/>
  <c r="K122" i="11"/>
  <c r="I121" i="11" l="1"/>
  <c r="M121" i="11"/>
  <c r="AA121" i="11"/>
  <c r="Z121" i="11"/>
  <c r="O121" i="11"/>
  <c r="G121" i="11"/>
  <c r="Y121" i="11"/>
  <c r="AB121" i="11"/>
  <c r="AC121" i="11"/>
  <c r="AD133" i="11" s="1"/>
  <c r="AD139" i="11"/>
  <c r="J121" i="11"/>
  <c r="R121" i="11"/>
  <c r="V121" i="11"/>
  <c r="K121" i="11"/>
  <c r="Q121" i="11"/>
  <c r="U121" i="11"/>
  <c r="W121" i="11"/>
  <c r="C264" i="24" l="1"/>
  <c r="C265" i="24" s="1"/>
  <c r="U264" i="24"/>
  <c r="U265" i="24" s="1"/>
  <c r="L264" i="24"/>
  <c r="L265" i="24" s="1"/>
  <c r="G264" i="24"/>
  <c r="G265" i="24" s="1"/>
  <c r="I264" i="24"/>
  <c r="I265" i="24" s="1"/>
  <c r="R264" i="24"/>
  <c r="R265" i="24" s="1"/>
  <c r="M264" i="24"/>
  <c r="M265" i="24" s="1"/>
  <c r="D264" i="24"/>
  <c r="D265" i="24" s="1"/>
  <c r="V264" i="24"/>
  <c r="V265" i="24" s="1"/>
  <c r="Q264" i="24"/>
  <c r="Q265" i="24" s="1"/>
  <c r="H264" i="24"/>
  <c r="H265" i="24" s="1"/>
  <c r="S264" i="24"/>
  <c r="S265" i="24" s="1"/>
  <c r="J264" i="24"/>
  <c r="J265" i="24" s="1"/>
  <c r="E264" i="24"/>
  <c r="E265" i="24" s="1"/>
  <c r="N264" i="24"/>
  <c r="N265" i="24" s="1"/>
  <c r="P264" i="24"/>
  <c r="P265" i="24" s="1"/>
  <c r="T264" i="24"/>
  <c r="T265" i="24" s="1"/>
  <c r="O264" i="24"/>
  <c r="O265" i="24" s="1"/>
  <c r="F264" i="24"/>
  <c r="F265" i="24" s="1"/>
  <c r="K264" i="24" l="1"/>
  <c r="K265" i="24" s="1"/>
  <c r="Z206" i="1" l="1"/>
  <c r="Z210" i="1" s="1"/>
  <c r="X206" i="1"/>
  <c r="X210" i="1" s="1"/>
  <c r="V206" i="1"/>
  <c r="V210" i="1" s="1"/>
  <c r="T206" i="1"/>
  <c r="T210" i="1" s="1"/>
  <c r="R206" i="1"/>
  <c r="R210" i="1" s="1"/>
  <c r="P206" i="1"/>
  <c r="P210" i="1" s="1"/>
  <c r="N206" i="1"/>
  <c r="N210" i="1" s="1"/>
  <c r="L206" i="1"/>
  <c r="L210" i="1" s="1"/>
  <c r="J206" i="1"/>
  <c r="J210" i="1" s="1"/>
  <c r="H206" i="1"/>
  <c r="H210" i="1" s="1"/>
  <c r="H212" i="1" s="1"/>
  <c r="F206" i="1"/>
  <c r="F210" i="1" s="1"/>
  <c r="D206" i="1"/>
  <c r="AA206" i="24"/>
  <c r="AA210" i="24" s="1"/>
  <c r="Y206" i="24"/>
  <c r="Y210" i="24" s="1"/>
  <c r="W206" i="24"/>
  <c r="W210" i="24" s="1"/>
  <c r="U206" i="24"/>
  <c r="U210" i="24" s="1"/>
  <c r="S206" i="24"/>
  <c r="S210" i="24" s="1"/>
  <c r="Q206" i="24"/>
  <c r="Q210" i="24" s="1"/>
  <c r="O206" i="24"/>
  <c r="O210" i="24" s="1"/>
  <c r="M206" i="24"/>
  <c r="M210" i="24" s="1"/>
  <c r="K206" i="24"/>
  <c r="K210" i="24" s="1"/>
  <c r="I206" i="24"/>
  <c r="I210" i="24" s="1"/>
  <c r="G206" i="24"/>
  <c r="E206" i="24"/>
  <c r="P206" i="24"/>
  <c r="P210" i="24" s="1"/>
  <c r="L206" i="24"/>
  <c r="L210" i="24" s="1"/>
  <c r="H206" i="24"/>
  <c r="D206" i="24"/>
  <c r="AA206" i="1"/>
  <c r="AA210" i="1" s="1"/>
  <c r="Y206" i="1"/>
  <c r="Y210" i="1" s="1"/>
  <c r="W206" i="1"/>
  <c r="W210" i="1" s="1"/>
  <c r="U206" i="1"/>
  <c r="U210" i="1" s="1"/>
  <c r="S206" i="1"/>
  <c r="S210" i="1" s="1"/>
  <c r="Q206" i="1"/>
  <c r="Q210" i="1" s="1"/>
  <c r="O206" i="1"/>
  <c r="O210" i="1" s="1"/>
  <c r="M206" i="1"/>
  <c r="M210" i="1" s="1"/>
  <c r="K206" i="1"/>
  <c r="K210" i="1" s="1"/>
  <c r="I206" i="1"/>
  <c r="I210" i="1" s="1"/>
  <c r="G206" i="1"/>
  <c r="E206" i="1"/>
  <c r="Z206" i="24"/>
  <c r="Z210" i="24" s="1"/>
  <c r="X206" i="24"/>
  <c r="X210" i="24" s="1"/>
  <c r="V206" i="24"/>
  <c r="V210" i="24" s="1"/>
  <c r="T206" i="24"/>
  <c r="T210" i="24" s="1"/>
  <c r="R206" i="24"/>
  <c r="R210" i="24" s="1"/>
  <c r="N206" i="24"/>
  <c r="N210" i="24" s="1"/>
  <c r="J206" i="24"/>
  <c r="J210" i="24" s="1"/>
  <c r="F206" i="24"/>
  <c r="F210" i="24" s="1"/>
  <c r="G210" i="1" l="1"/>
  <c r="G215" i="1"/>
  <c r="F240" i="24"/>
  <c r="H210" i="24"/>
  <c r="H212" i="24" s="1"/>
  <c r="G210" i="24"/>
  <c r="G215" i="24"/>
  <c r="E210" i="1"/>
  <c r="E221" i="1"/>
  <c r="E214" i="1"/>
  <c r="D221" i="24"/>
  <c r="D210" i="24"/>
  <c r="E221" i="24"/>
  <c r="E214" i="24"/>
  <c r="E210" i="24"/>
  <c r="D210" i="1"/>
  <c r="D221" i="1"/>
  <c r="C214" i="24" l="1"/>
  <c r="B214" i="24" s="1"/>
  <c r="F214" i="24"/>
  <c r="J214" i="24"/>
  <c r="K214" i="24" s="1"/>
  <c r="C214" i="1"/>
  <c r="B214" i="1" s="1"/>
  <c r="J214" i="1"/>
  <c r="K214" i="1" s="1"/>
  <c r="F214" i="1"/>
  <c r="G240" i="24"/>
  <c r="F250" i="24"/>
  <c r="F241" i="24"/>
  <c r="R240" i="24"/>
  <c r="R241" i="24" l="1"/>
  <c r="S240" i="24"/>
  <c r="F255" i="24"/>
  <c r="F256" i="24" s="1"/>
  <c r="F251" i="24"/>
  <c r="F243" i="24"/>
  <c r="F244" i="24" s="1"/>
  <c r="F245" i="24"/>
  <c r="F246" i="24" s="1"/>
  <c r="G250" i="24"/>
  <c r="H240" i="24"/>
  <c r="G241" i="24"/>
  <c r="U240" i="24" l="1"/>
  <c r="U241" i="24" s="1"/>
  <c r="S241" i="24"/>
  <c r="G245" i="24"/>
  <c r="G246" i="24" s="1"/>
  <c r="G243" i="24"/>
  <c r="G244" i="24" s="1"/>
  <c r="G251" i="24"/>
  <c r="G255" i="24"/>
  <c r="G256" i="24" s="1"/>
  <c r="H250" i="24"/>
  <c r="I240" i="24"/>
  <c r="H241" i="24"/>
  <c r="J240" i="24" l="1"/>
  <c r="I250" i="24"/>
  <c r="L240" i="24"/>
  <c r="I241" i="24"/>
  <c r="H245" i="24"/>
  <c r="H246" i="24" s="1"/>
  <c r="H243" i="24"/>
  <c r="H244" i="24" s="1"/>
  <c r="H251" i="24"/>
  <c r="H255" i="24"/>
  <c r="H256" i="24" s="1"/>
  <c r="I243" i="24" l="1"/>
  <c r="I244" i="24" s="1"/>
  <c r="J241" i="24"/>
  <c r="I245" i="24"/>
  <c r="I246" i="24" s="1"/>
  <c r="I255" i="24"/>
  <c r="I256" i="24" s="1"/>
  <c r="I251" i="24"/>
  <c r="L251" i="24" s="1"/>
  <c r="L250" i="24"/>
  <c r="L241" i="24"/>
  <c r="N240" i="24"/>
  <c r="P240" i="24" s="1"/>
  <c r="P241" i="24" s="1"/>
  <c r="M240" i="24"/>
  <c r="N250" i="24" l="1"/>
  <c r="M250" i="24"/>
  <c r="M241" i="24"/>
  <c r="M238" i="24"/>
  <c r="M239" i="24"/>
  <c r="N241" i="24"/>
  <c r="M251" i="24"/>
  <c r="N251" i="24"/>
  <c r="M248" i="24"/>
  <c r="M249" i="24"/>
</calcChain>
</file>

<file path=xl/comments1.xml><?xml version="1.0" encoding="utf-8"?>
<comments xmlns="http://schemas.openxmlformats.org/spreadsheetml/2006/main">
  <authors>
    <author>Selva</author>
    <author>MARVIND</author>
  </authors>
  <commentList>
    <comment ref="C42" authorId="0" shapeId="0">
      <text>
        <r>
          <rPr>
            <b/>
            <sz val="8"/>
            <color indexed="81"/>
            <rFont val="Tahoma"/>
            <family val="2"/>
          </rPr>
          <t>Selva:</t>
        </r>
        <r>
          <rPr>
            <sz val="8"/>
            <color indexed="81"/>
            <rFont val="Tahoma"/>
            <family val="2"/>
          </rPr>
          <t xml:space="preserve">
10% of milk productivity long trend growth of 2% per annum
</t>
        </r>
      </text>
    </comment>
    <comment ref="A44" authorId="1" shapeId="0">
      <text>
        <r>
          <rPr>
            <b/>
            <sz val="8"/>
            <color indexed="81"/>
            <rFont val="Tahoma"/>
            <family val="2"/>
          </rPr>
          <t>MARVIND:</t>
        </r>
        <r>
          <rPr>
            <sz val="8"/>
            <color indexed="81"/>
            <rFont val="Tahoma"/>
            <family val="2"/>
          </rPr>
          <t xml:space="preserve">
First year there is a generation jump of 5% with respct to base population.</t>
        </r>
      </text>
    </comment>
    <comment ref="A88" authorId="1" shapeId="0">
      <text>
        <r>
          <rPr>
            <b/>
            <sz val="8"/>
            <color indexed="81"/>
            <rFont val="Tahoma"/>
            <family val="2"/>
          </rPr>
          <t>MARVIND:</t>
        </r>
        <r>
          <rPr>
            <sz val="8"/>
            <color indexed="81"/>
            <rFont val="Tahoma"/>
            <family val="2"/>
          </rPr>
          <t xml:space="preserve">
First year there is a generation jump of 5%</t>
        </r>
      </text>
    </comment>
    <comment ref="A118" authorId="1" shapeId="0">
      <text>
        <r>
          <rPr>
            <b/>
            <sz val="8"/>
            <color indexed="81"/>
            <rFont val="Tahoma"/>
            <family val="2"/>
          </rPr>
          <t>MARVIND:</t>
        </r>
        <r>
          <rPr>
            <sz val="8"/>
            <color indexed="81"/>
            <rFont val="Tahoma"/>
            <family val="2"/>
          </rPr>
          <t xml:space="preserve">
First year there is a generation jump of 5%</t>
        </r>
      </text>
    </comment>
  </commentList>
</comments>
</file>

<file path=xl/comments2.xml><?xml version="1.0" encoding="utf-8"?>
<comments xmlns="http://schemas.openxmlformats.org/spreadsheetml/2006/main">
  <authors>
    <author>Selva</author>
    <author>MARVIND</author>
  </authors>
  <commentList>
    <comment ref="C42" authorId="0" shapeId="0">
      <text>
        <r>
          <rPr>
            <b/>
            <sz val="8"/>
            <color indexed="81"/>
            <rFont val="Tahoma"/>
            <family val="2"/>
          </rPr>
          <t>Selva:</t>
        </r>
        <r>
          <rPr>
            <sz val="8"/>
            <color indexed="81"/>
            <rFont val="Tahoma"/>
            <family val="2"/>
          </rPr>
          <t xml:space="preserve">
10% of milk productivity long trend growth of 2% per annum
</t>
        </r>
      </text>
    </comment>
    <comment ref="A44" authorId="1" shapeId="0">
      <text>
        <r>
          <rPr>
            <b/>
            <sz val="8"/>
            <color indexed="81"/>
            <rFont val="Tahoma"/>
            <family val="2"/>
          </rPr>
          <t>MARVIND:</t>
        </r>
        <r>
          <rPr>
            <sz val="8"/>
            <color indexed="81"/>
            <rFont val="Tahoma"/>
            <family val="2"/>
          </rPr>
          <t xml:space="preserve">
First year there is a generation jump of 5% with respct to base population.</t>
        </r>
      </text>
    </comment>
    <comment ref="A88" authorId="1" shapeId="0">
      <text>
        <r>
          <rPr>
            <b/>
            <sz val="8"/>
            <color indexed="81"/>
            <rFont val="Tahoma"/>
            <family val="2"/>
          </rPr>
          <t>MARVIND:</t>
        </r>
        <r>
          <rPr>
            <sz val="8"/>
            <color indexed="81"/>
            <rFont val="Tahoma"/>
            <family val="2"/>
          </rPr>
          <t xml:space="preserve">
First year there is a generation jump of 5%</t>
        </r>
      </text>
    </comment>
    <comment ref="A118" authorId="1" shapeId="0">
      <text>
        <r>
          <rPr>
            <b/>
            <sz val="8"/>
            <color indexed="81"/>
            <rFont val="Tahoma"/>
            <family val="2"/>
          </rPr>
          <t>MARVIND:</t>
        </r>
        <r>
          <rPr>
            <sz val="8"/>
            <color indexed="81"/>
            <rFont val="Tahoma"/>
            <family val="2"/>
          </rPr>
          <t xml:space="preserve">
First year there is a generation jump of 5%</t>
        </r>
      </text>
    </comment>
  </commentList>
</comments>
</file>

<file path=xl/comments3.xml><?xml version="1.0" encoding="utf-8"?>
<comments xmlns="http://schemas.openxmlformats.org/spreadsheetml/2006/main">
  <authors>
    <author>MARVIND</author>
  </authors>
  <commentList>
    <comment ref="A55" authorId="0" shapeId="0">
      <text>
        <r>
          <rPr>
            <b/>
            <sz val="8"/>
            <color indexed="81"/>
            <rFont val="Tahoma"/>
            <family val="2"/>
          </rPr>
          <t>MARVIND:</t>
        </r>
        <r>
          <rPr>
            <sz val="8"/>
            <color indexed="81"/>
            <rFont val="Tahoma"/>
            <family val="2"/>
          </rPr>
          <t xml:space="preserve">
First year there is a generation jump of 5%</t>
        </r>
      </text>
    </comment>
    <comment ref="A80" authorId="0" shapeId="0">
      <text>
        <r>
          <rPr>
            <b/>
            <sz val="8"/>
            <color indexed="81"/>
            <rFont val="Tahoma"/>
            <family val="2"/>
          </rPr>
          <t>MARVIND:</t>
        </r>
        <r>
          <rPr>
            <sz val="8"/>
            <color indexed="81"/>
            <rFont val="Tahoma"/>
            <family val="2"/>
          </rPr>
          <t xml:space="preserve">
Though CB daughetrs born to Indig. Mothers would have a higher increase in milk production in comparison to mothers. This is not accounted as it is the benefit of the crossbreeding, and not of NDSP. So, it is recommended not to account that here. </t>
        </r>
      </text>
    </comment>
    <comment ref="A100" authorId="0" shapeId="0">
      <text>
        <r>
          <rPr>
            <b/>
            <sz val="8"/>
            <color indexed="81"/>
            <rFont val="Tahoma"/>
            <family val="2"/>
          </rPr>
          <t>MARVIND:</t>
        </r>
        <r>
          <rPr>
            <sz val="8"/>
            <color indexed="81"/>
            <rFont val="Tahoma"/>
            <family val="2"/>
          </rPr>
          <t xml:space="preserve">
First year there is a generation jump of 5%</t>
        </r>
      </text>
    </comment>
    <comment ref="A130" authorId="0" shapeId="0">
      <text>
        <r>
          <rPr>
            <b/>
            <sz val="8"/>
            <color indexed="81"/>
            <rFont val="Tahoma"/>
            <family val="2"/>
          </rPr>
          <t>MARVIND:</t>
        </r>
        <r>
          <rPr>
            <sz val="8"/>
            <color indexed="81"/>
            <rFont val="Tahoma"/>
            <family val="2"/>
          </rPr>
          <t xml:space="preserve">
First year there is a generation jump of 5%</t>
        </r>
      </text>
    </comment>
  </commentList>
</comments>
</file>

<file path=xl/comments4.xml><?xml version="1.0" encoding="utf-8"?>
<comments xmlns="http://schemas.openxmlformats.org/spreadsheetml/2006/main">
  <authors>
    <author>MARVIND</author>
  </authors>
  <commentList>
    <comment ref="A46" authorId="0" shapeId="0">
      <text>
        <r>
          <rPr>
            <b/>
            <sz val="8"/>
            <color indexed="81"/>
            <rFont val="Tahoma"/>
            <family val="2"/>
          </rPr>
          <t>MARVIND:</t>
        </r>
        <r>
          <rPr>
            <sz val="8"/>
            <color indexed="81"/>
            <rFont val="Tahoma"/>
            <family val="2"/>
          </rPr>
          <t xml:space="preserve">
First year there is a generation jump of 5%</t>
        </r>
      </text>
    </comment>
    <comment ref="A91" authorId="0" shapeId="0">
      <text>
        <r>
          <rPr>
            <b/>
            <sz val="8"/>
            <color indexed="81"/>
            <rFont val="Tahoma"/>
            <family val="2"/>
          </rPr>
          <t>MARVIND:</t>
        </r>
        <r>
          <rPr>
            <sz val="8"/>
            <color indexed="81"/>
            <rFont val="Tahoma"/>
            <family val="2"/>
          </rPr>
          <t xml:space="preserve">
First year there is a generation jump of 5%</t>
        </r>
      </text>
    </comment>
    <comment ref="A121" authorId="0" shapeId="0">
      <text>
        <r>
          <rPr>
            <b/>
            <sz val="8"/>
            <color indexed="81"/>
            <rFont val="Tahoma"/>
            <family val="2"/>
          </rPr>
          <t>MARVIND:</t>
        </r>
        <r>
          <rPr>
            <sz val="8"/>
            <color indexed="81"/>
            <rFont val="Tahoma"/>
            <family val="2"/>
          </rPr>
          <t xml:space="preserve">
First year there is a generation jump of 5%
</t>
        </r>
      </text>
    </comment>
  </commentList>
</comments>
</file>

<file path=xl/sharedStrings.xml><?xml version="1.0" encoding="utf-8"?>
<sst xmlns="http://schemas.openxmlformats.org/spreadsheetml/2006/main" count="2393" uniqueCount="486">
  <si>
    <t xml:space="preserve">Breed wise Semen production, bull requirements and bull production Summary </t>
  </si>
  <si>
    <t>2008-09</t>
  </si>
  <si>
    <t>2009-10</t>
  </si>
  <si>
    <t>2010-11</t>
  </si>
  <si>
    <t>2011-12</t>
  </si>
  <si>
    <t>2012-13</t>
  </si>
  <si>
    <t>2013-14</t>
  </si>
  <si>
    <t>2014-15</t>
  </si>
  <si>
    <t>2015-16</t>
  </si>
  <si>
    <t>2016-17</t>
  </si>
  <si>
    <r>
      <t>Semen Doses to be produced (lakhs)</t>
    </r>
    <r>
      <rPr>
        <b/>
        <vertAlign val="superscript"/>
        <sz val="10"/>
        <color indexed="8"/>
        <rFont val="Bookman Old Style"/>
        <family val="1"/>
      </rPr>
      <t>1</t>
    </r>
  </si>
  <si>
    <t>Indigenous</t>
  </si>
  <si>
    <t>Exotic</t>
  </si>
  <si>
    <t>Crossbred</t>
  </si>
  <si>
    <t>Buffaloes</t>
  </si>
  <si>
    <t>Total (29 Stations)</t>
  </si>
  <si>
    <r>
      <t>Bulls required for Semen Collection (Nos.)</t>
    </r>
    <r>
      <rPr>
        <b/>
        <vertAlign val="superscript"/>
        <sz val="10"/>
        <color indexed="8"/>
        <rFont val="Bookman Old Style"/>
        <family val="1"/>
      </rPr>
      <t>2</t>
    </r>
  </si>
  <si>
    <t xml:space="preserve">Total </t>
  </si>
  <si>
    <r>
      <t>Bulls required for replacement (Nos.)</t>
    </r>
    <r>
      <rPr>
        <b/>
        <vertAlign val="superscript"/>
        <sz val="10"/>
        <color indexed="8"/>
        <rFont val="Bookman Old Style"/>
        <family val="1"/>
      </rPr>
      <t>3</t>
    </r>
  </si>
  <si>
    <r>
      <t>Bulls produced from NDDB bull production programmes</t>
    </r>
    <r>
      <rPr>
        <b/>
        <vertAlign val="superscript"/>
        <sz val="10"/>
        <color indexed="8"/>
        <rFont val="Bookman Old Style"/>
        <family val="1"/>
      </rPr>
      <t>4</t>
    </r>
  </si>
  <si>
    <t>Programme</t>
  </si>
  <si>
    <t>Indig. Breed Dvlpmt</t>
  </si>
  <si>
    <t>PT</t>
  </si>
  <si>
    <t>Imports</t>
  </si>
  <si>
    <t>Total (NDDB)</t>
  </si>
  <si>
    <t>Other Agencies</t>
  </si>
  <si>
    <t>APLDA/ KLDB/ BAIF</t>
  </si>
  <si>
    <t>HLDB/ PLDB</t>
  </si>
  <si>
    <t>Grand Total</t>
  </si>
  <si>
    <t xml:space="preserve">% of Semen produced from Bulls from </t>
  </si>
  <si>
    <t>NDDB</t>
  </si>
  <si>
    <t>Total</t>
  </si>
  <si>
    <t>Note</t>
  </si>
  <si>
    <r>
      <t xml:space="preserve">1 </t>
    </r>
    <r>
      <rPr>
        <sz val="8"/>
        <color indexed="8"/>
        <rFont val="Bookman Old Style"/>
        <family val="1"/>
      </rPr>
      <t>Station wise semen production in Annex 1</t>
    </r>
  </si>
  <si>
    <r>
      <t xml:space="preserve">2 </t>
    </r>
    <r>
      <rPr>
        <sz val="8"/>
        <color indexed="8"/>
        <rFont val="Bookman Old Style"/>
        <family val="1"/>
      </rPr>
      <t>Station wise bulls required for semen collection in Annex 2</t>
    </r>
  </si>
  <si>
    <r>
      <t xml:space="preserve">3 </t>
    </r>
    <r>
      <rPr>
        <sz val="8"/>
        <color indexed="8"/>
        <rFont val="Bookman Old Style"/>
        <family val="1"/>
      </rPr>
      <t>Station wise bulls required for replacement in Annex 3</t>
    </r>
  </si>
  <si>
    <r>
      <t xml:space="preserve">4 </t>
    </r>
    <r>
      <rPr>
        <sz val="8"/>
        <color indexed="8"/>
        <rFont val="Bookman Old Style"/>
        <family val="1"/>
      </rPr>
      <t>Programme wise bulls produced from Bull Production programmes in Annex 4</t>
    </r>
  </si>
  <si>
    <t>Semen prodcued by Bulls (produced from NDDB programmes)</t>
  </si>
  <si>
    <t>% Semen (produced from NDDB programmes)</t>
  </si>
  <si>
    <t>Semen prodcued by Bulls (produced by other Agencies)</t>
  </si>
  <si>
    <t>% Semen (produced frm bulls of other Agenices)</t>
  </si>
  <si>
    <t>Semen prodcued by Bulls (produced by NDDB &amp; other Agencies)</t>
  </si>
  <si>
    <t>% Semen (produced frm bulls of NDDB and other Agenices)</t>
  </si>
  <si>
    <t>Conception rate</t>
  </si>
  <si>
    <t>Inter-Calving period</t>
  </si>
  <si>
    <t>Difference</t>
  </si>
  <si>
    <t xml:space="preserve">AI Nos. </t>
  </si>
  <si>
    <t>Unit</t>
  </si>
  <si>
    <t>2017-18</t>
  </si>
  <si>
    <t>2018-19</t>
  </si>
  <si>
    <t>Assumptions</t>
  </si>
  <si>
    <t>litres</t>
  </si>
  <si>
    <t>Age at first calving</t>
  </si>
  <si>
    <t>years</t>
  </si>
  <si>
    <t>Nos</t>
  </si>
  <si>
    <t xml:space="preserve">'000 Tonnes </t>
  </si>
  <si>
    <t>Lakhs</t>
  </si>
  <si>
    <t>Incremental milk production due to higher genetic potential of daughters</t>
  </si>
  <si>
    <t>lakh Doses</t>
  </si>
  <si>
    <t>Semen produced from NDSP bulls</t>
  </si>
  <si>
    <t>Semen produced in NDSP semen stations and from NDSP bulls</t>
  </si>
  <si>
    <t>Semen produced by non-NDSP semen stations but from NDSP bulls</t>
  </si>
  <si>
    <t>All semen doses produced are used in AI services in the same year, neglecting wastage</t>
  </si>
  <si>
    <t>Strengethening and establishment of semen stations lead to improvement in quality of semen production and increase in semen production.</t>
  </si>
  <si>
    <t>Breed</t>
  </si>
  <si>
    <t>Murrah</t>
  </si>
  <si>
    <t>Mehsana</t>
  </si>
  <si>
    <t>Punjab</t>
  </si>
  <si>
    <t>Rathi</t>
  </si>
  <si>
    <t>Tharparkar</t>
  </si>
  <si>
    <t>Kankrej</t>
  </si>
  <si>
    <t>AI done by non-NDSP AI centres</t>
  </si>
  <si>
    <t>Semen from genetically superior quality bulls would have an impact on the increase in conception rate and birth of daughters with higher genetic potential for milk production</t>
  </si>
  <si>
    <t>Parameter</t>
  </si>
  <si>
    <t>With NDSP</t>
  </si>
  <si>
    <t>Without NDSP</t>
  </si>
  <si>
    <t>Import of 400 bulls</t>
  </si>
  <si>
    <t>No. of lactations per animal</t>
  </si>
  <si>
    <t>Calving rate over pregnancy</t>
  </si>
  <si>
    <t>female calves alive rate</t>
  </si>
  <si>
    <t>Animals calved successfully</t>
  </si>
  <si>
    <t>AI done by NDSP AI centres</t>
  </si>
  <si>
    <t xml:space="preserve">Semen produced from NDSP bulls </t>
  </si>
  <si>
    <t xml:space="preserve">Semen produced from NDSP bulls in NDSP assisted semen stations </t>
  </si>
  <si>
    <t xml:space="preserve">Programme wise Bulls produced from planned Bull Production Programmes </t>
  </si>
  <si>
    <t>Sno</t>
  </si>
  <si>
    <t>PT Project</t>
  </si>
  <si>
    <t>09-10</t>
  </si>
  <si>
    <t>10-11</t>
  </si>
  <si>
    <t>11-12</t>
  </si>
  <si>
    <t>12-13</t>
  </si>
  <si>
    <t>13-14</t>
  </si>
  <si>
    <t>14-15</t>
  </si>
  <si>
    <t>15-16</t>
  </si>
  <si>
    <t>16-17</t>
  </si>
  <si>
    <t>KMF PT</t>
  </si>
  <si>
    <t>Exotic HF</t>
  </si>
  <si>
    <t>SAG PT</t>
  </si>
  <si>
    <t>CB HF</t>
  </si>
  <si>
    <t>Banas Union PT</t>
  </si>
  <si>
    <t>Mehsana Union PT</t>
  </si>
  <si>
    <t>UP Meerut PT</t>
  </si>
  <si>
    <t>Haryana PT</t>
  </si>
  <si>
    <t>TCMPF PT</t>
  </si>
  <si>
    <t>CB Jersey</t>
  </si>
  <si>
    <t>Punjab PT</t>
  </si>
  <si>
    <t>Rathi breed</t>
  </si>
  <si>
    <t>Tharparkar breed</t>
  </si>
  <si>
    <t>Kankrej breed</t>
  </si>
  <si>
    <t>HF Calf rearing station, Jallandhar</t>
  </si>
  <si>
    <t>Exotic Jersey</t>
  </si>
  <si>
    <t>Breed-wise Bulls produced</t>
  </si>
  <si>
    <t>Breeds</t>
  </si>
  <si>
    <t>Breed-wise Bulls under collection (produced from NDDB Bull production Programmes)</t>
  </si>
  <si>
    <t>Semen/ bull</t>
  </si>
  <si>
    <t>Breed-wise Semen produced by Bulls (produced from NDDB Bull production Programmes)</t>
  </si>
  <si>
    <t>Total (NDSP)</t>
  </si>
  <si>
    <t>Sub-Total (NDSP)</t>
  </si>
  <si>
    <t>Value</t>
  </si>
  <si>
    <t>Highlights of AI delivery system</t>
  </si>
  <si>
    <t>Daughters born</t>
  </si>
  <si>
    <t>2019-20</t>
  </si>
  <si>
    <t>2020-21</t>
  </si>
  <si>
    <t>2021-22</t>
  </si>
  <si>
    <t>2022-23</t>
  </si>
  <si>
    <t>2023-24</t>
  </si>
  <si>
    <t>2024-25</t>
  </si>
  <si>
    <t>2025-26</t>
  </si>
  <si>
    <t>Nos.</t>
  </si>
  <si>
    <t>Highlights of Semen Production</t>
  </si>
  <si>
    <t>Highlights of Bull Production</t>
  </si>
  <si>
    <t>Semen production</t>
  </si>
  <si>
    <t>AI delivery (incl. LN delivery)</t>
  </si>
  <si>
    <t>Bull Production (PT, Breed Dvlpmt. &amp; Imports)</t>
  </si>
  <si>
    <t>Indig. Cattle</t>
  </si>
  <si>
    <t>CB Cattle</t>
  </si>
  <si>
    <t>Breed-wise Composition of AI done</t>
  </si>
  <si>
    <t>%</t>
  </si>
  <si>
    <t>AI Nos.</t>
  </si>
  <si>
    <t>Impact of Increase in Conception rate</t>
  </si>
  <si>
    <t>Impact of better genetics</t>
  </si>
  <si>
    <t>INDIGENOUS COWS</t>
  </si>
  <si>
    <t>CROSSBRED COWS</t>
  </si>
  <si>
    <t>BUFFALOES</t>
  </si>
  <si>
    <t>Better genetics</t>
  </si>
  <si>
    <t>Total (AI delivery)</t>
  </si>
  <si>
    <t>Source</t>
  </si>
  <si>
    <t>NDDB project records - Kankrej</t>
  </si>
  <si>
    <t>Expert opinion</t>
  </si>
  <si>
    <t xml:space="preserve">% AI done on </t>
  </si>
  <si>
    <t>CB</t>
  </si>
  <si>
    <t>Indig</t>
  </si>
  <si>
    <t>Buff</t>
  </si>
  <si>
    <t>used on cattle</t>
  </si>
  <si>
    <t>Avg. Conception rate</t>
  </si>
  <si>
    <t>Indig. Daughters born</t>
  </si>
  <si>
    <t>CB Daughters born</t>
  </si>
  <si>
    <t>Daughters (Indig. Cattle) born to Indig. Cattle</t>
  </si>
  <si>
    <t>Daughters (CB Cattle) born to Indig. Cattle</t>
  </si>
  <si>
    <t>Incrmntl. Milk production due to higher genetic Indig. daughters</t>
  </si>
  <si>
    <t>Incrmtl. Milk production due to CB daughters</t>
  </si>
  <si>
    <t>Incrmntl. Milk production due to better genetics</t>
  </si>
  <si>
    <t>AI done from these semen doses</t>
  </si>
  <si>
    <t>Benefits due to AI delivery system</t>
  </si>
  <si>
    <t>NDDB internal sources; and expert opinion</t>
  </si>
  <si>
    <t>Frozen Semen Production trend (2008-09)</t>
  </si>
  <si>
    <t>lakhs</t>
  </si>
  <si>
    <t>2027-28</t>
  </si>
  <si>
    <t>2028-29</t>
  </si>
  <si>
    <t>2029-30</t>
  </si>
  <si>
    <t>2030-31</t>
  </si>
  <si>
    <t>2031-32</t>
  </si>
  <si>
    <t>2032-33</t>
  </si>
  <si>
    <t>2033-34</t>
  </si>
  <si>
    <t>2034-35</t>
  </si>
  <si>
    <t>2035-36</t>
  </si>
  <si>
    <t>2036-37</t>
  </si>
  <si>
    <t>2037-38</t>
  </si>
  <si>
    <t>Anuual Increase in milk yield</t>
  </si>
  <si>
    <t>Avg. lactation yield as on Year 2008</t>
  </si>
  <si>
    <t>Year wise Avg. lactation yield of Indig. Daughters</t>
  </si>
  <si>
    <t>Increase in lactation yield of Indig, daughters with respect to base population</t>
  </si>
  <si>
    <t>Indig. Daughters calved &amp; in milk</t>
  </si>
  <si>
    <t xml:space="preserve">Incrmntl Milk production Matrix </t>
  </si>
  <si>
    <t>1st lactation</t>
  </si>
  <si>
    <t>2nd lactation</t>
  </si>
  <si>
    <t>3rd lactation</t>
  </si>
  <si>
    <t>4th lactation</t>
  </si>
  <si>
    <t>5th lactation</t>
  </si>
  <si>
    <t>CB Daughters calved &amp; in-milk</t>
  </si>
  <si>
    <t>Year wise Avg. lactation yield of CB Daughters</t>
  </si>
  <si>
    <t>Increase in lactation yield of CB daughters with respect to base population</t>
  </si>
  <si>
    <t>Daughters calved &amp; in milk</t>
  </si>
  <si>
    <t>Daughters calved &amp; in-milk</t>
  </si>
  <si>
    <t>Total (Bull Production)</t>
  </si>
  <si>
    <t>Benefits due to Bull Production</t>
  </si>
  <si>
    <t>2026-27</t>
  </si>
  <si>
    <t>66% onCB; 33% on Indig.</t>
  </si>
  <si>
    <t>Avg, Milk produced per day</t>
  </si>
  <si>
    <t>Increase in milk production due to reduction in inter-calving period per animal</t>
  </si>
  <si>
    <t xml:space="preserve">Increase in milk production due to reduction in inter-calving period </t>
  </si>
  <si>
    <t>'000 Tonnes</t>
  </si>
  <si>
    <t>Incremntl milk production due to AI &amp; LN delivery systems, semen production &amp; Bull production (INDIG. COWS)</t>
  </si>
  <si>
    <t>Incrmntl. Milk production due to AI &amp; LN delivery systems, semen production &amp; Bull production (CROSSBRED COWS)</t>
  </si>
  <si>
    <t>Increntl. milk production due to better genetics</t>
  </si>
  <si>
    <t>Incrmntl. Milk production due to AI &amp; LN delivery systems, semen production &amp; Bull production (BUFFALOES)</t>
  </si>
  <si>
    <t>Reduction in Inter-calving period</t>
  </si>
  <si>
    <t>Incremntl milk production due to semen production &amp; Bull production (INDIG. COWS)</t>
  </si>
  <si>
    <t xml:space="preserve">Incrmntl. milk production due to reduction in inter-calving period </t>
  </si>
  <si>
    <t>Incrmntl. Milk production due to semen production &amp; Bull production (CROSSBRED COWS)</t>
  </si>
  <si>
    <t>Incrmntl. Milk production due to semen production &amp; Bull production (BUFFALOES)</t>
  </si>
  <si>
    <t>Incrmntl. Milk production due to Bull production (CROSSBRED COWS)</t>
  </si>
  <si>
    <t>Incremntl milk production due to Bull production (INDIG. COWS)</t>
  </si>
  <si>
    <t>Incrmntl. Milk production due to Bull production (BUFFALOES)</t>
  </si>
  <si>
    <t>Total (Inter-calving period)</t>
  </si>
  <si>
    <t>Crore Rs</t>
  </si>
  <si>
    <t>Benefits due to reduction in Inter-calving period</t>
  </si>
  <si>
    <t>Incrmntl. Milk production</t>
  </si>
  <si>
    <t xml:space="preserve">1. Due to reduction in Inter-calving period </t>
  </si>
  <si>
    <t>2. Due to Better genetics</t>
  </si>
  <si>
    <t>Sub-Total (1)</t>
  </si>
  <si>
    <t>Sub-Total (2)</t>
  </si>
  <si>
    <t>'000 tonnes of Milk</t>
  </si>
  <si>
    <t>Grand Total (Genetic Improvement)</t>
  </si>
  <si>
    <t>Total Benefit in Tonnes of Milk - (1) + (2)</t>
  </si>
  <si>
    <t>7200 AI centres would use semen doses from semen stations strengthened or established by NDSP</t>
  </si>
  <si>
    <t>All semen doses used by these 7200 AI centres would be from bulls produced by bull production programmes funded by NDSP</t>
  </si>
  <si>
    <t xml:space="preserve">Increase in conception rate leads to a decrease in intercalving period and thus there is an increse in annual milk production. </t>
  </si>
  <si>
    <t>The project period has been assumed to be till 2036-37 for which benefits have been accounted, though NDSP would be funded in the first phase till 2016-17. The infrastructure created with respect to AI delivery, Semen stations and bull production would be available for a longer period of time.</t>
  </si>
  <si>
    <t>AI delivery programme under NDSP would have a better conception rate and also the daughters born from such inseminations would be of higher genetic potential for milk production</t>
  </si>
  <si>
    <t>Semen doses produced by semen stations funded by NDSP would lead to higher conception rate and also the daughters born from such inseminations would have higher genetic potential for milk production</t>
  </si>
  <si>
    <t>For calculating benefits due to these bull production programmes, we would have considered only semen doses produced by bulls stationed in semen stations not funded by NDSP. Semen doses produced by bulls stationed in semen stations funded by NDSP and used by AI centres funded by NDSP have already been accounted in the sheets on "AI Delivery system" and "FSP".</t>
  </si>
  <si>
    <t>Bulls produced by these projects would be available for sale to all semen stations incl. the ones funded by NDSP</t>
  </si>
  <si>
    <t>Gir</t>
  </si>
  <si>
    <t>Jaffarabadi</t>
  </si>
  <si>
    <t>AI centres (Incremental)</t>
  </si>
  <si>
    <t>Semen doses from New Semen Stations (2)</t>
  </si>
  <si>
    <t>Sr No</t>
  </si>
  <si>
    <t>KLDB</t>
  </si>
  <si>
    <t>Sunandini (CB)</t>
  </si>
  <si>
    <t>APLDA</t>
  </si>
  <si>
    <t>Haryana Govt.</t>
  </si>
  <si>
    <t>Punjab Govt,</t>
  </si>
  <si>
    <t>TNLDA</t>
  </si>
  <si>
    <t>BAIF</t>
  </si>
  <si>
    <t>UKLDA</t>
  </si>
  <si>
    <t>Bikaner</t>
  </si>
  <si>
    <t>Kutch, Gujarat/Raj.</t>
  </si>
  <si>
    <t>Banas Union</t>
  </si>
  <si>
    <t>Saurashtra, Gujarat</t>
  </si>
  <si>
    <t>Haryana</t>
  </si>
  <si>
    <t>Hariana</t>
  </si>
  <si>
    <t>Maharashtra</t>
  </si>
  <si>
    <t>Pandharpuri</t>
  </si>
  <si>
    <t>Sahiwal</t>
  </si>
  <si>
    <t>NiliRavi</t>
  </si>
  <si>
    <t xml:space="preserve">Breed-wise Bulls produced </t>
  </si>
  <si>
    <t>Breed-wise Bulls under collection (produced from Bull production Programmes)</t>
  </si>
  <si>
    <t>Breed-wise Semen produced by Bulls (produced from Bull production Programmes)</t>
  </si>
  <si>
    <t>Semen doses from strengthened SS(28)</t>
  </si>
  <si>
    <t>28 Semen Stations for strengthening</t>
  </si>
  <si>
    <t>2 New Semen Station of 10 million semen doses capacity</t>
  </si>
  <si>
    <t>Semen production under NDSP semen station</t>
  </si>
  <si>
    <t>28 Semen Stations would be strenghened and 2 new semen station would be established</t>
  </si>
  <si>
    <t>For calculating the benefits due to these 28 existing &amp; 2 new semen stations (which use increasingly more number of higher genetic bulls produced by NDSP bull production programmes), we would have considered only semen doses being used by non-NDSP AI centres. Semen doses produced by these semen stations and used by NDSP AI centres have already been accounted in the sheet on "AI Delivery system".</t>
  </si>
  <si>
    <t>Category</t>
  </si>
  <si>
    <t>SNO</t>
  </si>
  <si>
    <t>Semen Station</t>
  </si>
  <si>
    <t>ABC Salon</t>
  </si>
  <si>
    <t>SAG, Bidaj</t>
  </si>
  <si>
    <t>Rohtak</t>
  </si>
  <si>
    <t>New (Pb/GJ)</t>
  </si>
  <si>
    <t>New (TN)</t>
  </si>
  <si>
    <t>Coop</t>
  </si>
  <si>
    <t>Bassi</t>
  </si>
  <si>
    <t>Bhatian</t>
  </si>
  <si>
    <t>Amul</t>
  </si>
  <si>
    <t>Banas</t>
  </si>
  <si>
    <t>Nandini</t>
  </si>
  <si>
    <t xml:space="preserve">NJF, Ooty </t>
  </si>
  <si>
    <t>Private/ NGO</t>
  </si>
  <si>
    <t>GoI</t>
  </si>
  <si>
    <t>CFSP&amp;TI</t>
  </si>
  <si>
    <t>State Govts.</t>
  </si>
  <si>
    <t>Banavasi</t>
  </si>
  <si>
    <t>Nandyal</t>
  </si>
  <si>
    <t>Vizag</t>
  </si>
  <si>
    <t>Anjora</t>
  </si>
  <si>
    <t>Palampur</t>
  </si>
  <si>
    <t>Dhoni</t>
  </si>
  <si>
    <t>Mattupatty</t>
  </si>
  <si>
    <t>Kulathupuzha</t>
  </si>
  <si>
    <t>Cuttack</t>
  </si>
  <si>
    <t>Nabha</t>
  </si>
  <si>
    <t>Echenkottai</t>
  </si>
  <si>
    <t>DLF-Ooty</t>
  </si>
  <si>
    <t>Rishikesh</t>
  </si>
  <si>
    <t>Beldanga</t>
  </si>
  <si>
    <t>Haringhata</t>
  </si>
  <si>
    <t>Salboni</t>
  </si>
  <si>
    <t>Strengthening of semen Station-Semen Station wise Frozen Semen production (lakh doses)</t>
  </si>
  <si>
    <t>New Semen Station Semen Production (In Lakh Doses)</t>
  </si>
  <si>
    <t>Benefits due to NDPSS-Non-NDP bulls</t>
  </si>
  <si>
    <t>AI, FSP &amp; Bull production (All 3 from NDP)</t>
  </si>
  <si>
    <t>FSP &amp; Bull production (NDP bulls in NDP semen station but Non NDP AI)</t>
  </si>
  <si>
    <t>NDP SS+Non NDP bulls(Non-NDP bulls in NDP semen station but non-NDP AI)</t>
  </si>
  <si>
    <t>Bull production Programme(NDP bulls in non-NDP semen station and Non-NDP AI)</t>
  </si>
  <si>
    <t>Phase-I (10)</t>
  </si>
  <si>
    <t>Phase-II (9)</t>
  </si>
  <si>
    <t>Phase-III(9)</t>
  </si>
  <si>
    <t>Highlights of NDPSS and Non-NDP bulls.</t>
  </si>
  <si>
    <t xml:space="preserve"> </t>
  </si>
  <si>
    <t>NDSP - bulls, NDSP-SS and NDSP-AI</t>
  </si>
  <si>
    <t>NDSP-Bulls, NDSP-SS, and non-NDSP-AI</t>
  </si>
  <si>
    <t>NDSP-Bulls, Non-NDSP-SS and Non-NDSP-AI</t>
  </si>
  <si>
    <t>Non-NDSP - Bulls, NDSP- SS and Non-NDSP-AI</t>
  </si>
  <si>
    <t>Impact of Genetic Improvement programme under NDSP</t>
  </si>
  <si>
    <t xml:space="preserve">3000 AI centres to be newly established </t>
  </si>
  <si>
    <t>Cross Bred Cows</t>
  </si>
  <si>
    <t>Boffaloes</t>
  </si>
  <si>
    <t>CrossBred cows</t>
  </si>
  <si>
    <t>Indigenous Cows</t>
  </si>
  <si>
    <t>Indigenous-indigenous</t>
  </si>
  <si>
    <t>Indigenous-Crossbred</t>
  </si>
  <si>
    <t>3000 AI centres would use semen doses from semen stations strengthened or established by NDSP</t>
  </si>
  <si>
    <t>All semen doses used by these 3000 AI centres would be from bulls produced by bull production programmes funded by NDSP</t>
  </si>
  <si>
    <t>All semen doses produced by these semen stations would be from bulls produced by bull production programmes funded by NDSP</t>
  </si>
  <si>
    <t>Avg. lactation yield</t>
  </si>
  <si>
    <t xml:space="preserve">Avg. lactation yield </t>
  </si>
  <si>
    <t>Semen doses produced by them would be available for sale across the country, incl. 3000 AI centres that are getting established under NDSP.</t>
  </si>
  <si>
    <r>
      <t xml:space="preserve">MINUTES OF THE MEETING OF THE TECHNICAL COMMITTEE OF DIRECTION FOR IMPROVEMENT OF ANIMAL HUSBANDRY AND DAIRYING STATISTICS UNDER THE CHAIRMANSHIP OF SHRI S.K. DAS, DIRECTOR GENERAL (DG), CENTRAL STATISTICAL ORGANISATION (CSO) HELD DURING 4 th -5th OCTOBER, 2010 AT AGARTALA, TRIPURA : </t>
    </r>
    <r>
      <rPr>
        <i/>
        <sz val="9"/>
        <color indexed="8"/>
        <rFont val="Bookman Old Style"/>
        <family val="1"/>
      </rPr>
      <t>Source : http://dahd.nic.in/</t>
    </r>
  </si>
  <si>
    <t xml:space="preserve">References for Genetic Progress:
1.   Rendel J M and Robertson A. 1950 J. Genetics 50, 1-8;         2.   Cunningham. E.P 1979, The importance of continuous genetic progress in adapted breeds. Report of the FAO Expert Consultation on Dairy Cattle Breeding in the Humid Tropics; pp 35-41, FAO Rome;      3.   Van Vleck L D 1981 In: New Technology in Animal Breeding 221-242; Acad. Press London;     4.   I.L. Mason and V. Buvauendran, 1982. Breeding plans for ruminant livestock in the tropics – FAO (1982) (Chapter 1.1.2 Improvement within breeds);    5.   Smith C., 1988 – Application of embryo transfer in Animal breeding. Theriogenology 29, 1, 203-212;     </t>
  </si>
  <si>
    <t>Strengthening of SS phasing (28 SS)</t>
  </si>
  <si>
    <t>Existing Semen Stations (Strengthened) Semen Production (In Lakh Doses)</t>
  </si>
  <si>
    <t>Lactation Period</t>
  </si>
  <si>
    <t>Days</t>
  </si>
  <si>
    <t>days</t>
  </si>
  <si>
    <t>Rs/tonne of Milk</t>
  </si>
  <si>
    <t>Gross Margin (Weighted across animals)</t>
  </si>
  <si>
    <t>Incremental Milk Production</t>
  </si>
  <si>
    <t>Due to Reduced Intercalving Period</t>
  </si>
  <si>
    <t>Million tonnes</t>
  </si>
  <si>
    <t>Due to Better Genetics:</t>
  </si>
  <si>
    <t>Financial</t>
  </si>
  <si>
    <t>Economical</t>
  </si>
  <si>
    <t>Rs Million</t>
  </si>
  <si>
    <t>Incremental Financial Gross Margin</t>
  </si>
  <si>
    <t>Scenario-1</t>
  </si>
  <si>
    <t>Scenario-2</t>
  </si>
  <si>
    <t>Scenario-3</t>
  </si>
  <si>
    <t>WOP Yield</t>
  </si>
  <si>
    <t>ONLY Scenario-1   CONVERGENCE  AREAS  CONSIDERED</t>
  </si>
  <si>
    <t>WOP</t>
  </si>
  <si>
    <t>Yr-1</t>
  </si>
  <si>
    <t>Yr-2</t>
  </si>
  <si>
    <t>Yr-3</t>
  </si>
  <si>
    <t>Yr-4</t>
  </si>
  <si>
    <t>Yr-5</t>
  </si>
  <si>
    <t>Yr-6</t>
  </si>
  <si>
    <t>Yr-7</t>
  </si>
  <si>
    <t>Yr-8</t>
  </si>
  <si>
    <t>Yr-9</t>
  </si>
  <si>
    <t>Yr-10</t>
  </si>
  <si>
    <t>Yr-11</t>
  </si>
  <si>
    <t>Yr-12</t>
  </si>
  <si>
    <t>Yr-13</t>
  </si>
  <si>
    <t>Yr-14</t>
  </si>
  <si>
    <t>Yr-15</t>
  </si>
  <si>
    <t>Yr-16</t>
  </si>
  <si>
    <t>Yr-17</t>
  </si>
  <si>
    <t>Yr-18</t>
  </si>
  <si>
    <t>Yr-19</t>
  </si>
  <si>
    <t>Yr-20</t>
  </si>
  <si>
    <t>Yr-21</t>
  </si>
  <si>
    <t>Yr-22</t>
  </si>
  <si>
    <t>Yr-23</t>
  </si>
  <si>
    <t>Yr-24</t>
  </si>
  <si>
    <t>Yr-25</t>
  </si>
  <si>
    <t>Incremental Economic Gross Margin</t>
  </si>
  <si>
    <t>Number of Animals</t>
  </si>
  <si>
    <t>Cross Bred</t>
  </si>
  <si>
    <t>Milk yield l/d</t>
  </si>
  <si>
    <t>Benefits due to Inter calving</t>
  </si>
  <si>
    <t>000 Tonnes</t>
  </si>
  <si>
    <t>FINANCIAL</t>
  </si>
  <si>
    <t>GM  Rs/MT</t>
  </si>
  <si>
    <t>Overall  l/d</t>
  </si>
  <si>
    <t>Overall Kg/d</t>
  </si>
  <si>
    <t>Reduced Inter Calving (days)</t>
  </si>
  <si>
    <t>Better Genetics</t>
  </si>
  <si>
    <t>Lakh</t>
  </si>
  <si>
    <t>Cumulative</t>
  </si>
  <si>
    <t>Milk Production</t>
  </si>
  <si>
    <t>000 MT</t>
  </si>
  <si>
    <t>Incremental Benefits</t>
  </si>
  <si>
    <t>GM Rs/MT</t>
  </si>
  <si>
    <t>Yr-26</t>
  </si>
  <si>
    <t>Million</t>
  </si>
  <si>
    <t>Incemental</t>
  </si>
  <si>
    <t>Animals</t>
  </si>
  <si>
    <t>Production</t>
  </si>
  <si>
    <t>MT</t>
  </si>
  <si>
    <t>MT/animal</t>
  </si>
  <si>
    <r>
      <t xml:space="preserve">Productivity </t>
    </r>
    <r>
      <rPr>
        <b/>
        <sz val="10"/>
        <color rgb="FFFF0000"/>
        <rFont val="Bookman Old Style"/>
        <family val="1"/>
      </rPr>
      <t>(Lactation Yield)</t>
    </r>
  </si>
  <si>
    <t>BL</t>
  </si>
  <si>
    <t>WP</t>
  </si>
  <si>
    <t>WP/BL</t>
  </si>
  <si>
    <t>WP/WOP</t>
  </si>
  <si>
    <t>in Milk</t>
  </si>
  <si>
    <t>Incremental</t>
  </si>
  <si>
    <t>Milk Yield</t>
  </si>
  <si>
    <t>Lactation</t>
  </si>
  <si>
    <t>Change, %</t>
  </si>
  <si>
    <t>Kg</t>
  </si>
  <si>
    <t>Share</t>
  </si>
  <si>
    <t>Lactation Yield, Average (Kg)</t>
  </si>
  <si>
    <t>kg</t>
  </si>
  <si>
    <t>Productivity  Impact due to Better Genetics</t>
  </si>
  <si>
    <t>AGR</t>
  </si>
  <si>
    <t>Productivity due to Better Genetics</t>
  </si>
  <si>
    <t>Lactation Yield, MT</t>
  </si>
  <si>
    <t>Inter calving Period Benefits</t>
  </si>
  <si>
    <t>RBP Benefits</t>
  </si>
  <si>
    <t>Total Productivity Impacts</t>
  </si>
  <si>
    <t>Better Gebne</t>
  </si>
  <si>
    <t>WP_PY 6</t>
  </si>
  <si>
    <t>WP_PY 7</t>
  </si>
  <si>
    <t>WP_PY 8</t>
  </si>
  <si>
    <t>Pure Genetics</t>
  </si>
  <si>
    <t>WOP_PY-6</t>
  </si>
  <si>
    <t>RBP</t>
  </si>
  <si>
    <t>AI</t>
  </si>
  <si>
    <t>WP_PY 20</t>
  </si>
  <si>
    <t>GR over BL</t>
  </si>
  <si>
    <t>GR over WOP</t>
  </si>
  <si>
    <t>AGR over WOP</t>
  </si>
  <si>
    <t>Productivity Growth</t>
  </si>
  <si>
    <t>Milk yield (kg pd)</t>
  </si>
  <si>
    <t>PY-6</t>
  </si>
  <si>
    <t>PY-7</t>
  </si>
  <si>
    <t>PY-8</t>
  </si>
  <si>
    <t>PY-20</t>
  </si>
  <si>
    <t>PY-1</t>
  </si>
  <si>
    <t>PY-2</t>
  </si>
  <si>
    <t>PY-3</t>
  </si>
  <si>
    <t>PY-4</t>
  </si>
  <si>
    <t>PY-5</t>
  </si>
  <si>
    <t>PY-9</t>
  </si>
  <si>
    <t>PY-10</t>
  </si>
  <si>
    <t>PY-11</t>
  </si>
  <si>
    <t>PY-12</t>
  </si>
  <si>
    <t>PY-13</t>
  </si>
  <si>
    <t>PY-14</t>
  </si>
  <si>
    <t>PY-15</t>
  </si>
  <si>
    <t>PY-16</t>
  </si>
  <si>
    <t>PY-17</t>
  </si>
  <si>
    <t>PY-18</t>
  </si>
  <si>
    <t>PY-19</t>
  </si>
  <si>
    <t>Sources</t>
  </si>
  <si>
    <t>Nutrition</t>
  </si>
  <si>
    <t>Million Tonnes</t>
  </si>
  <si>
    <t>Incremental anmials</t>
  </si>
  <si>
    <t>PY-21</t>
  </si>
  <si>
    <t>PY-22</t>
  </si>
  <si>
    <t>PY-23</t>
  </si>
  <si>
    <t>PY-24</t>
  </si>
  <si>
    <t>PY-25</t>
  </si>
  <si>
    <t>PY-26</t>
  </si>
  <si>
    <t>Animals, Million</t>
  </si>
  <si>
    <t>Mill tonnes</t>
  </si>
  <si>
    <t>Mill Rs</t>
  </si>
  <si>
    <t>Genetics</t>
  </si>
  <si>
    <t>Overall</t>
  </si>
  <si>
    <t>T-1 NDSP: Impacts on Milk Productivity (kg/day/animal) for Zone.1</t>
  </si>
  <si>
    <t>With Out Project</t>
  </si>
  <si>
    <t>With Project</t>
  </si>
  <si>
    <t>Base Productivity Level</t>
  </si>
  <si>
    <t>Incremental impacts through</t>
  </si>
  <si>
    <t xml:space="preserve">     Genetic Improvement</t>
  </si>
  <si>
    <t xml:space="preserve">     AI Service by MAITs</t>
  </si>
  <si>
    <t xml:space="preserve">     Nutrition Management</t>
  </si>
  <si>
    <t>WP  Milk Productivity Growth</t>
  </si>
  <si>
    <t>Annual Growth due to:</t>
  </si>
  <si>
    <t>WP (Incremental)</t>
  </si>
  <si>
    <t>NDSP: Annual Growth in Milk Productivity during 20-year Project Life</t>
  </si>
  <si>
    <t>Sources of growth</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</si>
</sst>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 #,##0.00_);_(* \(#,##0.00\);_(* &quot;-&quot;??_);_(@_)"/>
    <numFmt numFmtId="165" formatCode="0.0"/>
    <numFmt numFmtId="166" formatCode="0.000"/>
    <numFmt numFmtId="167" formatCode="0.0%"/>
    <numFmt numFmtId="168" formatCode="0.0000"/>
    <numFmt numFmtId="169" formatCode="0.00000"/>
    <numFmt numFmtId="170" formatCode="0.000000"/>
  </numFmts>
  <fonts count="32" x14ac:knownFonts="1">
    <font>
      <sz val="11"/>
      <color theme="1"/>
      <name val="Calibri"/>
      <family val="2"/>
      <scheme val="minor"/>
    </font>
    <font>
      <b/>
      <sz val="10"/>
      <color indexed="8"/>
      <name val="Bookman Old Style"/>
      <family val="1"/>
    </font>
    <font>
      <b/>
      <vertAlign val="superscript"/>
      <sz val="10"/>
      <color indexed="8"/>
      <name val="Bookman Old Style"/>
      <family val="1"/>
    </font>
    <font>
      <sz val="8"/>
      <color indexed="8"/>
      <name val="Bookman Old Style"/>
      <family val="1"/>
    </font>
    <font>
      <b/>
      <sz val="10"/>
      <name val="Bookman Old Style"/>
      <family val="1"/>
    </font>
    <font>
      <sz val="10"/>
      <name val="Bookman Old Style"/>
      <family val="1"/>
    </font>
    <font>
      <b/>
      <sz val="11"/>
      <name val="Bookman Old Style"/>
      <family val="1"/>
    </font>
    <font>
      <sz val="8"/>
      <color indexed="81"/>
      <name val="Tahoma"/>
      <family val="2"/>
    </font>
    <font>
      <b/>
      <sz val="8"/>
      <color indexed="81"/>
      <name val="Tahoma"/>
      <family val="2"/>
    </font>
    <font>
      <b/>
      <sz val="9"/>
      <name val="Bookman Old Style"/>
      <family val="1"/>
    </font>
    <font>
      <sz val="11"/>
      <color theme="1"/>
      <name val="Calibri"/>
      <family val="2"/>
      <scheme val="minor"/>
    </font>
    <font>
      <b/>
      <sz val="11"/>
      <color theme="1"/>
      <name val="Calibri"/>
      <family val="2"/>
      <scheme val="minor"/>
    </font>
    <font>
      <sz val="10"/>
      <color theme="1"/>
      <name val="Bookman Old Style"/>
      <family val="1"/>
    </font>
    <font>
      <b/>
      <sz val="10"/>
      <color theme="1"/>
      <name val="Bookman Old Style"/>
      <family val="1"/>
    </font>
    <font>
      <vertAlign val="superscript"/>
      <sz val="8"/>
      <color theme="1"/>
      <name val="Bookman Old Style"/>
      <family val="1"/>
    </font>
    <font>
      <b/>
      <sz val="8"/>
      <color theme="1"/>
      <name val="Bookman Old Style"/>
      <family val="1"/>
    </font>
    <font>
      <sz val="8"/>
      <color theme="1"/>
      <name val="Bookman Old Style"/>
      <family val="1"/>
    </font>
    <font>
      <b/>
      <sz val="10"/>
      <color theme="0"/>
      <name val="Bookman Old Style"/>
      <family val="1"/>
    </font>
    <font>
      <b/>
      <sz val="11"/>
      <color theme="1"/>
      <name val="Bookman Old Style"/>
      <family val="1"/>
    </font>
    <font>
      <sz val="10"/>
      <color theme="0"/>
      <name val="Bookman Old Style"/>
      <family val="1"/>
    </font>
    <font>
      <sz val="9"/>
      <color theme="1"/>
      <name val="Bookman Old Style"/>
      <family val="1"/>
    </font>
    <font>
      <i/>
      <sz val="9"/>
      <color indexed="8"/>
      <name val="Bookman Old Style"/>
      <family val="1"/>
    </font>
    <font>
      <b/>
      <sz val="9"/>
      <color theme="1"/>
      <name val="Bookman Old Style"/>
      <family val="1"/>
    </font>
    <font>
      <b/>
      <sz val="10"/>
      <color rgb="FFFFFF00"/>
      <name val="Bookman Old Style"/>
      <family val="1"/>
    </font>
    <font>
      <b/>
      <sz val="10"/>
      <color rgb="FFFF0000"/>
      <name val="Bookman Old Style"/>
      <family val="1"/>
    </font>
    <font>
      <b/>
      <sz val="10"/>
      <color rgb="FF0033CC"/>
      <name val="Bookman Old Style"/>
      <family val="1"/>
    </font>
    <font>
      <sz val="9"/>
      <name val="Bookman Old Style"/>
      <family val="1"/>
    </font>
    <font>
      <sz val="10"/>
      <color rgb="FFFF0000"/>
      <name val="Bookman Old Style"/>
      <family val="1"/>
    </font>
    <font>
      <sz val="10"/>
      <color rgb="FF0033CC"/>
      <name val="Bookman Old Style"/>
      <family val="1"/>
    </font>
    <font>
      <b/>
      <sz val="12"/>
      <color rgb="FFFFFF00"/>
      <name val="Times New Roman"/>
      <family val="1"/>
    </font>
    <font>
      <sz val="9"/>
      <name val="Calibri"/>
      <family val="2"/>
      <scheme val="minor"/>
    </font>
    <font>
      <sz val="11"/>
      <color rgb="FF000000"/>
      <name val="Times New Roman"/>
      <family val="1"/>
    </font>
  </fonts>
  <fills count="15">
    <fill>
      <patternFill patternType="none"/>
    </fill>
    <fill>
      <patternFill patternType="gray125"/>
    </fill>
    <fill>
      <patternFill patternType="solid">
        <fgColor rgb="FFFFFF00"/>
        <bgColor indexed="64"/>
      </patternFill>
    </fill>
    <fill>
      <patternFill patternType="solid">
        <fgColor rgb="FFBFFAA8"/>
        <bgColor indexed="64"/>
      </patternFill>
    </fill>
    <fill>
      <patternFill patternType="solid">
        <fgColor rgb="FFFFFF99"/>
        <bgColor indexed="64"/>
      </patternFill>
    </fill>
    <fill>
      <patternFill patternType="solid">
        <fgColor rgb="FF92D050"/>
        <bgColor indexed="64"/>
      </patternFill>
    </fill>
    <fill>
      <patternFill patternType="solid">
        <fgColor theme="0"/>
        <bgColor indexed="64"/>
      </patternFill>
    </fill>
    <fill>
      <patternFill patternType="solid">
        <fgColor theme="3" tint="0.59999389629810485"/>
        <bgColor indexed="64"/>
      </patternFill>
    </fill>
    <fill>
      <patternFill patternType="solid">
        <fgColor theme="1"/>
        <bgColor indexed="64"/>
      </patternFill>
    </fill>
    <fill>
      <patternFill patternType="solid">
        <fgColor rgb="FF66FF66"/>
        <bgColor indexed="64"/>
      </patternFill>
    </fill>
    <fill>
      <patternFill patternType="solid">
        <fgColor rgb="FF00B0F0"/>
        <bgColor indexed="64"/>
      </patternFill>
    </fill>
    <fill>
      <patternFill patternType="solid">
        <fgColor rgb="FFFF99FF"/>
        <bgColor indexed="64"/>
      </patternFill>
    </fill>
    <fill>
      <patternFill patternType="solid">
        <fgColor rgb="FF00FFFF"/>
        <bgColor indexed="64"/>
      </patternFill>
    </fill>
    <fill>
      <patternFill patternType="solid">
        <fgColor theme="0" tint="-0.14999847407452621"/>
        <bgColor indexed="64"/>
      </patternFill>
    </fill>
    <fill>
      <patternFill patternType="solid">
        <fgColor rgb="FFF4FD7F"/>
        <bgColor indexed="64"/>
      </patternFill>
    </fill>
  </fills>
  <borders count="48">
    <border>
      <left/>
      <right/>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s>
  <cellStyleXfs count="4">
    <xf numFmtId="0" fontId="0" fillId="0" borderId="0"/>
    <xf numFmtId="164" fontId="10" fillId="0" borderId="0" applyFont="0" applyFill="0" applyBorder="0" applyAlignment="0" applyProtection="0"/>
    <xf numFmtId="0" fontId="5" fillId="0" borderId="0"/>
    <xf numFmtId="9" fontId="10" fillId="0" borderId="0" applyFont="0" applyFill="0" applyBorder="0" applyAlignment="0" applyProtection="0"/>
  </cellStyleXfs>
  <cellXfs count="451">
    <xf numFmtId="0" fontId="0" fillId="0" borderId="0" xfId="0"/>
    <xf numFmtId="0" fontId="12" fillId="0" borderId="0" xfId="0" applyFont="1"/>
    <xf numFmtId="0" fontId="12" fillId="0" borderId="1" xfId="0" applyFont="1" applyBorder="1"/>
    <xf numFmtId="0" fontId="12" fillId="0" borderId="0" xfId="0" applyFont="1" applyBorder="1"/>
    <xf numFmtId="0" fontId="12" fillId="0" borderId="2" xfId="0" applyFont="1" applyBorder="1"/>
    <xf numFmtId="0" fontId="12" fillId="0" borderId="3" xfId="0" applyFont="1" applyBorder="1"/>
    <xf numFmtId="16" fontId="13" fillId="0" borderId="4" xfId="0" applyNumberFormat="1" applyFont="1" applyBorder="1" applyAlignment="1">
      <alignment horizontal="left" vertical="center"/>
    </xf>
    <xf numFmtId="0" fontId="1" fillId="0" borderId="4" xfId="0" applyFont="1" applyFill="1" applyBorder="1" applyAlignment="1">
      <alignment horizontal="center" vertical="center"/>
    </xf>
    <xf numFmtId="0" fontId="1" fillId="0" borderId="5" xfId="0" applyFont="1" applyFill="1" applyBorder="1" applyAlignment="1">
      <alignment horizontal="center" vertical="center"/>
    </xf>
    <xf numFmtId="0" fontId="13" fillId="0" borderId="6" xfId="0" applyFont="1" applyBorder="1" applyAlignment="1">
      <alignment horizontal="left" vertical="center"/>
    </xf>
    <xf numFmtId="0" fontId="12" fillId="0" borderId="7" xfId="0" applyFont="1" applyBorder="1" applyAlignment="1">
      <alignment vertical="center" wrapText="1"/>
    </xf>
    <xf numFmtId="1" fontId="12" fillId="0" borderId="7" xfId="0" applyNumberFormat="1" applyFont="1" applyBorder="1"/>
    <xf numFmtId="1" fontId="12" fillId="0" borderId="8" xfId="0" applyNumberFormat="1" applyFont="1" applyBorder="1"/>
    <xf numFmtId="0" fontId="12" fillId="0" borderId="6" xfId="0" applyFont="1" applyBorder="1" applyAlignment="1">
      <alignment vertical="center" wrapText="1"/>
    </xf>
    <xf numFmtId="165" fontId="12" fillId="0" borderId="7" xfId="0" applyNumberFormat="1" applyFont="1" applyBorder="1" applyAlignment="1">
      <alignment vertical="center" wrapText="1"/>
    </xf>
    <xf numFmtId="165" fontId="12" fillId="0" borderId="8" xfId="0" applyNumberFormat="1" applyFont="1" applyBorder="1"/>
    <xf numFmtId="0" fontId="13" fillId="0" borderId="6" xfId="0" applyFont="1" applyBorder="1" applyAlignment="1">
      <alignment vertical="center" wrapText="1"/>
    </xf>
    <xf numFmtId="165" fontId="13" fillId="0" borderId="7" xfId="0" applyNumberFormat="1" applyFont="1" applyBorder="1" applyAlignment="1">
      <alignment vertical="center" wrapText="1"/>
    </xf>
    <xf numFmtId="165" fontId="13" fillId="0" borderId="8" xfId="0" applyNumberFormat="1" applyFont="1" applyBorder="1" applyAlignment="1">
      <alignment vertical="center" wrapText="1"/>
    </xf>
    <xf numFmtId="1" fontId="12" fillId="0" borderId="7" xfId="0" applyNumberFormat="1" applyFont="1" applyBorder="1" applyAlignment="1">
      <alignment vertical="center" wrapText="1"/>
    </xf>
    <xf numFmtId="1" fontId="12" fillId="0" borderId="8" xfId="0" applyNumberFormat="1" applyFont="1" applyBorder="1" applyAlignment="1">
      <alignment vertical="center" wrapText="1"/>
    </xf>
    <xf numFmtId="1" fontId="13" fillId="0" borderId="7" xfId="0" applyNumberFormat="1" applyFont="1" applyBorder="1" applyAlignment="1">
      <alignment vertical="center" wrapText="1"/>
    </xf>
    <xf numFmtId="1" fontId="13" fillId="0" borderId="8" xfId="0" applyNumberFormat="1" applyFont="1" applyBorder="1" applyAlignment="1">
      <alignment vertical="center" wrapText="1"/>
    </xf>
    <xf numFmtId="0" fontId="13" fillId="0" borderId="7" xfId="0" applyFont="1" applyBorder="1" applyAlignment="1">
      <alignment vertical="center" wrapText="1"/>
    </xf>
    <xf numFmtId="1" fontId="13" fillId="0" borderId="7" xfId="0" applyNumberFormat="1" applyFont="1" applyBorder="1"/>
    <xf numFmtId="1" fontId="13" fillId="0" borderId="8" xfId="0" applyNumberFormat="1" applyFont="1" applyBorder="1"/>
    <xf numFmtId="0" fontId="12" fillId="0" borderId="7" xfId="0" applyFont="1" applyBorder="1"/>
    <xf numFmtId="0" fontId="13" fillId="0" borderId="7" xfId="0" applyFont="1" applyBorder="1"/>
    <xf numFmtId="9" fontId="13" fillId="0" borderId="7" xfId="3" applyFont="1" applyBorder="1"/>
    <xf numFmtId="0" fontId="13" fillId="0" borderId="9" xfId="0" applyFont="1" applyBorder="1" applyAlignment="1">
      <alignment vertical="center" wrapText="1"/>
    </xf>
    <xf numFmtId="0" fontId="13" fillId="0" borderId="10" xfId="0" applyFont="1" applyBorder="1"/>
    <xf numFmtId="1" fontId="13" fillId="0" borderId="10" xfId="0" applyNumberFormat="1" applyFont="1" applyBorder="1"/>
    <xf numFmtId="1" fontId="13" fillId="0" borderId="11" xfId="0" applyNumberFormat="1" applyFont="1" applyBorder="1"/>
    <xf numFmtId="0" fontId="12" fillId="0" borderId="12" xfId="0" applyFont="1" applyBorder="1" applyAlignment="1">
      <alignment wrapText="1"/>
    </xf>
    <xf numFmtId="9" fontId="12" fillId="0" borderId="12" xfId="0" applyNumberFormat="1" applyFont="1" applyBorder="1"/>
    <xf numFmtId="9" fontId="12" fillId="0" borderId="13" xfId="0" applyNumberFormat="1" applyFont="1" applyBorder="1"/>
    <xf numFmtId="0" fontId="12" fillId="0" borderId="7" xfId="0" applyFont="1" applyBorder="1" applyAlignment="1">
      <alignment wrapText="1"/>
    </xf>
    <xf numFmtId="9" fontId="12" fillId="0" borderId="7" xfId="0" applyNumberFormat="1" applyFont="1" applyBorder="1"/>
    <xf numFmtId="9" fontId="12" fillId="0" borderId="8" xfId="0" applyNumberFormat="1" applyFont="1" applyBorder="1"/>
    <xf numFmtId="0" fontId="13" fillId="0" borderId="10" xfId="0" applyFont="1" applyBorder="1" applyAlignment="1">
      <alignment wrapText="1"/>
    </xf>
    <xf numFmtId="9" fontId="13" fillId="0" borderId="10" xfId="0" applyNumberFormat="1" applyFont="1" applyBorder="1"/>
    <xf numFmtId="9" fontId="13" fillId="0" borderId="11" xfId="0" applyNumberFormat="1" applyFont="1" applyBorder="1"/>
    <xf numFmtId="0" fontId="13" fillId="0" borderId="0" xfId="0" applyFont="1" applyBorder="1" applyAlignment="1">
      <alignment horizontal="left" wrapText="1"/>
    </xf>
    <xf numFmtId="0" fontId="13" fillId="0" borderId="0" xfId="0" applyFont="1" applyBorder="1" applyAlignment="1">
      <alignment horizontal="center" wrapText="1"/>
    </xf>
    <xf numFmtId="9" fontId="13" fillId="0" borderId="0" xfId="0" applyNumberFormat="1" applyFont="1"/>
    <xf numFmtId="0" fontId="14" fillId="0" borderId="0" xfId="0" applyFont="1" applyBorder="1" applyAlignment="1">
      <alignment horizontal="left"/>
    </xf>
    <xf numFmtId="0" fontId="15" fillId="0" borderId="0" xfId="0" applyFont="1" applyBorder="1" applyAlignment="1">
      <alignment horizontal="center" wrapText="1"/>
    </xf>
    <xf numFmtId="9" fontId="15" fillId="0" borderId="0" xfId="0" applyNumberFormat="1" applyFont="1"/>
    <xf numFmtId="0" fontId="16" fillId="0" borderId="0" xfId="0" applyFont="1"/>
    <xf numFmtId="0" fontId="12" fillId="0" borderId="0" xfId="0" applyFont="1" applyAlignment="1">
      <alignment wrapText="1"/>
    </xf>
    <xf numFmtId="1" fontId="12" fillId="0" borderId="0" xfId="0" applyNumberFormat="1" applyFont="1"/>
    <xf numFmtId="9" fontId="12" fillId="0" borderId="0" xfId="3" applyFont="1"/>
    <xf numFmtId="9" fontId="12" fillId="0" borderId="0" xfId="3" applyNumberFormat="1" applyFont="1"/>
    <xf numFmtId="0" fontId="4" fillId="0" borderId="7" xfId="0" applyFont="1" applyBorder="1" applyAlignment="1">
      <alignment horizontal="center"/>
    </xf>
    <xf numFmtId="0" fontId="13" fillId="0" borderId="0" xfId="0" applyFont="1" applyBorder="1"/>
    <xf numFmtId="0" fontId="5" fillId="0" borderId="0" xfId="0" applyFont="1" applyFill="1" applyBorder="1"/>
    <xf numFmtId="0" fontId="4" fillId="0" borderId="7" xfId="0" applyFont="1" applyFill="1" applyBorder="1"/>
    <xf numFmtId="0" fontId="4" fillId="0" borderId="7" xfId="0" quotePrefix="1" applyFont="1" applyFill="1" applyBorder="1"/>
    <xf numFmtId="0" fontId="5" fillId="0" borderId="7" xfId="0" applyFont="1" applyFill="1" applyBorder="1"/>
    <xf numFmtId="1" fontId="5" fillId="0" borderId="7" xfId="0" applyNumberFormat="1" applyFont="1" applyFill="1" applyBorder="1" applyAlignment="1">
      <alignment wrapText="1"/>
    </xf>
    <xf numFmtId="1" fontId="5" fillId="0" borderId="7" xfId="0" applyNumberFormat="1" applyFont="1" applyFill="1" applyBorder="1" applyAlignment="1">
      <alignment horizontal="right" wrapText="1"/>
    </xf>
    <xf numFmtId="0" fontId="5" fillId="0" borderId="0" xfId="0" applyFont="1" applyFill="1" applyBorder="1" applyAlignment="1">
      <alignment horizontal="right" wrapText="1"/>
    </xf>
    <xf numFmtId="1" fontId="5" fillId="0" borderId="0" xfId="0" applyNumberFormat="1" applyFont="1" applyFill="1" applyBorder="1" applyAlignment="1">
      <alignment horizontal="right" wrapText="1"/>
    </xf>
    <xf numFmtId="1" fontId="5" fillId="0" borderId="7" xfId="0" applyNumberFormat="1" applyFont="1" applyFill="1" applyBorder="1"/>
    <xf numFmtId="1" fontId="5" fillId="0" borderId="7" xfId="0" applyNumberFormat="1" applyFont="1" applyFill="1" applyBorder="1" applyAlignment="1">
      <alignment vertical="center" wrapText="1"/>
    </xf>
    <xf numFmtId="1" fontId="5" fillId="0" borderId="0" xfId="0" applyNumberFormat="1" applyFont="1" applyFill="1" applyBorder="1" applyAlignment="1">
      <alignment vertical="center" wrapText="1"/>
    </xf>
    <xf numFmtId="0" fontId="5" fillId="0" borderId="7" xfId="0" applyFont="1" applyBorder="1"/>
    <xf numFmtId="0" fontId="5" fillId="0" borderId="7" xfId="0" applyFont="1" applyFill="1" applyBorder="1" applyAlignment="1">
      <alignment wrapText="1"/>
    </xf>
    <xf numFmtId="1" fontId="4" fillId="0" borderId="7" xfId="0" applyNumberFormat="1" applyFont="1" applyFill="1" applyBorder="1"/>
    <xf numFmtId="0" fontId="4" fillId="0" borderId="0" xfId="0" applyFont="1" applyFill="1" applyBorder="1"/>
    <xf numFmtId="1" fontId="4" fillId="0" borderId="0" xfId="0" applyNumberFormat="1" applyFont="1" applyFill="1" applyBorder="1"/>
    <xf numFmtId="9" fontId="4" fillId="0" borderId="0" xfId="3" applyFont="1" applyFill="1" applyBorder="1"/>
    <xf numFmtId="166" fontId="4" fillId="0" borderId="0" xfId="0" applyNumberFormat="1" applyFont="1" applyFill="1" applyBorder="1"/>
    <xf numFmtId="1" fontId="5" fillId="0" borderId="0" xfId="0" applyNumberFormat="1" applyFont="1" applyFill="1" applyBorder="1"/>
    <xf numFmtId="9" fontId="5" fillId="0" borderId="0" xfId="0" applyNumberFormat="1" applyFont="1" applyFill="1" applyBorder="1"/>
    <xf numFmtId="9" fontId="4" fillId="0" borderId="0" xfId="3" applyNumberFormat="1" applyFont="1" applyFill="1" applyBorder="1"/>
    <xf numFmtId="0" fontId="12" fillId="0" borderId="7" xfId="0" applyFont="1" applyBorder="1" applyAlignment="1">
      <alignment horizontal="center"/>
    </xf>
    <xf numFmtId="165" fontId="12" fillId="0" borderId="7" xfId="0" applyNumberFormat="1" applyFont="1" applyBorder="1"/>
    <xf numFmtId="0" fontId="12" fillId="0" borderId="7" xfId="0" quotePrefix="1" applyFont="1" applyBorder="1"/>
    <xf numFmtId="0" fontId="13" fillId="0" borderId="7" xfId="0" applyFont="1" applyBorder="1" applyAlignment="1">
      <alignment horizontal="center" wrapText="1"/>
    </xf>
    <xf numFmtId="0" fontId="12" fillId="0" borderId="7" xfId="0" applyFont="1" applyFill="1" applyBorder="1"/>
    <xf numFmtId="0" fontId="13" fillId="0" borderId="0" xfId="0" applyFont="1" applyFill="1" applyAlignment="1">
      <alignment horizontal="center" wrapText="1"/>
    </xf>
    <xf numFmtId="0" fontId="13" fillId="0" borderId="0" xfId="0" applyFont="1" applyFill="1"/>
    <xf numFmtId="0" fontId="12" fillId="0" borderId="0" xfId="0" applyFont="1" applyFill="1" applyAlignment="1">
      <alignment wrapText="1"/>
    </xf>
    <xf numFmtId="0" fontId="12" fillId="0" borderId="0" xfId="0" applyFont="1" applyFill="1"/>
    <xf numFmtId="0" fontId="13" fillId="0" borderId="7" xfId="0" applyFont="1" applyFill="1" applyBorder="1"/>
    <xf numFmtId="9" fontId="12" fillId="0" borderId="7" xfId="0" applyNumberFormat="1" applyFont="1" applyFill="1" applyBorder="1"/>
    <xf numFmtId="0" fontId="13" fillId="0" borderId="7" xfId="0" applyFont="1" applyFill="1" applyBorder="1" applyAlignment="1">
      <alignment horizontal="center" wrapText="1"/>
    </xf>
    <xf numFmtId="0" fontId="13" fillId="0" borderId="0" xfId="0" applyFont="1" applyFill="1" applyAlignment="1">
      <alignment horizontal="center"/>
    </xf>
    <xf numFmtId="9" fontId="12" fillId="0" borderId="0" xfId="0" applyNumberFormat="1" applyFont="1" applyFill="1"/>
    <xf numFmtId="0" fontId="13" fillId="0" borderId="0" xfId="0" applyFont="1" applyFill="1" applyAlignment="1">
      <alignment wrapText="1"/>
    </xf>
    <xf numFmtId="166" fontId="13" fillId="0" borderId="0" xfId="0" applyNumberFormat="1" applyFont="1" applyFill="1"/>
    <xf numFmtId="0" fontId="13" fillId="0" borderId="7" xfId="0" applyFont="1" applyBorder="1" applyAlignment="1">
      <alignment horizontal="center"/>
    </xf>
    <xf numFmtId="0" fontId="13" fillId="0" borderId="7" xfId="0" quotePrefix="1" applyFont="1" applyBorder="1"/>
    <xf numFmtId="0" fontId="4" fillId="0" borderId="0" xfId="0" applyFont="1" applyBorder="1" applyAlignment="1">
      <alignment horizontal="center"/>
    </xf>
    <xf numFmtId="0" fontId="13" fillId="0" borderId="0" xfId="0" applyFont="1" applyBorder="1" applyAlignment="1">
      <alignment horizontal="center"/>
    </xf>
    <xf numFmtId="0" fontId="12" fillId="0" borderId="14" xfId="0" applyFont="1" applyBorder="1" applyAlignment="1">
      <alignment horizontal="center"/>
    </xf>
    <xf numFmtId="0" fontId="13" fillId="0" borderId="14" xfId="0" applyFont="1" applyBorder="1" applyAlignment="1">
      <alignment horizontal="center"/>
    </xf>
    <xf numFmtId="0" fontId="4" fillId="0" borderId="14" xfId="0" applyFont="1" applyBorder="1" applyAlignment="1">
      <alignment horizontal="center"/>
    </xf>
    <xf numFmtId="0" fontId="12" fillId="0" borderId="8" xfId="0" applyFont="1" applyBorder="1"/>
    <xf numFmtId="165" fontId="12" fillId="0" borderId="0" xfId="0" applyNumberFormat="1" applyFont="1"/>
    <xf numFmtId="165" fontId="13" fillId="0" borderId="0" xfId="0" applyNumberFormat="1" applyFont="1"/>
    <xf numFmtId="0" fontId="4" fillId="2" borderId="7" xfId="0" quotePrefix="1" applyFont="1" applyFill="1" applyBorder="1"/>
    <xf numFmtId="0" fontId="12" fillId="0" borderId="7" xfId="0" applyFont="1" applyBorder="1" applyAlignment="1">
      <alignment vertical="top"/>
    </xf>
    <xf numFmtId="0" fontId="13" fillId="0" borderId="7" xfId="0" applyFont="1" applyBorder="1" applyAlignment="1">
      <alignment vertical="top"/>
    </xf>
    <xf numFmtId="0" fontId="4" fillId="2" borderId="7" xfId="0" applyFont="1" applyFill="1" applyBorder="1" applyAlignment="1">
      <alignment horizontal="center" vertical="top"/>
    </xf>
    <xf numFmtId="0" fontId="4" fillId="0" borderId="7" xfId="0" applyFont="1" applyBorder="1" applyAlignment="1">
      <alignment horizontal="center" vertical="top"/>
    </xf>
    <xf numFmtId="0" fontId="13" fillId="0" borderId="0" xfId="0" applyFont="1" applyBorder="1" applyAlignment="1">
      <alignment vertical="top"/>
    </xf>
    <xf numFmtId="0" fontId="12" fillId="0" borderId="0" xfId="0" applyFont="1" applyBorder="1" applyAlignment="1">
      <alignment vertical="top"/>
    </xf>
    <xf numFmtId="0" fontId="13" fillId="2" borderId="0" xfId="0" applyFont="1" applyFill="1" applyBorder="1" applyAlignment="1">
      <alignment vertical="top"/>
    </xf>
    <xf numFmtId="0" fontId="5" fillId="0" borderId="0" xfId="0" applyFont="1" applyBorder="1" applyAlignment="1">
      <alignment horizontal="left" vertical="top"/>
    </xf>
    <xf numFmtId="1" fontId="4" fillId="0" borderId="0" xfId="0" applyNumberFormat="1" applyFont="1" applyBorder="1" applyAlignment="1">
      <alignment vertical="top"/>
    </xf>
    <xf numFmtId="1" fontId="12" fillId="0" borderId="0" xfId="0" applyNumberFormat="1" applyFont="1" applyBorder="1" applyAlignment="1">
      <alignment vertical="top"/>
    </xf>
    <xf numFmtId="0" fontId="4" fillId="0" borderId="0" xfId="0" applyFont="1" applyFill="1" applyBorder="1" applyAlignment="1">
      <alignment horizontal="left" vertical="top"/>
    </xf>
    <xf numFmtId="0" fontId="13" fillId="0" borderId="0" xfId="0" applyFont="1" applyFill="1" applyAlignment="1">
      <alignment horizontal="center" vertical="top" wrapText="1"/>
    </xf>
    <xf numFmtId="0" fontId="13" fillId="0" borderId="0" xfId="0" applyFont="1" applyFill="1" applyAlignment="1">
      <alignment vertical="top"/>
    </xf>
    <xf numFmtId="1" fontId="12" fillId="0" borderId="0" xfId="0" applyNumberFormat="1" applyFont="1" applyFill="1" applyBorder="1" applyAlignment="1">
      <alignment vertical="top"/>
    </xf>
    <xf numFmtId="0" fontId="12" fillId="0" borderId="0" xfId="0" applyFont="1" applyFill="1" applyBorder="1" applyAlignment="1">
      <alignment vertical="top"/>
    </xf>
    <xf numFmtId="0" fontId="12" fillId="0" borderId="0" xfId="0" applyFont="1" applyBorder="1" applyAlignment="1">
      <alignment vertical="top" wrapText="1"/>
    </xf>
    <xf numFmtId="9" fontId="12" fillId="0" borderId="0" xfId="0" applyNumberFormat="1" applyFont="1" applyBorder="1" applyAlignment="1">
      <alignment vertical="top"/>
    </xf>
    <xf numFmtId="0" fontId="12" fillId="0" borderId="7" xfId="0" applyFont="1" applyBorder="1" applyAlignment="1">
      <alignment vertical="top" wrapText="1"/>
    </xf>
    <xf numFmtId="0" fontId="12" fillId="0" borderId="0" xfId="0" applyFont="1" applyFill="1" applyAlignment="1">
      <alignment vertical="top" wrapText="1"/>
    </xf>
    <xf numFmtId="10" fontId="12" fillId="0" borderId="0" xfId="3" applyNumberFormat="1" applyFont="1" applyFill="1" applyBorder="1" applyAlignment="1">
      <alignment vertical="top"/>
    </xf>
    <xf numFmtId="0" fontId="12" fillId="0" borderId="0" xfId="0" applyFont="1" applyAlignment="1">
      <alignment vertical="top" wrapText="1"/>
    </xf>
    <xf numFmtId="9" fontId="12" fillId="0" borderId="0" xfId="3" applyFont="1" applyFill="1" applyBorder="1" applyAlignment="1">
      <alignment vertical="top"/>
    </xf>
    <xf numFmtId="0" fontId="12" fillId="0" borderId="0" xfId="0" applyFont="1" applyFill="1" applyBorder="1" applyAlignment="1">
      <alignment vertical="top" wrapText="1"/>
    </xf>
    <xf numFmtId="0" fontId="12" fillId="0" borderId="0" xfId="0" applyFont="1" applyFill="1" applyAlignment="1">
      <alignment vertical="top"/>
    </xf>
    <xf numFmtId="0" fontId="13" fillId="0" borderId="7" xfId="0" applyFont="1" applyBorder="1" applyAlignment="1">
      <alignment vertical="top" wrapText="1"/>
    </xf>
    <xf numFmtId="9" fontId="12" fillId="0" borderId="7" xfId="0" applyNumberFormat="1" applyFont="1" applyFill="1" applyBorder="1" applyAlignment="1">
      <alignment vertical="top"/>
    </xf>
    <xf numFmtId="0" fontId="5" fillId="0" borderId="7" xfId="0" applyFont="1" applyBorder="1" applyAlignment="1">
      <alignment horizontal="left" vertical="top"/>
    </xf>
    <xf numFmtId="1" fontId="12" fillId="0" borderId="7" xfId="0" applyNumberFormat="1" applyFont="1" applyBorder="1" applyAlignment="1">
      <alignment vertical="top"/>
    </xf>
    <xf numFmtId="2" fontId="12" fillId="0" borderId="7" xfId="0" applyNumberFormat="1" applyFont="1" applyBorder="1" applyAlignment="1">
      <alignment vertical="top"/>
    </xf>
    <xf numFmtId="1" fontId="4" fillId="0" borderId="7" xfId="0" applyNumberFormat="1" applyFont="1" applyBorder="1" applyAlignment="1">
      <alignment vertical="top"/>
    </xf>
    <xf numFmtId="0" fontId="12" fillId="0" borderId="7" xfId="0" applyFont="1" applyFill="1" applyBorder="1" applyAlignment="1">
      <alignment vertical="top"/>
    </xf>
    <xf numFmtId="0" fontId="12" fillId="0" borderId="7" xfId="0" applyFont="1" applyFill="1" applyBorder="1" applyAlignment="1">
      <alignment vertical="top" wrapText="1"/>
    </xf>
    <xf numFmtId="165" fontId="12" fillId="0" borderId="7" xfId="0" applyNumberFormat="1" applyFont="1" applyFill="1" applyBorder="1" applyAlignment="1">
      <alignment vertical="top"/>
    </xf>
    <xf numFmtId="0" fontId="13" fillId="0" borderId="0" xfId="0" applyFont="1" applyAlignment="1">
      <alignment vertical="top" wrapText="1"/>
    </xf>
    <xf numFmtId="0" fontId="13" fillId="0" borderId="7" xfId="0" quotePrefix="1" applyFont="1" applyBorder="1" applyAlignment="1">
      <alignment vertical="top"/>
    </xf>
    <xf numFmtId="2" fontId="13" fillId="0" borderId="7" xfId="0" applyNumberFormat="1" applyFont="1" applyBorder="1" applyAlignment="1">
      <alignment vertical="top"/>
    </xf>
    <xf numFmtId="2" fontId="12" fillId="0" borderId="0" xfId="0" applyNumberFormat="1" applyFont="1" applyBorder="1" applyAlignment="1">
      <alignment vertical="top"/>
    </xf>
    <xf numFmtId="0" fontId="12" fillId="0" borderId="7" xfId="0" quotePrefix="1" applyFont="1" applyBorder="1" applyAlignment="1">
      <alignment vertical="top"/>
    </xf>
    <xf numFmtId="1" fontId="13" fillId="0" borderId="7" xfId="0" applyNumberFormat="1" applyFont="1" applyBorder="1" applyAlignment="1">
      <alignment vertical="top"/>
    </xf>
    <xf numFmtId="0" fontId="13" fillId="3" borderId="7" xfId="0" applyFont="1" applyFill="1" applyBorder="1" applyAlignment="1">
      <alignment vertical="top" wrapText="1"/>
    </xf>
    <xf numFmtId="0" fontId="13" fillId="3" borderId="7" xfId="0" quotePrefix="1" applyFont="1" applyFill="1" applyBorder="1" applyAlignment="1">
      <alignment vertical="top"/>
    </xf>
    <xf numFmtId="0" fontId="13" fillId="3" borderId="7" xfId="0" applyFont="1" applyFill="1" applyBorder="1" applyAlignment="1">
      <alignment vertical="top"/>
    </xf>
    <xf numFmtId="165" fontId="13" fillId="3" borderId="7" xfId="0" applyNumberFormat="1" applyFont="1" applyFill="1" applyBorder="1" applyAlignment="1">
      <alignment vertical="top"/>
    </xf>
    <xf numFmtId="0" fontId="12" fillId="3" borderId="0" xfId="0" applyFont="1" applyFill="1" applyBorder="1" applyAlignment="1">
      <alignment vertical="top"/>
    </xf>
    <xf numFmtId="0" fontId="5" fillId="0" borderId="7" xfId="0" applyFont="1" applyFill="1" applyBorder="1" applyAlignment="1">
      <alignment horizontal="left" vertical="top"/>
    </xf>
    <xf numFmtId="1" fontId="13" fillId="0" borderId="0" xfId="0" applyNumberFormat="1" applyFont="1" applyBorder="1" applyAlignment="1">
      <alignment vertical="top"/>
    </xf>
    <xf numFmtId="0" fontId="13" fillId="0" borderId="0" xfId="0" quotePrefix="1" applyFont="1" applyBorder="1" applyAlignment="1">
      <alignment vertical="top"/>
    </xf>
    <xf numFmtId="165" fontId="12" fillId="0" borderId="0" xfId="0" applyNumberFormat="1" applyFont="1" applyBorder="1" applyAlignment="1">
      <alignment vertical="top"/>
    </xf>
    <xf numFmtId="9" fontId="12" fillId="0" borderId="0" xfId="0" applyNumberFormat="1" applyFont="1" applyFill="1" applyBorder="1" applyAlignment="1">
      <alignment vertical="top"/>
    </xf>
    <xf numFmtId="2" fontId="5" fillId="0" borderId="7" xfId="0" applyNumberFormat="1" applyFont="1" applyBorder="1" applyAlignment="1">
      <alignment vertical="top"/>
    </xf>
    <xf numFmtId="2" fontId="4" fillId="0" borderId="7" xfId="0" applyNumberFormat="1" applyFont="1" applyBorder="1" applyAlignment="1">
      <alignment vertical="top"/>
    </xf>
    <xf numFmtId="164" fontId="12" fillId="0" borderId="7" xfId="1" applyFont="1" applyFill="1" applyBorder="1" applyAlignment="1">
      <alignment vertical="top"/>
    </xf>
    <xf numFmtId="0" fontId="5" fillId="0" borderId="7" xfId="0" applyFont="1" applyBorder="1" applyAlignment="1">
      <alignment horizontal="left" vertical="top" wrapText="1"/>
    </xf>
    <xf numFmtId="1" fontId="13" fillId="3" borderId="7" xfId="0" applyNumberFormat="1" applyFont="1" applyFill="1" applyBorder="1" applyAlignment="1">
      <alignment vertical="top"/>
    </xf>
    <xf numFmtId="0" fontId="12" fillId="0" borderId="0" xfId="0" applyFont="1" applyBorder="1" applyAlignment="1">
      <alignment vertical="top"/>
    </xf>
    <xf numFmtId="0" fontId="6" fillId="0" borderId="0" xfId="0" applyFont="1" applyFill="1" applyBorder="1" applyAlignment="1">
      <alignment vertical="top" wrapText="1"/>
    </xf>
    <xf numFmtId="0" fontId="6" fillId="4" borderId="7" xfId="0" applyFont="1" applyFill="1" applyBorder="1" applyAlignment="1">
      <alignment horizontal="center" vertical="top" wrapText="1"/>
    </xf>
    <xf numFmtId="16" fontId="9" fillId="4" borderId="7" xfId="0" applyNumberFormat="1" applyFont="1" applyFill="1" applyBorder="1" applyAlignment="1">
      <alignment horizontal="center"/>
    </xf>
    <xf numFmtId="0" fontId="9" fillId="4" borderId="7" xfId="0" applyFont="1" applyFill="1" applyBorder="1" applyAlignment="1">
      <alignment horizontal="center"/>
    </xf>
    <xf numFmtId="0" fontId="5" fillId="0" borderId="0" xfId="0" applyFont="1" applyFill="1" applyBorder="1" applyAlignment="1">
      <alignment vertical="top" wrapText="1"/>
    </xf>
    <xf numFmtId="0" fontId="4" fillId="0" borderId="7" xfId="0" applyFont="1" applyFill="1" applyBorder="1" applyAlignment="1">
      <alignment vertical="top" wrapText="1"/>
    </xf>
    <xf numFmtId="0" fontId="17" fillId="0" borderId="7" xfId="0" quotePrefix="1" applyFont="1" applyFill="1" applyBorder="1" applyAlignment="1">
      <alignment vertical="top" wrapText="1"/>
    </xf>
    <xf numFmtId="0" fontId="5" fillId="0" borderId="7" xfId="0" applyFont="1" applyFill="1" applyBorder="1" applyAlignment="1">
      <alignment vertical="top" wrapText="1"/>
    </xf>
    <xf numFmtId="1" fontId="5" fillId="0" borderId="7" xfId="0" applyNumberFormat="1" applyFont="1" applyFill="1" applyBorder="1" applyAlignment="1">
      <alignment vertical="top" wrapText="1"/>
    </xf>
    <xf numFmtId="1" fontId="5" fillId="0" borderId="7" xfId="0" applyNumberFormat="1" applyFont="1" applyFill="1" applyBorder="1" applyAlignment="1">
      <alignment horizontal="right" vertical="top" wrapText="1"/>
    </xf>
    <xf numFmtId="0" fontId="5" fillId="0" borderId="0" xfId="0" applyFont="1" applyFill="1" applyBorder="1" applyAlignment="1">
      <alignment horizontal="right" vertical="top" wrapText="1"/>
    </xf>
    <xf numFmtId="1" fontId="5" fillId="0" borderId="0" xfId="0" applyNumberFormat="1" applyFont="1" applyFill="1" applyBorder="1" applyAlignment="1">
      <alignment horizontal="right" vertical="top" wrapText="1"/>
    </xf>
    <xf numFmtId="1" fontId="5" fillId="0" borderId="0" xfId="0" applyNumberFormat="1" applyFont="1" applyFill="1" applyBorder="1" applyAlignment="1">
      <alignment vertical="top" wrapText="1"/>
    </xf>
    <xf numFmtId="0" fontId="5" fillId="0" borderId="7" xfId="0" applyFont="1" applyBorder="1" applyAlignment="1">
      <alignment vertical="top" wrapText="1"/>
    </xf>
    <xf numFmtId="166" fontId="5" fillId="0" borderId="7" xfId="0" applyNumberFormat="1" applyFont="1" applyFill="1" applyBorder="1" applyAlignment="1">
      <alignment vertical="top" wrapText="1"/>
    </xf>
    <xf numFmtId="1" fontId="4" fillId="0" borderId="0" xfId="0" applyNumberFormat="1" applyFont="1" applyFill="1" applyBorder="1" applyAlignment="1">
      <alignment horizontal="right" vertical="top" wrapText="1"/>
    </xf>
    <xf numFmtId="0" fontId="4" fillId="0" borderId="7" xfId="0" applyFont="1" applyBorder="1" applyAlignment="1">
      <alignment vertical="top" wrapText="1"/>
    </xf>
    <xf numFmtId="1" fontId="4" fillId="0" borderId="7" xfId="0" applyNumberFormat="1" applyFont="1" applyFill="1" applyBorder="1" applyAlignment="1">
      <alignment vertical="top" wrapText="1"/>
    </xf>
    <xf numFmtId="1" fontId="5" fillId="0" borderId="7" xfId="0" applyNumberFormat="1" applyFont="1" applyBorder="1" applyAlignment="1">
      <alignment vertical="top"/>
    </xf>
    <xf numFmtId="0" fontId="12" fillId="0" borderId="16" xfId="0" applyFont="1" applyBorder="1" applyAlignment="1">
      <alignment vertical="top"/>
    </xf>
    <xf numFmtId="0" fontId="12" fillId="0" borderId="0" xfId="0" applyFont="1" applyBorder="1" applyAlignment="1">
      <alignment vertical="top"/>
    </xf>
    <xf numFmtId="0" fontId="12" fillId="0" borderId="0" xfId="0" applyFont="1" applyBorder="1" applyAlignment="1">
      <alignment vertical="top" wrapText="1"/>
    </xf>
    <xf numFmtId="0" fontId="0" fillId="0" borderId="7" xfId="0" applyBorder="1"/>
    <xf numFmtId="165" fontId="0" fillId="0" borderId="7" xfId="0" applyNumberFormat="1" applyBorder="1"/>
    <xf numFmtId="2" fontId="0" fillId="0" borderId="7" xfId="0" applyNumberFormat="1" applyBorder="1"/>
    <xf numFmtId="0" fontId="11" fillId="0" borderId="7" xfId="0" applyFont="1" applyBorder="1" applyAlignment="1">
      <alignment horizontal="center"/>
    </xf>
    <xf numFmtId="0" fontId="11" fillId="0" borderId="7" xfId="0" applyFont="1" applyBorder="1"/>
    <xf numFmtId="1" fontId="11" fillId="0" borderId="7" xfId="0" applyNumberFormat="1" applyFont="1" applyBorder="1"/>
    <xf numFmtId="165" fontId="11" fillId="0" borderId="7" xfId="0" applyNumberFormat="1" applyFont="1" applyBorder="1"/>
    <xf numFmtId="0" fontId="12" fillId="0" borderId="0" xfId="0" applyFont="1" applyBorder="1" applyAlignment="1">
      <alignment vertical="top"/>
    </xf>
    <xf numFmtId="0" fontId="13" fillId="0" borderId="12" xfId="0" applyFont="1" applyBorder="1"/>
    <xf numFmtId="0" fontId="12" fillId="0" borderId="12" xfId="0" applyFont="1" applyBorder="1"/>
    <xf numFmtId="0" fontId="13" fillId="0" borderId="16" xfId="0" applyFont="1" applyBorder="1"/>
    <xf numFmtId="0" fontId="12" fillId="0" borderId="16" xfId="0" applyFont="1" applyBorder="1"/>
    <xf numFmtId="1" fontId="12" fillId="0" borderId="16" xfId="0" applyNumberFormat="1" applyFont="1" applyBorder="1"/>
    <xf numFmtId="165" fontId="12" fillId="0" borderId="16" xfId="0" applyNumberFormat="1" applyFont="1" applyBorder="1"/>
    <xf numFmtId="0" fontId="13" fillId="0" borderId="3" xfId="0" applyFont="1" applyBorder="1"/>
    <xf numFmtId="0" fontId="12" fillId="0" borderId="4" xfId="0" applyFont="1" applyBorder="1"/>
    <xf numFmtId="0" fontId="4" fillId="0" borderId="4" xfId="0" applyFont="1" applyBorder="1" applyAlignment="1">
      <alignment horizontal="center"/>
    </xf>
    <xf numFmtId="0" fontId="13" fillId="0" borderId="4" xfId="0" applyFont="1" applyBorder="1"/>
    <xf numFmtId="0" fontId="13" fillId="0" borderId="5" xfId="0" applyFont="1" applyBorder="1"/>
    <xf numFmtId="0" fontId="13" fillId="0" borderId="6" xfId="0" applyFont="1" applyBorder="1" applyAlignment="1">
      <alignment horizontal="left"/>
    </xf>
    <xf numFmtId="0" fontId="13" fillId="0" borderId="7" xfId="0" applyFont="1" applyBorder="1" applyAlignment="1">
      <alignment horizontal="center"/>
    </xf>
    <xf numFmtId="0" fontId="13" fillId="3" borderId="0" xfId="0" applyFont="1" applyFill="1" applyBorder="1" applyAlignment="1">
      <alignment horizontal="center"/>
    </xf>
    <xf numFmtId="1" fontId="12" fillId="0" borderId="19" xfId="0" applyNumberFormat="1" applyFont="1" applyBorder="1"/>
    <xf numFmtId="0" fontId="12" fillId="0" borderId="6" xfId="0" applyFont="1" applyBorder="1" applyAlignment="1">
      <alignment horizontal="left" wrapText="1"/>
    </xf>
    <xf numFmtId="0" fontId="12" fillId="0" borderId="6" xfId="0" applyFont="1" applyBorder="1" applyAlignment="1">
      <alignment horizontal="left"/>
    </xf>
    <xf numFmtId="0" fontId="12" fillId="0" borderId="7" xfId="0" applyFont="1" applyFill="1" applyBorder="1" applyAlignment="1">
      <alignment wrapText="1"/>
    </xf>
    <xf numFmtId="1" fontId="12" fillId="0" borderId="7" xfId="0" applyNumberFormat="1" applyFont="1" applyFill="1" applyBorder="1"/>
    <xf numFmtId="0" fontId="20" fillId="0" borderId="7" xfId="0" applyFont="1" applyFill="1" applyBorder="1" applyAlignment="1">
      <alignment vertical="top" wrapText="1"/>
    </xf>
    <xf numFmtId="0" fontId="20" fillId="0" borderId="7" xfId="0" applyFont="1" applyFill="1" applyBorder="1" applyAlignment="1">
      <alignment wrapText="1"/>
    </xf>
    <xf numFmtId="167" fontId="12" fillId="0" borderId="7" xfId="3" applyNumberFormat="1" applyFont="1" applyBorder="1" applyAlignment="1">
      <alignment vertical="center" wrapText="1"/>
    </xf>
    <xf numFmtId="1" fontId="12" fillId="0" borderId="7" xfId="0" applyNumberFormat="1" applyFont="1" applyFill="1" applyBorder="1" applyAlignment="1">
      <alignment vertical="top"/>
    </xf>
    <xf numFmtId="10" fontId="12" fillId="0" borderId="7" xfId="3" applyNumberFormat="1" applyFont="1" applyFill="1" applyBorder="1" applyAlignment="1">
      <alignment vertical="top"/>
    </xf>
    <xf numFmtId="9" fontId="12" fillId="0" borderId="7" xfId="3" applyFont="1" applyFill="1" applyBorder="1" applyAlignment="1">
      <alignment vertical="top"/>
    </xf>
    <xf numFmtId="0" fontId="22" fillId="0" borderId="7" xfId="0" applyFont="1" applyBorder="1" applyAlignment="1">
      <alignment vertical="top" wrapText="1"/>
    </xf>
    <xf numFmtId="0" fontId="12" fillId="2" borderId="7" xfId="0" applyFont="1" applyFill="1" applyBorder="1" applyAlignment="1">
      <alignment vertical="top" wrapText="1"/>
    </xf>
    <xf numFmtId="0" fontId="13" fillId="7" borderId="7" xfId="0" applyFont="1" applyFill="1" applyBorder="1" applyAlignment="1">
      <alignment vertical="top" wrapText="1"/>
    </xf>
    <xf numFmtId="0" fontId="13" fillId="7" borderId="7" xfId="0" quotePrefix="1" applyFont="1" applyFill="1" applyBorder="1" applyAlignment="1">
      <alignment vertical="top"/>
    </xf>
    <xf numFmtId="0" fontId="13" fillId="7" borderId="7" xfId="0" applyFont="1" applyFill="1" applyBorder="1" applyAlignment="1">
      <alignment vertical="top"/>
    </xf>
    <xf numFmtId="2" fontId="13" fillId="7" borderId="7" xfId="0" applyNumberFormat="1" applyFont="1" applyFill="1" applyBorder="1" applyAlignment="1">
      <alignment vertical="top"/>
    </xf>
    <xf numFmtId="0" fontId="23" fillId="8" borderId="7" xfId="0" applyFont="1" applyFill="1" applyBorder="1" applyAlignment="1">
      <alignment vertical="top"/>
    </xf>
    <xf numFmtId="0" fontId="24" fillId="0" borderId="7" xfId="0" applyFont="1" applyBorder="1" applyAlignment="1">
      <alignment vertical="top"/>
    </xf>
    <xf numFmtId="0" fontId="25" fillId="0" borderId="7" xfId="0" applyFont="1" applyBorder="1" applyAlignment="1">
      <alignment vertical="top" wrapText="1"/>
    </xf>
    <xf numFmtId="0" fontId="4" fillId="0" borderId="0" xfId="0" applyFont="1" applyAlignment="1">
      <alignment vertical="top" wrapText="1"/>
    </xf>
    <xf numFmtId="0" fontId="23" fillId="8" borderId="6" xfId="0" applyFont="1" applyFill="1" applyBorder="1" applyAlignment="1">
      <alignment horizontal="left"/>
    </xf>
    <xf numFmtId="0" fontId="27" fillId="0" borderId="6" xfId="0" applyFont="1" applyBorder="1" applyAlignment="1">
      <alignment horizontal="left"/>
    </xf>
    <xf numFmtId="0" fontId="28" fillId="0" borderId="6" xfId="0" applyFont="1" applyBorder="1" applyAlignment="1">
      <alignment horizontal="left"/>
    </xf>
    <xf numFmtId="0" fontId="27" fillId="0" borderId="7" xfId="0" quotePrefix="1" applyFont="1" applyBorder="1"/>
    <xf numFmtId="165" fontId="27" fillId="0" borderId="7" xfId="0" applyNumberFormat="1" applyFont="1" applyBorder="1"/>
    <xf numFmtId="165" fontId="27" fillId="0" borderId="8" xfId="0" applyNumberFormat="1" applyFont="1" applyBorder="1"/>
    <xf numFmtId="165" fontId="27" fillId="0" borderId="16" xfId="0" applyNumberFormat="1" applyFont="1" applyBorder="1"/>
    <xf numFmtId="0" fontId="28" fillId="0" borderId="7" xfId="0" quotePrefix="1" applyFont="1" applyBorder="1"/>
    <xf numFmtId="165" fontId="28" fillId="0" borderId="7" xfId="0" applyNumberFormat="1" applyFont="1" applyBorder="1"/>
    <xf numFmtId="165" fontId="28" fillId="0" borderId="8" xfId="0" applyNumberFormat="1" applyFont="1" applyBorder="1"/>
    <xf numFmtId="165" fontId="28" fillId="0" borderId="16" xfId="0" applyNumberFormat="1" applyFont="1" applyBorder="1"/>
    <xf numFmtId="0" fontId="12" fillId="0" borderId="28" xfId="0" applyFont="1" applyBorder="1" applyAlignment="1">
      <alignment horizontal="left" wrapText="1"/>
    </xf>
    <xf numFmtId="0" fontId="12" fillId="0" borderId="14" xfId="0" quotePrefix="1" applyFont="1" applyBorder="1"/>
    <xf numFmtId="165" fontId="12" fillId="0" borderId="14" xfId="0" applyNumberFormat="1" applyFont="1" applyBorder="1"/>
    <xf numFmtId="165" fontId="12" fillId="0" borderId="29" xfId="0" applyNumberFormat="1" applyFont="1" applyBorder="1"/>
    <xf numFmtId="165" fontId="12" fillId="0" borderId="30" xfId="0" applyNumberFormat="1" applyFont="1" applyBorder="1"/>
    <xf numFmtId="0" fontId="12" fillId="0" borderId="26" xfId="0" applyFont="1" applyBorder="1" applyAlignment="1">
      <alignment horizontal="left"/>
    </xf>
    <xf numFmtId="0" fontId="12" fillId="0" borderId="13" xfId="0" applyFont="1" applyBorder="1"/>
    <xf numFmtId="0" fontId="12" fillId="0" borderId="31" xfId="0" applyFont="1" applyBorder="1"/>
    <xf numFmtId="0" fontId="13" fillId="0" borderId="32" xfId="0" applyFont="1" applyBorder="1" applyAlignment="1">
      <alignment horizontal="left" vertical="center"/>
    </xf>
    <xf numFmtId="0" fontId="13" fillId="0" borderId="33" xfId="0" quotePrefix="1" applyFont="1" applyBorder="1" applyAlignment="1">
      <alignment vertical="center"/>
    </xf>
    <xf numFmtId="165" fontId="13" fillId="0" borderId="33" xfId="0" applyNumberFormat="1" applyFont="1" applyBorder="1" applyAlignment="1">
      <alignment vertical="center"/>
    </xf>
    <xf numFmtId="165" fontId="13" fillId="5" borderId="33" xfId="0" applyNumberFormat="1" applyFont="1" applyFill="1" applyBorder="1" applyAlignment="1">
      <alignment vertical="center"/>
    </xf>
    <xf numFmtId="165" fontId="13" fillId="5" borderId="34" xfId="0" applyNumberFormat="1" applyFont="1" applyFill="1" applyBorder="1" applyAlignment="1">
      <alignment vertical="center"/>
    </xf>
    <xf numFmtId="165" fontId="13" fillId="0" borderId="35" xfId="0" applyNumberFormat="1" applyFont="1" applyBorder="1" applyAlignment="1">
      <alignment vertical="center"/>
    </xf>
    <xf numFmtId="0" fontId="12" fillId="0" borderId="0" xfId="0" applyFont="1" applyAlignment="1">
      <alignment vertical="center"/>
    </xf>
    <xf numFmtId="0" fontId="28" fillId="0" borderId="0" xfId="0" applyFont="1"/>
    <xf numFmtId="0" fontId="28" fillId="0" borderId="0" xfId="0" applyFont="1" applyBorder="1" applyAlignment="1">
      <alignment horizontal="left" indent="2"/>
    </xf>
    <xf numFmtId="0" fontId="25" fillId="0" borderId="0" xfId="0" applyFont="1" applyAlignment="1">
      <alignment horizontal="left"/>
    </xf>
    <xf numFmtId="0" fontId="12" fillId="0" borderId="0" xfId="0" applyFont="1" applyAlignment="1">
      <alignment horizontal="left"/>
    </xf>
    <xf numFmtId="0" fontId="24" fillId="0" borderId="0" xfId="0" applyFont="1" applyAlignment="1">
      <alignment horizontal="left"/>
    </xf>
    <xf numFmtId="0" fontId="27" fillId="0" borderId="0" xfId="0" applyFont="1" applyAlignment="1">
      <alignment horizontal="left"/>
    </xf>
    <xf numFmtId="2" fontId="25" fillId="0" borderId="7" xfId="0" applyNumberFormat="1" applyFont="1" applyBorder="1" applyAlignment="1">
      <alignment horizontal="left"/>
    </xf>
    <xf numFmtId="2" fontId="12" fillId="0" borderId="7" xfId="0" applyNumberFormat="1" applyFont="1" applyBorder="1"/>
    <xf numFmtId="2" fontId="24" fillId="0" borderId="7" xfId="0" applyNumberFormat="1" applyFont="1" applyBorder="1" applyAlignment="1">
      <alignment horizontal="left"/>
    </xf>
    <xf numFmtId="0" fontId="25" fillId="0" borderId="7" xfId="0" applyFont="1" applyBorder="1" applyAlignment="1">
      <alignment horizontal="left"/>
    </xf>
    <xf numFmtId="0" fontId="28" fillId="0" borderId="7" xfId="0" applyFont="1" applyBorder="1" applyAlignment="1">
      <alignment horizontal="left" indent="2"/>
    </xf>
    <xf numFmtId="0" fontId="28" fillId="0" borderId="7" xfId="0" applyFont="1" applyBorder="1"/>
    <xf numFmtId="0" fontId="24" fillId="0" borderId="14" xfId="0" applyFont="1" applyBorder="1" applyAlignment="1">
      <alignment horizontal="left"/>
    </xf>
    <xf numFmtId="0" fontId="27" fillId="0" borderId="7" xfId="0" applyFont="1" applyBorder="1" applyAlignment="1">
      <alignment horizontal="left" indent="2"/>
    </xf>
    <xf numFmtId="0" fontId="27" fillId="0" borderId="7" xfId="0" applyFont="1" applyBorder="1"/>
    <xf numFmtId="2" fontId="27" fillId="0" borderId="7" xfId="0" applyNumberFormat="1" applyFont="1" applyBorder="1"/>
    <xf numFmtId="0" fontId="12" fillId="9" borderId="7" xfId="0" applyFont="1" applyFill="1" applyBorder="1"/>
    <xf numFmtId="0" fontId="13" fillId="9" borderId="7" xfId="0" applyFont="1" applyFill="1" applyBorder="1" applyAlignment="1">
      <alignment horizontal="right"/>
    </xf>
    <xf numFmtId="1" fontId="13" fillId="9" borderId="7" xfId="0" applyNumberFormat="1" applyFont="1" applyFill="1" applyBorder="1" applyAlignment="1">
      <alignment horizontal="center"/>
    </xf>
    <xf numFmtId="0" fontId="13" fillId="9" borderId="0" xfId="0" applyFont="1" applyFill="1"/>
    <xf numFmtId="1" fontId="28" fillId="0" borderId="7" xfId="0" applyNumberFormat="1" applyFont="1" applyBorder="1"/>
    <xf numFmtId="1" fontId="25" fillId="0" borderId="7" xfId="0" applyNumberFormat="1" applyFont="1" applyBorder="1" applyAlignment="1">
      <alignment horizontal="left"/>
    </xf>
    <xf numFmtId="1" fontId="24" fillId="0" borderId="7" xfId="0" applyNumberFormat="1" applyFont="1" applyBorder="1" applyAlignment="1">
      <alignment horizontal="left"/>
    </xf>
    <xf numFmtId="1" fontId="27" fillId="0" borderId="7" xfId="0" applyNumberFormat="1" applyFont="1" applyBorder="1"/>
    <xf numFmtId="1" fontId="13" fillId="0" borderId="7" xfId="0" applyNumberFormat="1" applyFont="1" applyBorder="1" applyAlignment="1">
      <alignment horizontal="left"/>
    </xf>
    <xf numFmtId="0" fontId="13" fillId="0" borderId="0" xfId="0" applyFont="1" applyAlignment="1">
      <alignment horizontal="left"/>
    </xf>
    <xf numFmtId="2" fontId="13" fillId="0" borderId="7" xfId="0" applyNumberFormat="1" applyFont="1" applyBorder="1" applyAlignment="1">
      <alignment horizontal="left"/>
    </xf>
    <xf numFmtId="0" fontId="28" fillId="2" borderId="7" xfId="0" applyFont="1" applyFill="1" applyBorder="1" applyAlignment="1">
      <alignment horizontal="left" indent="2"/>
    </xf>
    <xf numFmtId="0" fontId="28" fillId="2" borderId="7" xfId="0" applyFont="1" applyFill="1" applyBorder="1"/>
    <xf numFmtId="0" fontId="27" fillId="2" borderId="7" xfId="0" applyFont="1" applyFill="1" applyBorder="1" applyAlignment="1">
      <alignment horizontal="left" indent="2"/>
    </xf>
    <xf numFmtId="0" fontId="27" fillId="2" borderId="7" xfId="0" applyFont="1" applyFill="1" applyBorder="1"/>
    <xf numFmtId="1" fontId="28" fillId="2" borderId="7" xfId="0" applyNumberFormat="1" applyFont="1" applyFill="1" applyBorder="1"/>
    <xf numFmtId="1" fontId="27" fillId="2" borderId="7" xfId="0" applyNumberFormat="1" applyFont="1" applyFill="1" applyBorder="1"/>
    <xf numFmtId="0" fontId="12" fillId="2" borderId="7" xfId="0" applyFont="1" applyFill="1" applyBorder="1"/>
    <xf numFmtId="2" fontId="12" fillId="2" borderId="7" xfId="0" applyNumberFormat="1" applyFont="1" applyFill="1" applyBorder="1"/>
    <xf numFmtId="0" fontId="12" fillId="2" borderId="0" xfId="0" applyFont="1" applyFill="1"/>
    <xf numFmtId="2" fontId="27" fillId="2" borderId="7" xfId="0" applyNumberFormat="1" applyFont="1" applyFill="1" applyBorder="1"/>
    <xf numFmtId="9" fontId="12" fillId="2" borderId="7" xfId="3" applyFont="1" applyFill="1" applyBorder="1" applyAlignment="1">
      <alignment vertical="top"/>
    </xf>
    <xf numFmtId="0" fontId="12" fillId="0" borderId="19" xfId="0" applyFont="1" applyBorder="1" applyAlignment="1">
      <alignment vertical="top"/>
    </xf>
    <xf numFmtId="2" fontId="12" fillId="0" borderId="16" xfId="0" applyNumberFormat="1" applyFont="1" applyBorder="1" applyAlignment="1">
      <alignment vertical="top"/>
    </xf>
    <xf numFmtId="0" fontId="12" fillId="0" borderId="14" xfId="0" applyFont="1" applyBorder="1" applyAlignment="1">
      <alignment vertical="top"/>
    </xf>
    <xf numFmtId="0" fontId="12" fillId="0" borderId="12" xfId="0" applyFont="1" applyBorder="1" applyAlignment="1">
      <alignment vertical="top"/>
    </xf>
    <xf numFmtId="10" fontId="12" fillId="2" borderId="36" xfId="0" applyNumberFormat="1" applyFont="1" applyFill="1" applyBorder="1" applyAlignment="1">
      <alignment vertical="top"/>
    </xf>
    <xf numFmtId="0" fontId="4" fillId="11" borderId="0" xfId="0" applyFont="1" applyFill="1"/>
    <xf numFmtId="0" fontId="12" fillId="11" borderId="0" xfId="0" applyFont="1" applyFill="1"/>
    <xf numFmtId="165" fontId="12" fillId="0" borderId="7" xfId="0" applyNumberFormat="1" applyFont="1" applyBorder="1" applyAlignment="1">
      <alignment vertical="top"/>
    </xf>
    <xf numFmtId="9" fontId="12" fillId="0" borderId="7" xfId="3" applyFont="1" applyFill="1" applyBorder="1"/>
    <xf numFmtId="9" fontId="12" fillId="0" borderId="7" xfId="3" applyFont="1" applyBorder="1"/>
    <xf numFmtId="0" fontId="13" fillId="10" borderId="0" xfId="0" applyFont="1" applyFill="1"/>
    <xf numFmtId="1" fontId="12" fillId="0" borderId="0" xfId="0" applyNumberFormat="1" applyFont="1" applyBorder="1" applyAlignment="1">
      <alignment horizontal="center" vertical="top"/>
    </xf>
    <xf numFmtId="9" fontId="12" fillId="0" borderId="0" xfId="3" applyFont="1" applyBorder="1" applyAlignment="1">
      <alignment vertical="top"/>
    </xf>
    <xf numFmtId="0" fontId="12" fillId="0" borderId="0" xfId="0" quotePrefix="1" applyFont="1" applyBorder="1" applyAlignment="1">
      <alignment vertical="top"/>
    </xf>
    <xf numFmtId="0" fontId="13" fillId="12" borderId="0" xfId="0" applyFont="1" applyFill="1" applyBorder="1" applyAlignment="1">
      <alignment horizontal="center" vertical="top"/>
    </xf>
    <xf numFmtId="0" fontId="12" fillId="0" borderId="7" xfId="0" applyFont="1" applyBorder="1" applyAlignment="1">
      <alignment horizontal="left" vertical="top" indent="3"/>
    </xf>
    <xf numFmtId="1" fontId="12" fillId="0" borderId="0" xfId="0" quotePrefix="1" applyNumberFormat="1" applyFont="1" applyBorder="1" applyAlignment="1">
      <alignment vertical="top"/>
    </xf>
    <xf numFmtId="167" fontId="12" fillId="0" borderId="0" xfId="3" applyNumberFormat="1" applyFont="1" applyBorder="1" applyAlignment="1">
      <alignment vertical="top"/>
    </xf>
    <xf numFmtId="166" fontId="12" fillId="0" borderId="0" xfId="0" applyNumberFormat="1" applyFont="1" applyBorder="1" applyAlignment="1">
      <alignment vertical="top"/>
    </xf>
    <xf numFmtId="10" fontId="12" fillId="0" borderId="0" xfId="0" applyNumberFormat="1" applyFont="1" applyBorder="1" applyAlignment="1">
      <alignment vertical="top"/>
    </xf>
    <xf numFmtId="0" fontId="12" fillId="0" borderId="7" xfId="0" applyFont="1" applyBorder="1" applyAlignment="1">
      <alignment horizontal="right" vertical="top"/>
    </xf>
    <xf numFmtId="9" fontId="12" fillId="0" borderId="7" xfId="3" applyNumberFormat="1" applyFont="1" applyBorder="1" applyAlignment="1">
      <alignment vertical="top"/>
    </xf>
    <xf numFmtId="0" fontId="12" fillId="0" borderId="3" xfId="0" applyFont="1" applyBorder="1" applyAlignment="1">
      <alignment vertical="top"/>
    </xf>
    <xf numFmtId="0" fontId="12" fillId="0" borderId="4" xfId="0" applyFont="1" applyBorder="1" applyAlignment="1">
      <alignment vertical="top"/>
    </xf>
    <xf numFmtId="0" fontId="12" fillId="0" borderId="5" xfId="0" applyFont="1" applyBorder="1" applyAlignment="1">
      <alignment vertical="top"/>
    </xf>
    <xf numFmtId="9" fontId="12" fillId="0" borderId="8" xfId="3" applyFont="1" applyBorder="1" applyAlignment="1">
      <alignment vertical="top"/>
    </xf>
    <xf numFmtId="9" fontId="12" fillId="0" borderId="10" xfId="3" applyNumberFormat="1" applyFont="1" applyBorder="1" applyAlignment="1">
      <alignment vertical="top"/>
    </xf>
    <xf numFmtId="9" fontId="12" fillId="0" borderId="11" xfId="3" applyFont="1" applyBorder="1" applyAlignment="1">
      <alignment vertical="top"/>
    </xf>
    <xf numFmtId="1" fontId="12" fillId="0" borderId="6" xfId="0" applyNumberFormat="1" applyFont="1" applyBorder="1" applyAlignment="1">
      <alignment vertical="top"/>
    </xf>
    <xf numFmtId="1" fontId="12" fillId="0" borderId="9" xfId="0" applyNumberFormat="1" applyFont="1" applyBorder="1" applyAlignment="1">
      <alignment vertical="top"/>
    </xf>
    <xf numFmtId="1" fontId="12" fillId="0" borderId="10" xfId="0" applyNumberFormat="1" applyFont="1" applyBorder="1" applyAlignment="1">
      <alignment vertical="top"/>
    </xf>
    <xf numFmtId="0" fontId="12" fillId="0" borderId="18" xfId="0" applyFont="1" applyBorder="1" applyAlignment="1">
      <alignment vertical="top"/>
    </xf>
    <xf numFmtId="0" fontId="12" fillId="0" borderId="6" xfId="0" applyFont="1" applyBorder="1" applyAlignment="1">
      <alignment vertical="top"/>
    </xf>
    <xf numFmtId="0" fontId="12" fillId="0" borderId="8" xfId="0" applyFont="1" applyBorder="1" applyAlignment="1">
      <alignment vertical="top"/>
    </xf>
    <xf numFmtId="9" fontId="12" fillId="0" borderId="6" xfId="3" applyFont="1" applyBorder="1" applyAlignment="1">
      <alignment vertical="top"/>
    </xf>
    <xf numFmtId="167" fontId="12" fillId="0" borderId="6" xfId="3" applyNumberFormat="1" applyFont="1" applyBorder="1" applyAlignment="1">
      <alignment vertical="top"/>
    </xf>
    <xf numFmtId="167" fontId="12" fillId="0" borderId="7" xfId="3" applyNumberFormat="1" applyFont="1" applyBorder="1" applyAlignment="1">
      <alignment vertical="top"/>
    </xf>
    <xf numFmtId="167" fontId="12" fillId="0" borderId="8" xfId="3" applyNumberFormat="1" applyFont="1" applyBorder="1" applyAlignment="1">
      <alignment vertical="top"/>
    </xf>
    <xf numFmtId="165" fontId="12" fillId="0" borderId="8" xfId="0" applyNumberFormat="1" applyFont="1" applyBorder="1" applyAlignment="1">
      <alignment vertical="top"/>
    </xf>
    <xf numFmtId="1" fontId="12" fillId="0" borderId="8" xfId="0" applyNumberFormat="1" applyFont="1" applyBorder="1" applyAlignment="1">
      <alignment vertical="top"/>
    </xf>
    <xf numFmtId="165" fontId="12" fillId="0" borderId="11" xfId="0" applyNumberFormat="1" applyFont="1" applyBorder="1" applyAlignment="1">
      <alignment vertical="top"/>
    </xf>
    <xf numFmtId="1" fontId="12" fillId="0" borderId="11" xfId="0" applyNumberFormat="1" applyFont="1" applyBorder="1" applyAlignment="1">
      <alignment vertical="top"/>
    </xf>
    <xf numFmtId="165" fontId="12" fillId="0" borderId="6" xfId="0" applyNumberFormat="1" applyFont="1" applyBorder="1" applyAlignment="1">
      <alignment vertical="top"/>
    </xf>
    <xf numFmtId="165" fontId="12" fillId="0" borderId="9" xfId="0" applyNumberFormat="1" applyFont="1" applyBorder="1" applyAlignment="1">
      <alignment vertical="top"/>
    </xf>
    <xf numFmtId="0" fontId="12" fillId="0" borderId="21" xfId="0" applyFont="1" applyBorder="1" applyAlignment="1">
      <alignment vertical="top"/>
    </xf>
    <xf numFmtId="2" fontId="12" fillId="0" borderId="19" xfId="0" applyNumberFormat="1" applyFont="1" applyBorder="1" applyAlignment="1">
      <alignment vertical="top"/>
    </xf>
    <xf numFmtId="165" fontId="12" fillId="0" borderId="37" xfId="0" applyNumberFormat="1" applyFont="1" applyBorder="1" applyAlignment="1">
      <alignment vertical="top"/>
    </xf>
    <xf numFmtId="165" fontId="12" fillId="0" borderId="19" xfId="0" applyNumberFormat="1" applyFont="1" applyBorder="1" applyAlignment="1">
      <alignment vertical="top"/>
    </xf>
    <xf numFmtId="9" fontId="12" fillId="0" borderId="9" xfId="3" applyFont="1" applyBorder="1" applyAlignment="1">
      <alignment vertical="top"/>
    </xf>
    <xf numFmtId="0" fontId="12" fillId="0" borderId="38" xfId="0" applyFont="1" applyBorder="1" applyAlignment="1">
      <alignment vertical="top"/>
    </xf>
    <xf numFmtId="165" fontId="12" fillId="0" borderId="39" xfId="0" applyNumberFormat="1" applyFont="1" applyBorder="1" applyAlignment="1">
      <alignment vertical="top"/>
    </xf>
    <xf numFmtId="167" fontId="12" fillId="0" borderId="9" xfId="3" applyNumberFormat="1" applyFont="1" applyBorder="1" applyAlignment="1">
      <alignment vertical="top"/>
    </xf>
    <xf numFmtId="167" fontId="12" fillId="0" borderId="10" xfId="3" applyNumberFormat="1" applyFont="1" applyBorder="1" applyAlignment="1">
      <alignment vertical="top"/>
    </xf>
    <xf numFmtId="167" fontId="12" fillId="0" borderId="11" xfId="3" applyNumberFormat="1" applyFont="1" applyBorder="1" applyAlignment="1">
      <alignment vertical="top"/>
    </xf>
    <xf numFmtId="0" fontId="12" fillId="8" borderId="0" xfId="0" applyFont="1" applyFill="1" applyBorder="1" applyAlignment="1">
      <alignment vertical="top"/>
    </xf>
    <xf numFmtId="0" fontId="29" fillId="8" borderId="0" xfId="0" applyFont="1" applyFill="1" applyBorder="1" applyAlignment="1">
      <alignment vertical="top"/>
    </xf>
    <xf numFmtId="0" fontId="12" fillId="0" borderId="40" xfId="0" applyFont="1" applyBorder="1" applyAlignment="1">
      <alignment vertical="top"/>
    </xf>
    <xf numFmtId="165" fontId="12" fillId="0" borderId="17" xfId="0" applyNumberFormat="1" applyFont="1" applyBorder="1" applyAlignment="1">
      <alignment horizontal="center" vertical="top"/>
    </xf>
    <xf numFmtId="165" fontId="12" fillId="0" borderId="41" xfId="0" applyNumberFormat="1" applyFont="1" applyBorder="1" applyAlignment="1">
      <alignment horizontal="center" vertical="top"/>
    </xf>
    <xf numFmtId="0" fontId="12" fillId="13" borderId="3" xfId="0" applyFont="1" applyFill="1" applyBorder="1" applyAlignment="1">
      <alignment vertical="top"/>
    </xf>
    <xf numFmtId="9" fontId="12" fillId="13" borderId="6" xfId="3" applyFont="1" applyFill="1" applyBorder="1" applyAlignment="1">
      <alignment horizontal="center" vertical="top"/>
    </xf>
    <xf numFmtId="9" fontId="12" fillId="13" borderId="9" xfId="3" applyFont="1" applyFill="1" applyBorder="1" applyAlignment="1">
      <alignment horizontal="center" vertical="top"/>
    </xf>
    <xf numFmtId="0" fontId="12" fillId="0" borderId="0" xfId="0" applyFont="1" applyBorder="1" applyAlignment="1">
      <alignment horizontal="right" vertical="top"/>
    </xf>
    <xf numFmtId="0" fontId="12" fillId="9" borderId="0" xfId="0" applyFont="1" applyFill="1" applyBorder="1" applyAlignment="1">
      <alignment vertical="top"/>
    </xf>
    <xf numFmtId="0" fontId="12" fillId="0" borderId="14" xfId="0" applyFont="1" applyBorder="1" applyAlignment="1">
      <alignment horizontal="left" vertical="top" indent="3"/>
    </xf>
    <xf numFmtId="0" fontId="12" fillId="9" borderId="7" xfId="0" applyFont="1" applyFill="1" applyBorder="1" applyAlignment="1">
      <alignment vertical="top"/>
    </xf>
    <xf numFmtId="2" fontId="12" fillId="9" borderId="7" xfId="0" applyNumberFormat="1" applyFont="1" applyFill="1" applyBorder="1" applyAlignment="1">
      <alignment vertical="top"/>
    </xf>
    <xf numFmtId="166" fontId="12" fillId="9" borderId="7" xfId="0" applyNumberFormat="1" applyFont="1" applyFill="1" applyBorder="1" applyAlignment="1">
      <alignment vertical="top"/>
    </xf>
    <xf numFmtId="0" fontId="12" fillId="2" borderId="7" xfId="0" applyFont="1" applyFill="1" applyBorder="1" applyAlignment="1">
      <alignment vertical="top"/>
    </xf>
    <xf numFmtId="1" fontId="12" fillId="2" borderId="7" xfId="0" applyNumberFormat="1" applyFont="1" applyFill="1" applyBorder="1" applyAlignment="1">
      <alignment vertical="top"/>
    </xf>
    <xf numFmtId="1" fontId="12" fillId="0" borderId="0" xfId="3" applyNumberFormat="1" applyFont="1" applyBorder="1" applyAlignment="1">
      <alignment vertical="top"/>
    </xf>
    <xf numFmtId="9" fontId="12" fillId="2" borderId="7" xfId="0" applyNumberFormat="1" applyFont="1" applyFill="1" applyBorder="1"/>
    <xf numFmtId="168" fontId="12" fillId="0" borderId="0" xfId="0" applyNumberFormat="1" applyFont="1" applyBorder="1" applyAlignment="1">
      <alignment vertical="top"/>
    </xf>
    <xf numFmtId="169" fontId="12" fillId="0" borderId="0" xfId="0" applyNumberFormat="1" applyFont="1" applyBorder="1" applyAlignment="1">
      <alignment vertical="top"/>
    </xf>
    <xf numFmtId="170" fontId="12" fillId="0" borderId="0" xfId="0" applyNumberFormat="1" applyFont="1" applyBorder="1" applyAlignment="1">
      <alignment vertical="top"/>
    </xf>
    <xf numFmtId="1" fontId="12" fillId="2" borderId="0" xfId="0" applyNumberFormat="1" applyFont="1" applyFill="1" applyBorder="1" applyAlignment="1">
      <alignment vertical="top"/>
    </xf>
    <xf numFmtId="2" fontId="12" fillId="2" borderId="0" xfId="0" applyNumberFormat="1" applyFont="1" applyFill="1" applyBorder="1" applyAlignment="1">
      <alignment vertical="top"/>
    </xf>
    <xf numFmtId="168" fontId="12" fillId="2" borderId="0" xfId="0" applyNumberFormat="1" applyFont="1" applyFill="1" applyBorder="1" applyAlignment="1">
      <alignment vertical="top"/>
    </xf>
    <xf numFmtId="10" fontId="12" fillId="0" borderId="0" xfId="3" applyNumberFormat="1" applyFont="1" applyBorder="1" applyAlignment="1">
      <alignment vertical="top"/>
    </xf>
    <xf numFmtId="9" fontId="24" fillId="2" borderId="7" xfId="3" applyFont="1" applyFill="1" applyBorder="1" applyAlignment="1">
      <alignment vertical="top"/>
    </xf>
    <xf numFmtId="10" fontId="24" fillId="2" borderId="7" xfId="3" applyNumberFormat="1" applyFont="1" applyFill="1" applyBorder="1" applyAlignment="1">
      <alignment vertical="top"/>
    </xf>
    <xf numFmtId="10" fontId="24" fillId="2" borderId="7" xfId="0" applyNumberFormat="1" applyFont="1" applyFill="1" applyBorder="1" applyAlignment="1">
      <alignment vertical="top"/>
    </xf>
    <xf numFmtId="10" fontId="12" fillId="0" borderId="7" xfId="3" applyNumberFormat="1" applyFont="1" applyBorder="1" applyAlignment="1">
      <alignment vertical="top"/>
    </xf>
    <xf numFmtId="10" fontId="12" fillId="0" borderId="7" xfId="0" applyNumberFormat="1" applyFont="1" applyBorder="1" applyAlignment="1">
      <alignment vertical="top"/>
    </xf>
    <xf numFmtId="9" fontId="12" fillId="0" borderId="7" xfId="0" applyNumberFormat="1" applyFont="1" applyBorder="1" applyAlignment="1">
      <alignment vertical="top"/>
    </xf>
    <xf numFmtId="167" fontId="25" fillId="2" borderId="7" xfId="3" applyNumberFormat="1" applyFont="1" applyFill="1" applyBorder="1" applyAlignment="1">
      <alignment vertical="top"/>
    </xf>
    <xf numFmtId="10" fontId="25" fillId="2" borderId="7" xfId="3" applyNumberFormat="1" applyFont="1" applyFill="1" applyBorder="1" applyAlignment="1">
      <alignment vertical="top"/>
    </xf>
    <xf numFmtId="0" fontId="12" fillId="14" borderId="7" xfId="0" applyFont="1" applyFill="1" applyBorder="1" applyAlignment="1">
      <alignment vertical="top"/>
    </xf>
    <xf numFmtId="2" fontId="12" fillId="14" borderId="7" xfId="0" applyNumberFormat="1" applyFont="1" applyFill="1" applyBorder="1" applyAlignment="1">
      <alignment vertical="top"/>
    </xf>
    <xf numFmtId="0" fontId="13" fillId="14" borderId="7" xfId="0" applyFont="1" applyFill="1" applyBorder="1" applyAlignment="1">
      <alignment vertical="top"/>
    </xf>
    <xf numFmtId="2" fontId="13" fillId="14" borderId="7" xfId="0" applyNumberFormat="1" applyFont="1" applyFill="1" applyBorder="1" applyAlignment="1">
      <alignment vertical="top"/>
    </xf>
    <xf numFmtId="10" fontId="24" fillId="2" borderId="19" xfId="3" applyNumberFormat="1" applyFont="1" applyFill="1" applyBorder="1" applyAlignment="1">
      <alignment vertical="top"/>
    </xf>
    <xf numFmtId="1" fontId="24" fillId="2" borderId="16" xfId="0" applyNumberFormat="1" applyFont="1" applyFill="1" applyBorder="1" applyAlignment="1">
      <alignment vertical="top"/>
    </xf>
    <xf numFmtId="0" fontId="31" fillId="0" borderId="0" xfId="0" applyFont="1" applyBorder="1" applyAlignment="1">
      <alignment horizontal="center" wrapText="1"/>
    </xf>
    <xf numFmtId="0" fontId="31" fillId="0" borderId="0" xfId="0" applyFont="1" applyBorder="1" applyAlignment="1">
      <alignment horizontal="left"/>
    </xf>
    <xf numFmtId="2" fontId="31" fillId="0" borderId="0" xfId="0" applyNumberFormat="1" applyFont="1" applyBorder="1" applyAlignment="1">
      <alignment horizontal="left"/>
    </xf>
    <xf numFmtId="0" fontId="0" fillId="0" borderId="0" xfId="0" applyBorder="1"/>
    <xf numFmtId="167" fontId="31" fillId="0" borderId="0" xfId="3" applyNumberFormat="1" applyFont="1" applyBorder="1" applyAlignment="1">
      <alignment horizontal="left"/>
    </xf>
    <xf numFmtId="10" fontId="31" fillId="0" borderId="0" xfId="3" applyNumberFormat="1" applyFont="1" applyBorder="1" applyAlignment="1">
      <alignment horizontal="left"/>
    </xf>
    <xf numFmtId="10" fontId="31" fillId="0" borderId="0" xfId="0" applyNumberFormat="1" applyFont="1" applyBorder="1" applyAlignment="1">
      <alignment horizontal="left"/>
    </xf>
    <xf numFmtId="10" fontId="0" fillId="0" borderId="0" xfId="0" applyNumberFormat="1" applyBorder="1" applyAlignment="1">
      <alignment horizontal="left"/>
    </xf>
    <xf numFmtId="2" fontId="12" fillId="2" borderId="7" xfId="0" applyNumberFormat="1" applyFont="1" applyFill="1" applyBorder="1" applyAlignment="1">
      <alignment vertical="top"/>
    </xf>
    <xf numFmtId="0" fontId="31" fillId="2" borderId="0" xfId="0" applyFont="1" applyFill="1" applyAlignment="1">
      <alignment horizontal="justify"/>
    </xf>
    <xf numFmtId="0" fontId="0" fillId="2" borderId="0" xfId="0" applyFill="1"/>
    <xf numFmtId="0" fontId="31" fillId="2" borderId="23" xfId="0" applyFont="1" applyFill="1" applyBorder="1" applyAlignment="1">
      <alignment horizontal="center" wrapText="1"/>
    </xf>
    <xf numFmtId="0" fontId="31" fillId="2" borderId="24" xfId="0" applyFont="1" applyFill="1" applyBorder="1" applyAlignment="1">
      <alignment horizontal="center" wrapText="1"/>
    </xf>
    <xf numFmtId="0" fontId="31" fillId="2" borderId="43" xfId="0" applyFont="1" applyFill="1" applyBorder="1" applyAlignment="1">
      <alignment horizontal="left"/>
    </xf>
    <xf numFmtId="0" fontId="31" fillId="2" borderId="25" xfId="0" applyFont="1" applyFill="1" applyBorder="1" applyAlignment="1">
      <alignment horizontal="left"/>
    </xf>
    <xf numFmtId="0" fontId="31" fillId="2" borderId="24" xfId="0" applyFont="1" applyFill="1" applyBorder="1" applyAlignment="1">
      <alignment horizontal="left"/>
    </xf>
    <xf numFmtId="0" fontId="31" fillId="2" borderId="20" xfId="0" applyFont="1" applyFill="1" applyBorder="1" applyAlignment="1">
      <alignment horizontal="left"/>
    </xf>
    <xf numFmtId="0" fontId="31" fillId="2" borderId="2" xfId="0" applyFont="1" applyFill="1" applyBorder="1" applyAlignment="1">
      <alignment horizontal="left"/>
    </xf>
    <xf numFmtId="0" fontId="0" fillId="2" borderId="2" xfId="0" applyFill="1" applyBorder="1"/>
    <xf numFmtId="0" fontId="31" fillId="2" borderId="0" xfId="0" applyFont="1" applyFill="1" applyAlignment="1">
      <alignment horizontal="left"/>
    </xf>
    <xf numFmtId="0" fontId="12" fillId="0" borderId="0" xfId="0" applyFont="1" applyBorder="1" applyAlignment="1">
      <alignment wrapText="1"/>
    </xf>
    <xf numFmtId="0" fontId="30" fillId="0" borderId="0" xfId="0" applyFont="1" applyBorder="1"/>
    <xf numFmtId="0" fontId="30" fillId="0" borderId="0" xfId="0" applyFont="1" applyFill="1" applyBorder="1"/>
    <xf numFmtId="0" fontId="30" fillId="0" borderId="0" xfId="0" applyFont="1" applyFill="1" applyBorder="1" applyAlignment="1">
      <alignment horizontal="left" indent="2"/>
    </xf>
    <xf numFmtId="2" fontId="30" fillId="0" borderId="0" xfId="0" applyNumberFormat="1" applyFont="1" applyBorder="1"/>
    <xf numFmtId="10" fontId="31" fillId="0" borderId="0" xfId="3" applyNumberFormat="1" applyFont="1" applyBorder="1" applyAlignment="1">
      <alignment horizontal="left"/>
    </xf>
    <xf numFmtId="10" fontId="12" fillId="0" borderId="7" xfId="0" applyNumberFormat="1" applyFont="1" applyBorder="1" applyAlignment="1">
      <alignment horizontal="right" vertical="center"/>
    </xf>
    <xf numFmtId="0" fontId="0" fillId="2" borderId="42" xfId="0" applyFill="1" applyBorder="1"/>
    <xf numFmtId="0" fontId="0" fillId="2" borderId="43" xfId="0" applyFill="1" applyBorder="1"/>
    <xf numFmtId="0" fontId="31" fillId="2" borderId="44" xfId="0" applyFont="1" applyFill="1" applyBorder="1" applyAlignment="1">
      <alignment horizontal="left"/>
    </xf>
    <xf numFmtId="0" fontId="31" fillId="2" borderId="45" xfId="0" applyFont="1" applyFill="1" applyBorder="1" applyAlignment="1">
      <alignment horizontal="left"/>
    </xf>
    <xf numFmtId="0" fontId="31" fillId="2" borderId="0" xfId="0" applyFont="1" applyFill="1" applyAlignment="1">
      <alignment horizontal="center"/>
    </xf>
    <xf numFmtId="0" fontId="26" fillId="0" borderId="0" xfId="0" applyFont="1" applyBorder="1" applyAlignment="1">
      <alignment horizontal="left" vertical="top"/>
    </xf>
    <xf numFmtId="0" fontId="26" fillId="0" borderId="0" xfId="0" applyFont="1" applyBorder="1" applyAlignment="1">
      <alignment horizontal="left" vertical="top" wrapText="1"/>
    </xf>
    <xf numFmtId="0" fontId="20" fillId="0" borderId="0" xfId="0" applyFont="1" applyBorder="1" applyAlignment="1">
      <alignment vertical="top"/>
    </xf>
    <xf numFmtId="0" fontId="20" fillId="0" borderId="0" xfId="0" applyFont="1" applyBorder="1" applyAlignment="1">
      <alignment vertical="top" wrapText="1"/>
    </xf>
    <xf numFmtId="0" fontId="13" fillId="0" borderId="7" xfId="0" applyFont="1" applyBorder="1" applyAlignment="1">
      <alignment horizontal="center" wrapText="1"/>
    </xf>
    <xf numFmtId="0" fontId="13" fillId="3" borderId="20" xfId="0" applyFont="1" applyFill="1" applyBorder="1" applyAlignment="1">
      <alignment horizontal="center"/>
    </xf>
    <xf numFmtId="0" fontId="13" fillId="0" borderId="0" xfId="0" applyFont="1" applyBorder="1" applyAlignment="1">
      <alignment horizontal="center"/>
    </xf>
    <xf numFmtId="0" fontId="12" fillId="0" borderId="46" xfId="0" applyFont="1" applyBorder="1" applyAlignment="1">
      <alignment horizontal="left"/>
    </xf>
    <xf numFmtId="0" fontId="12" fillId="0" borderId="27" xfId="0" applyFont="1" applyBorder="1" applyAlignment="1">
      <alignment horizontal="left"/>
    </xf>
    <xf numFmtId="0" fontId="12" fillId="0" borderId="47" xfId="0" applyFont="1" applyBorder="1" applyAlignment="1">
      <alignment horizontal="left"/>
    </xf>
    <xf numFmtId="0" fontId="12" fillId="0" borderId="17" xfId="0" applyFont="1" applyBorder="1" applyAlignment="1">
      <alignment horizontal="left"/>
    </xf>
    <xf numFmtId="0" fontId="12" fillId="0" borderId="18" xfId="0" applyFont="1" applyBorder="1" applyAlignment="1">
      <alignment horizontal="left"/>
    </xf>
    <xf numFmtId="0" fontId="12" fillId="0" borderId="15" xfId="0" applyFont="1" applyBorder="1" applyAlignment="1">
      <alignment horizontal="left"/>
    </xf>
    <xf numFmtId="0" fontId="5" fillId="0" borderId="0" xfId="0" applyFont="1" applyBorder="1" applyAlignment="1">
      <alignment horizontal="left" vertical="top" wrapText="1"/>
    </xf>
    <xf numFmtId="0" fontId="12" fillId="0" borderId="0" xfId="0" applyFont="1" applyBorder="1" applyAlignment="1">
      <alignment vertical="top" wrapText="1"/>
    </xf>
    <xf numFmtId="0" fontId="6" fillId="4" borderId="0" xfId="0" applyFont="1" applyFill="1" applyBorder="1" applyAlignment="1">
      <alignment horizontal="center"/>
    </xf>
    <xf numFmtId="0" fontId="6" fillId="4" borderId="7" xfId="0" applyFont="1" applyFill="1" applyBorder="1" applyAlignment="1">
      <alignment horizontal="center"/>
    </xf>
    <xf numFmtId="0" fontId="4" fillId="0" borderId="19" xfId="0" applyFont="1" applyFill="1" applyBorder="1" applyAlignment="1">
      <alignment horizontal="right"/>
    </xf>
    <xf numFmtId="0" fontId="4" fillId="0" borderId="18" xfId="0" applyFont="1" applyFill="1" applyBorder="1" applyAlignment="1">
      <alignment horizontal="right"/>
    </xf>
    <xf numFmtId="0" fontId="4" fillId="0" borderId="16" xfId="0" applyFont="1" applyFill="1" applyBorder="1" applyAlignment="1">
      <alignment horizontal="right"/>
    </xf>
    <xf numFmtId="0" fontId="6" fillId="4" borderId="22" xfId="0" applyFont="1" applyFill="1" applyBorder="1" applyAlignment="1">
      <alignment horizontal="center"/>
    </xf>
    <xf numFmtId="0" fontId="18" fillId="2" borderId="23" xfId="0" applyFont="1" applyFill="1" applyBorder="1" applyAlignment="1">
      <alignment horizontal="center"/>
    </xf>
    <xf numFmtId="0" fontId="18" fillId="2" borderId="24" xfId="0" applyFont="1" applyFill="1" applyBorder="1" applyAlignment="1">
      <alignment horizontal="center"/>
    </xf>
    <xf numFmtId="0" fontId="18" fillId="2" borderId="25" xfId="0" applyFont="1" applyFill="1" applyBorder="1" applyAlignment="1">
      <alignment horizontal="center"/>
    </xf>
    <xf numFmtId="0" fontId="13" fillId="0" borderId="26"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9" xfId="0" applyFont="1" applyBorder="1" applyAlignment="1">
      <alignment horizontal="center" vertical="center" wrapText="1"/>
    </xf>
    <xf numFmtId="0" fontId="19" fillId="6" borderId="0" xfId="0" applyFont="1" applyFill="1" applyBorder="1" applyAlignment="1">
      <alignment horizontal="left" vertical="top"/>
    </xf>
    <xf numFmtId="0" fontId="19" fillId="6" borderId="0" xfId="0" applyFont="1" applyFill="1" applyBorder="1" applyAlignment="1">
      <alignment horizontal="left" vertical="top" wrapText="1"/>
    </xf>
    <xf numFmtId="0" fontId="19" fillId="6" borderId="0" xfId="0" applyFont="1" applyFill="1" applyBorder="1" applyAlignment="1">
      <alignment vertical="top"/>
    </xf>
    <xf numFmtId="0" fontId="19" fillId="6" borderId="0" xfId="0" applyFont="1" applyFill="1" applyBorder="1" applyAlignment="1">
      <alignment vertical="top" wrapText="1"/>
    </xf>
    <xf numFmtId="0" fontId="6" fillId="4" borderId="7" xfId="0" applyFont="1" applyFill="1" applyBorder="1" applyAlignment="1">
      <alignment horizontal="center" vertical="top" wrapText="1"/>
    </xf>
    <xf numFmtId="0" fontId="6" fillId="4" borderId="19" xfId="0" applyFont="1" applyFill="1" applyBorder="1" applyAlignment="1">
      <alignment horizontal="center" vertical="top" wrapText="1"/>
    </xf>
    <xf numFmtId="0" fontId="6" fillId="4" borderId="18" xfId="0" applyFont="1" applyFill="1" applyBorder="1" applyAlignment="1">
      <alignment horizontal="center" vertical="top" wrapText="1"/>
    </xf>
    <xf numFmtId="0" fontId="11" fillId="0" borderId="19" xfId="0" applyFont="1" applyBorder="1" applyAlignment="1">
      <alignment horizontal="center"/>
    </xf>
    <xf numFmtId="0" fontId="11" fillId="0" borderId="18" xfId="0" applyFont="1" applyBorder="1" applyAlignment="1">
      <alignment horizontal="center"/>
    </xf>
    <xf numFmtId="0" fontId="11" fillId="0" borderId="7" xfId="0" applyFont="1" applyBorder="1" applyAlignment="1">
      <alignment horizontal="center"/>
    </xf>
    <xf numFmtId="0" fontId="0" fillId="0" borderId="7" xfId="0" applyBorder="1" applyAlignment="1">
      <alignment horizontal="center" wrapText="1"/>
    </xf>
    <xf numFmtId="0" fontId="11" fillId="0" borderId="27" xfId="0" applyFont="1" applyBorder="1" applyAlignment="1">
      <alignment horizontal="center"/>
    </xf>
  </cellXfs>
  <cellStyles count="4">
    <cellStyle name="Comma" xfId="1" builtinId="3"/>
    <cellStyle name="Normal" xfId="0" builtinId="0"/>
    <cellStyle name="Normal 2_WB-Semen Station-Financials &amp; physicals" xfId="2"/>
    <cellStyle name="Percent" xfId="3" builtinId="5"/>
  </cellStyles>
  <dxfs count="0"/>
  <tableStyles count="0" defaultTableStyle="TableStyleMedium9" defaultPivotStyle="PivotStyleLight16"/>
  <colors>
    <mruColors>
      <color rgb="FFF4FD7F"/>
      <color rgb="FF66FF66"/>
      <color rgb="FF0033CC"/>
      <color rgb="FF00FFFF"/>
      <color rgb="FFFF99FF"/>
      <color rgb="FFFF0000"/>
      <color rgb="FF0D0D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val>
            <c:numRef>
              <c:f>Productivity!$C$232:$AA$232</c:f>
              <c:numCache>
                <c:formatCode>0</c:formatCode>
                <c:ptCount val="25"/>
                <c:pt idx="0">
                  <c:v>1441.103829728117</c:v>
                </c:pt>
                <c:pt idx="1">
                  <c:v>1443.9860373875733</c:v>
                </c:pt>
                <c:pt idx="2">
                  <c:v>1446.8740094623486</c:v>
                </c:pt>
                <c:pt idx="3">
                  <c:v>1449.7677574812733</c:v>
                </c:pt>
                <c:pt idx="4">
                  <c:v>1452.6672929962358</c:v>
                </c:pt>
                <c:pt idx="5">
                  <c:v>1455.5726275822283</c:v>
                </c:pt>
                <c:pt idx="6">
                  <c:v>1458.4837728373927</c:v>
                </c:pt>
                <c:pt idx="7">
                  <c:v>1461.4007403830676</c:v>
                </c:pt>
                <c:pt idx="8">
                  <c:v>1464.3235418638337</c:v>
                </c:pt>
                <c:pt idx="9">
                  <c:v>1467.2521889475613</c:v>
                </c:pt>
                <c:pt idx="10">
                  <c:v>1470.1866933254564</c:v>
                </c:pt>
                <c:pt idx="11">
                  <c:v>1473.1270667121073</c:v>
                </c:pt>
                <c:pt idx="12">
                  <c:v>1476.0733208455315</c:v>
                </c:pt>
                <c:pt idx="13">
                  <c:v>1479.0254674872226</c:v>
                </c:pt>
                <c:pt idx="14">
                  <c:v>1481.983518422197</c:v>
                </c:pt>
                <c:pt idx="15">
                  <c:v>1484.9474854590414</c:v>
                </c:pt>
                <c:pt idx="16">
                  <c:v>1487.9173804299596</c:v>
                </c:pt>
                <c:pt idx="17">
                  <c:v>1490.8932151908195</c:v>
                </c:pt>
                <c:pt idx="18">
                  <c:v>1493.8750016212011</c:v>
                </c:pt>
                <c:pt idx="19">
                  <c:v>1496.8627516244435</c:v>
                </c:pt>
                <c:pt idx="20">
                  <c:v>1499.8564771276924</c:v>
                </c:pt>
                <c:pt idx="21">
                  <c:v>1502.8561900819477</c:v>
                </c:pt>
                <c:pt idx="22">
                  <c:v>1505.8619024621116</c:v>
                </c:pt>
                <c:pt idx="23">
                  <c:v>1508.8736262670359</c:v>
                </c:pt>
                <c:pt idx="24">
                  <c:v>1511.8913735195699</c:v>
                </c:pt>
              </c:numCache>
            </c:numRef>
          </c:val>
          <c:smooth val="0"/>
        </c:ser>
        <c:ser>
          <c:idx val="1"/>
          <c:order val="1"/>
          <c:val>
            <c:numRef>
              <c:f>Productivity!$C$233:$AA$233</c:f>
              <c:numCache>
                <c:formatCode>0</c:formatCode>
                <c:ptCount val="25"/>
                <c:pt idx="0">
                  <c:v>1441.103829728117</c:v>
                </c:pt>
                <c:pt idx="1">
                  <c:v>1443.9860373875733</c:v>
                </c:pt>
                <c:pt idx="2">
                  <c:v>1446.8740094623486</c:v>
                </c:pt>
                <c:pt idx="3">
                  <c:v>1449.7677574812733</c:v>
                </c:pt>
                <c:pt idx="4">
                  <c:v>1638.6811266110717</c:v>
                </c:pt>
                <c:pt idx="5">
                  <c:v>1689.7124037658082</c:v>
                </c:pt>
                <c:pt idx="6">
                  <c:v>1702.9474444133957</c:v>
                </c:pt>
                <c:pt idx="7">
                  <c:v>1716.3122992982348</c:v>
                </c:pt>
                <c:pt idx="8">
                  <c:v>1729.808246273345</c:v>
                </c:pt>
                <c:pt idx="9">
                  <c:v>1743.4365758079598</c:v>
                </c:pt>
                <c:pt idx="10">
                  <c:v>1757.1985911123925</c:v>
                </c:pt>
                <c:pt idx="11">
                  <c:v>1771.0956082641371</c:v>
                </c:pt>
                <c:pt idx="12">
                  <c:v>1785.1289563352209</c:v>
                </c:pt>
                <c:pt idx="13">
                  <c:v>1799.2999775208195</c:v>
                </c:pt>
                <c:pt idx="14">
                  <c:v>1813.6100272691492</c:v>
                </c:pt>
                <c:pt idx="15">
                  <c:v>1828.0604744126435</c:v>
                </c:pt>
                <c:pt idx="16">
                  <c:v>1842.6527013004361</c:v>
                </c:pt>
                <c:pt idx="17">
                  <c:v>1857.3881039321525</c:v>
                </c:pt>
                <c:pt idx="18">
                  <c:v>1872.2680920930325</c:v>
                </c:pt>
                <c:pt idx="19">
                  <c:v>1887.2940894903904</c:v>
                </c:pt>
                <c:pt idx="20">
                  <c:v>1902.4675338914303</c:v>
                </c:pt>
                <c:pt idx="21">
                  <c:v>1917.7898772624262</c:v>
                </c:pt>
                <c:pt idx="22">
                  <c:v>1933.2625859092855</c:v>
                </c:pt>
                <c:pt idx="23">
                  <c:v>1948.887140619504</c:v>
                </c:pt>
                <c:pt idx="24">
                  <c:v>1964.6650368055302</c:v>
                </c:pt>
              </c:numCache>
            </c:numRef>
          </c:val>
          <c:smooth val="0"/>
        </c:ser>
        <c:dLbls>
          <c:showLegendKey val="0"/>
          <c:showVal val="0"/>
          <c:showCatName val="0"/>
          <c:showSerName val="0"/>
          <c:showPercent val="0"/>
          <c:showBubbleSize val="0"/>
        </c:dLbls>
        <c:marker val="1"/>
        <c:smooth val="0"/>
        <c:axId val="-2104306720"/>
        <c:axId val="-2104308352"/>
      </c:lineChart>
      <c:catAx>
        <c:axId val="-2104306720"/>
        <c:scaling>
          <c:orientation val="minMax"/>
        </c:scaling>
        <c:delete val="0"/>
        <c:axPos val="b"/>
        <c:majorTickMark val="out"/>
        <c:minorTickMark val="none"/>
        <c:tickLblPos val="nextTo"/>
        <c:crossAx val="-2104308352"/>
        <c:crosses val="autoZero"/>
        <c:auto val="1"/>
        <c:lblAlgn val="ctr"/>
        <c:lblOffset val="100"/>
        <c:noMultiLvlLbl val="0"/>
      </c:catAx>
      <c:valAx>
        <c:axId val="-2104308352"/>
        <c:scaling>
          <c:orientation val="minMax"/>
          <c:max val="2250"/>
          <c:min val="1250"/>
        </c:scaling>
        <c:delete val="0"/>
        <c:axPos val="l"/>
        <c:majorGridlines/>
        <c:numFmt formatCode="0" sourceLinked="1"/>
        <c:majorTickMark val="out"/>
        <c:minorTickMark val="none"/>
        <c:tickLblPos val="nextTo"/>
        <c:crossAx val="-2104306720"/>
        <c:crosses val="autoZero"/>
        <c:crossBetween val="between"/>
        <c:majorUnit val="250"/>
      </c:valAx>
    </c:plotArea>
    <c:legend>
      <c:legendPos val="r"/>
      <c:overlay val="0"/>
    </c:legend>
    <c:plotVisOnly val="1"/>
    <c:dispBlanksAs val="gap"/>
    <c:showDLblsOverMax val="0"/>
  </c:chart>
  <c:printSettings>
    <c:headerFooter/>
    <c:pageMargins b="0.75000000000000289" l="0.70000000000000062" r="0.70000000000000062" t="0.75000000000000289"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0"/>
            </a:pPr>
            <a:r>
              <a:rPr lang="en-US" b="0"/>
              <a:t>Fig.2 NDSP  Incremental Milk Production  (Million tonnes)</a:t>
            </a:r>
          </a:p>
        </c:rich>
      </c:tx>
      <c:layout>
        <c:manualLayout>
          <c:xMode val="edge"/>
          <c:yMode val="edge"/>
          <c:x val="0.12606679054577946"/>
          <c:y val="0.90129402209985365"/>
        </c:manualLayout>
      </c:layout>
      <c:overlay val="0"/>
    </c:title>
    <c:autoTitleDeleted val="0"/>
    <c:plotArea>
      <c:layout>
        <c:manualLayout>
          <c:layoutTarget val="inner"/>
          <c:xMode val="edge"/>
          <c:yMode val="edge"/>
          <c:x val="7.4515501046197266E-2"/>
          <c:y val="5.2872380520377162E-2"/>
          <c:w val="0.87222176087521397"/>
          <c:h val="0.64638525987172368"/>
        </c:manualLayout>
      </c:layout>
      <c:areaChart>
        <c:grouping val="stacked"/>
        <c:varyColors val="0"/>
        <c:ser>
          <c:idx val="0"/>
          <c:order val="0"/>
          <c:tx>
            <c:strRef>
              <c:f>Productivity!$B$262</c:f>
              <c:strCache>
                <c:ptCount val="1"/>
                <c:pt idx="0">
                  <c:v>Pure Genetics</c:v>
                </c:pt>
              </c:strCache>
            </c:strRef>
          </c:tx>
          <c:spPr>
            <a:solidFill>
              <a:schemeClr val="tx1"/>
            </a:solidFill>
          </c:spPr>
          <c:cat>
            <c:strRef>
              <c:f>Productivity!$C$261:$V$261</c:f>
              <c:strCache>
                <c:ptCount val="20"/>
                <c:pt idx="0">
                  <c:v>PY-1</c:v>
                </c:pt>
                <c:pt idx="1">
                  <c:v>PY-2</c:v>
                </c:pt>
                <c:pt idx="2">
                  <c:v>PY-3</c:v>
                </c:pt>
                <c:pt idx="3">
                  <c:v>PY-4</c:v>
                </c:pt>
                <c:pt idx="4">
                  <c:v>PY-5</c:v>
                </c:pt>
                <c:pt idx="5">
                  <c:v>PY-6</c:v>
                </c:pt>
                <c:pt idx="6">
                  <c:v>PY-7</c:v>
                </c:pt>
                <c:pt idx="7">
                  <c:v>PY-8</c:v>
                </c:pt>
                <c:pt idx="8">
                  <c:v>PY-9</c:v>
                </c:pt>
                <c:pt idx="9">
                  <c:v>PY-10</c:v>
                </c:pt>
                <c:pt idx="10">
                  <c:v>PY-11</c:v>
                </c:pt>
                <c:pt idx="11">
                  <c:v>PY-12</c:v>
                </c:pt>
                <c:pt idx="12">
                  <c:v>PY-13</c:v>
                </c:pt>
                <c:pt idx="13">
                  <c:v>PY-14</c:v>
                </c:pt>
                <c:pt idx="14">
                  <c:v>PY-15</c:v>
                </c:pt>
                <c:pt idx="15">
                  <c:v>PY-16</c:v>
                </c:pt>
                <c:pt idx="16">
                  <c:v>PY-17</c:v>
                </c:pt>
                <c:pt idx="17">
                  <c:v>PY-18</c:v>
                </c:pt>
                <c:pt idx="18">
                  <c:v>PY-19</c:v>
                </c:pt>
                <c:pt idx="19">
                  <c:v>PY-20</c:v>
                </c:pt>
              </c:strCache>
            </c:strRef>
          </c:cat>
          <c:val>
            <c:numRef>
              <c:f>Productivity!$C$262:$V$262</c:f>
              <c:numCache>
                <c:formatCode>General</c:formatCode>
                <c:ptCount val="20"/>
                <c:pt idx="0" formatCode="0.00">
                  <c:v>0</c:v>
                </c:pt>
                <c:pt idx="1">
                  <c:v>0</c:v>
                </c:pt>
                <c:pt idx="2">
                  <c:v>0</c:v>
                </c:pt>
                <c:pt idx="3">
                  <c:v>0</c:v>
                </c:pt>
                <c:pt idx="4">
                  <c:v>0</c:v>
                </c:pt>
                <c:pt idx="5" formatCode="0.00">
                  <c:v>0</c:v>
                </c:pt>
                <c:pt idx="6" formatCode="0.00">
                  <c:v>2.4441460580022969E-2</c:v>
                </c:pt>
                <c:pt idx="7" formatCode="0.00">
                  <c:v>8.4040326628459283E-2</c:v>
                </c:pt>
                <c:pt idx="8" formatCode="0.00">
                  <c:v>0.1992854211037795</c:v>
                </c:pt>
                <c:pt idx="9" formatCode="0.00">
                  <c:v>0.37532312394609413</c:v>
                </c:pt>
                <c:pt idx="10" formatCode="0.00">
                  <c:v>0.62526956164422598</c:v>
                </c:pt>
                <c:pt idx="11" formatCode="0.00">
                  <c:v>0.91693044174226734</c:v>
                </c:pt>
                <c:pt idx="12" formatCode="0.00">
                  <c:v>1.1928282008469218</c:v>
                </c:pt>
                <c:pt idx="13" formatCode="0.00">
                  <c:v>1.4259811398527813</c:v>
                </c:pt>
                <c:pt idx="14" formatCode="0.00">
                  <c:v>1.6104480410779354</c:v>
                </c:pt>
                <c:pt idx="15" formatCode="0.00">
                  <c:v>1.733193545971373</c:v>
                </c:pt>
                <c:pt idx="16" formatCode="0.00">
                  <c:v>1.8020939756723269</c:v>
                </c:pt>
                <c:pt idx="17" formatCode="0.00">
                  <c:v>1.8640356760734407</c:v>
                </c:pt>
                <c:pt idx="18" formatCode="0.00">
                  <c:v>1.9256375012214881</c:v>
                </c:pt>
                <c:pt idx="19" formatCode="0.00">
                  <c:v>1.9878215297817974</c:v>
                </c:pt>
              </c:numCache>
            </c:numRef>
          </c:val>
        </c:ser>
        <c:ser>
          <c:idx val="1"/>
          <c:order val="1"/>
          <c:tx>
            <c:strRef>
              <c:f>Productivity!$B$263</c:f>
              <c:strCache>
                <c:ptCount val="1"/>
                <c:pt idx="0">
                  <c:v>AI</c:v>
                </c:pt>
              </c:strCache>
            </c:strRef>
          </c:tx>
          <c:spPr>
            <a:solidFill>
              <a:srgbClr val="00FFFF"/>
            </a:solidFill>
          </c:spPr>
          <c:cat>
            <c:strRef>
              <c:f>Productivity!$C$261:$V$261</c:f>
              <c:strCache>
                <c:ptCount val="20"/>
                <c:pt idx="0">
                  <c:v>PY-1</c:v>
                </c:pt>
                <c:pt idx="1">
                  <c:v>PY-2</c:v>
                </c:pt>
                <c:pt idx="2">
                  <c:v>PY-3</c:v>
                </c:pt>
                <c:pt idx="3">
                  <c:v>PY-4</c:v>
                </c:pt>
                <c:pt idx="4">
                  <c:v>PY-5</c:v>
                </c:pt>
                <c:pt idx="5">
                  <c:v>PY-6</c:v>
                </c:pt>
                <c:pt idx="6">
                  <c:v>PY-7</c:v>
                </c:pt>
                <c:pt idx="7">
                  <c:v>PY-8</c:v>
                </c:pt>
                <c:pt idx="8">
                  <c:v>PY-9</c:v>
                </c:pt>
                <c:pt idx="9">
                  <c:v>PY-10</c:v>
                </c:pt>
                <c:pt idx="10">
                  <c:v>PY-11</c:v>
                </c:pt>
                <c:pt idx="11">
                  <c:v>PY-12</c:v>
                </c:pt>
                <c:pt idx="12">
                  <c:v>PY-13</c:v>
                </c:pt>
                <c:pt idx="13">
                  <c:v>PY-14</c:v>
                </c:pt>
                <c:pt idx="14">
                  <c:v>PY-15</c:v>
                </c:pt>
                <c:pt idx="15">
                  <c:v>PY-16</c:v>
                </c:pt>
                <c:pt idx="16">
                  <c:v>PY-17</c:v>
                </c:pt>
                <c:pt idx="17">
                  <c:v>PY-18</c:v>
                </c:pt>
                <c:pt idx="18">
                  <c:v>PY-19</c:v>
                </c:pt>
                <c:pt idx="19">
                  <c:v>PY-20</c:v>
                </c:pt>
              </c:strCache>
            </c:strRef>
          </c:cat>
          <c:val>
            <c:numRef>
              <c:f>Productivity!$C$263:$V$263</c:f>
              <c:numCache>
                <c:formatCode>0.00</c:formatCode>
                <c:ptCount val="20"/>
                <c:pt idx="0">
                  <c:v>0</c:v>
                </c:pt>
                <c:pt idx="1">
                  <c:v>1.1650169539916641E-2</c:v>
                </c:pt>
                <c:pt idx="2">
                  <c:v>2.700770688073979E-2</c:v>
                </c:pt>
                <c:pt idx="3">
                  <c:v>5.0126788743287208E-2</c:v>
                </c:pt>
                <c:pt idx="4">
                  <c:v>7.3159649238014185E-2</c:v>
                </c:pt>
                <c:pt idx="5">
                  <c:v>9.9862696158438249E-2</c:v>
                </c:pt>
                <c:pt idx="6">
                  <c:v>0.12084643208864387</c:v>
                </c:pt>
                <c:pt idx="7">
                  <c:v>0.12142818787721317</c:v>
                </c:pt>
                <c:pt idx="8">
                  <c:v>0.12142818787721317</c:v>
                </c:pt>
                <c:pt idx="9">
                  <c:v>0.12142818787721317</c:v>
                </c:pt>
                <c:pt idx="10">
                  <c:v>0.12142818787721317</c:v>
                </c:pt>
                <c:pt idx="11">
                  <c:v>0.12142818787721317</c:v>
                </c:pt>
                <c:pt idx="12">
                  <c:v>0.12142818787721317</c:v>
                </c:pt>
                <c:pt idx="13">
                  <c:v>0.12142818787721317</c:v>
                </c:pt>
                <c:pt idx="14">
                  <c:v>0.12142818787721317</c:v>
                </c:pt>
                <c:pt idx="15">
                  <c:v>0.12142818787721317</c:v>
                </c:pt>
                <c:pt idx="16">
                  <c:v>0.12142818787721317</c:v>
                </c:pt>
                <c:pt idx="17">
                  <c:v>0.12142818787721317</c:v>
                </c:pt>
                <c:pt idx="18">
                  <c:v>0.12142818787721317</c:v>
                </c:pt>
                <c:pt idx="19">
                  <c:v>0.12142818787721317</c:v>
                </c:pt>
              </c:numCache>
            </c:numRef>
          </c:val>
        </c:ser>
        <c:ser>
          <c:idx val="2"/>
          <c:order val="2"/>
          <c:tx>
            <c:strRef>
              <c:f>Productivity!$B$264</c:f>
              <c:strCache>
                <c:ptCount val="1"/>
                <c:pt idx="0">
                  <c:v>Nutrition</c:v>
                </c:pt>
              </c:strCache>
            </c:strRef>
          </c:tx>
          <c:spPr>
            <a:solidFill>
              <a:srgbClr val="FF0000"/>
            </a:solidFill>
          </c:spPr>
          <c:cat>
            <c:strRef>
              <c:f>Productivity!$C$261:$V$261</c:f>
              <c:strCache>
                <c:ptCount val="20"/>
                <c:pt idx="0">
                  <c:v>PY-1</c:v>
                </c:pt>
                <c:pt idx="1">
                  <c:v>PY-2</c:v>
                </c:pt>
                <c:pt idx="2">
                  <c:v>PY-3</c:v>
                </c:pt>
                <c:pt idx="3">
                  <c:v>PY-4</c:v>
                </c:pt>
                <c:pt idx="4">
                  <c:v>PY-5</c:v>
                </c:pt>
                <c:pt idx="5">
                  <c:v>PY-6</c:v>
                </c:pt>
                <c:pt idx="6">
                  <c:v>PY-7</c:v>
                </c:pt>
                <c:pt idx="7">
                  <c:v>PY-8</c:v>
                </c:pt>
                <c:pt idx="8">
                  <c:v>PY-9</c:v>
                </c:pt>
                <c:pt idx="9">
                  <c:v>PY-10</c:v>
                </c:pt>
                <c:pt idx="10">
                  <c:v>PY-11</c:v>
                </c:pt>
                <c:pt idx="11">
                  <c:v>PY-12</c:v>
                </c:pt>
                <c:pt idx="12">
                  <c:v>PY-13</c:v>
                </c:pt>
                <c:pt idx="13">
                  <c:v>PY-14</c:v>
                </c:pt>
                <c:pt idx="14">
                  <c:v>PY-15</c:v>
                </c:pt>
                <c:pt idx="15">
                  <c:v>PY-16</c:v>
                </c:pt>
                <c:pt idx="16">
                  <c:v>PY-17</c:v>
                </c:pt>
                <c:pt idx="17">
                  <c:v>PY-18</c:v>
                </c:pt>
                <c:pt idx="18">
                  <c:v>PY-19</c:v>
                </c:pt>
                <c:pt idx="19">
                  <c:v>PY-20</c:v>
                </c:pt>
              </c:strCache>
            </c:strRef>
          </c:cat>
          <c:val>
            <c:numRef>
              <c:f>Productivity!$C$264:$V$264</c:f>
              <c:numCache>
                <c:formatCode>0.00</c:formatCode>
                <c:ptCount val="20"/>
                <c:pt idx="0">
                  <c:v>1.575033149746875E-3</c:v>
                </c:pt>
                <c:pt idx="1">
                  <c:v>1.0100617446150002E-2</c:v>
                </c:pt>
                <c:pt idx="2">
                  <c:v>4.2506765085881248E-2</c:v>
                </c:pt>
                <c:pt idx="3">
                  <c:v>0.11697841346346748</c:v>
                </c:pt>
                <c:pt idx="4">
                  <c:v>0.23119191043410001</c:v>
                </c:pt>
                <c:pt idx="5">
                  <c:v>0.32944847236859259</c:v>
                </c:pt>
                <c:pt idx="6">
                  <c:v>0.40458584325967506</c:v>
                </c:pt>
                <c:pt idx="7">
                  <c:v>0.45082422534649508</c:v>
                </c:pt>
                <c:pt idx="8">
                  <c:v>0.46238382086820012</c:v>
                </c:pt>
                <c:pt idx="9">
                  <c:v>0.46238382086820012</c:v>
                </c:pt>
                <c:pt idx="10">
                  <c:v>0.46238382086820012</c:v>
                </c:pt>
                <c:pt idx="11">
                  <c:v>0.46238382086820012</c:v>
                </c:pt>
                <c:pt idx="12">
                  <c:v>0.46238382086820012</c:v>
                </c:pt>
                <c:pt idx="13">
                  <c:v>0.46238382086820012</c:v>
                </c:pt>
                <c:pt idx="14">
                  <c:v>0.46238382086820012</c:v>
                </c:pt>
                <c:pt idx="15">
                  <c:v>0.46238382086820012</c:v>
                </c:pt>
                <c:pt idx="16">
                  <c:v>0.46238382086820012</c:v>
                </c:pt>
                <c:pt idx="17">
                  <c:v>0.46238382086820012</c:v>
                </c:pt>
                <c:pt idx="18">
                  <c:v>0.46238382086820012</c:v>
                </c:pt>
                <c:pt idx="19">
                  <c:v>0.46238382086820012</c:v>
                </c:pt>
              </c:numCache>
            </c:numRef>
          </c:val>
        </c:ser>
        <c:dLbls>
          <c:showLegendKey val="0"/>
          <c:showVal val="0"/>
          <c:showCatName val="0"/>
          <c:showSerName val="0"/>
          <c:showPercent val="0"/>
          <c:showBubbleSize val="0"/>
        </c:dLbls>
        <c:axId val="-2104301280"/>
        <c:axId val="-2104311072"/>
      </c:areaChart>
      <c:catAx>
        <c:axId val="-2104301280"/>
        <c:scaling>
          <c:orientation val="minMax"/>
        </c:scaling>
        <c:delete val="0"/>
        <c:axPos val="b"/>
        <c:numFmt formatCode="General" sourceLinked="0"/>
        <c:majorTickMark val="none"/>
        <c:minorTickMark val="none"/>
        <c:tickLblPos val="nextTo"/>
        <c:txPr>
          <a:bodyPr rot="-5400000" vert="horz"/>
          <a:lstStyle/>
          <a:p>
            <a:pPr>
              <a:defRPr/>
            </a:pPr>
            <a:endParaRPr lang="en-US"/>
          </a:p>
        </c:txPr>
        <c:crossAx val="-2104311072"/>
        <c:crosses val="autoZero"/>
        <c:auto val="1"/>
        <c:lblAlgn val="ctr"/>
        <c:lblOffset val="100"/>
        <c:noMultiLvlLbl val="0"/>
      </c:catAx>
      <c:valAx>
        <c:axId val="-2104311072"/>
        <c:scaling>
          <c:orientation val="minMax"/>
        </c:scaling>
        <c:delete val="0"/>
        <c:axPos val="l"/>
        <c:majorGridlines/>
        <c:numFmt formatCode="0.0" sourceLinked="0"/>
        <c:majorTickMark val="none"/>
        <c:minorTickMark val="none"/>
        <c:tickLblPos val="nextTo"/>
        <c:crossAx val="-2104301280"/>
        <c:crosses val="autoZero"/>
        <c:crossBetween val="midCat"/>
      </c:valAx>
      <c:spPr>
        <a:ln>
          <a:solidFill>
            <a:srgbClr val="000000"/>
          </a:solidFill>
        </a:ln>
      </c:spPr>
    </c:plotArea>
    <c:legend>
      <c:legendPos val="t"/>
      <c:layout>
        <c:manualLayout>
          <c:xMode val="edge"/>
          <c:yMode val="edge"/>
          <c:x val="0.10526331454906902"/>
          <c:y val="8.2290349908778926E-2"/>
          <c:w val="0.70047333296328862"/>
          <c:h val="8.2833818028597642E-2"/>
        </c:manualLayout>
      </c:layout>
      <c:overlay val="0"/>
    </c:legend>
    <c:plotVisOnly val="1"/>
    <c:dispBlanksAs val="zero"/>
    <c:showDLblsOverMax val="0"/>
  </c:chart>
  <c:spPr>
    <a:ln>
      <a:noFill/>
    </a:ln>
  </c:spPr>
  <c:txPr>
    <a:bodyPr/>
    <a:lstStyle/>
    <a:p>
      <a:pPr>
        <a:defRPr sz="700">
          <a:latin typeface="Times New Roman" pitchFamily="18" charset="0"/>
          <a:cs typeface="Times New Roman" pitchFamily="18" charset="0"/>
        </a:defRPr>
      </a:pPr>
      <a:endParaRPr lang="en-US"/>
    </a:p>
  </c:txPr>
  <c:printSettings>
    <c:headerFooter/>
    <c:pageMargins b="0.75000000000000311" l="0.70000000000000062" r="0.70000000000000062" t="0.75000000000000311"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21</xdr:col>
      <xdr:colOff>1004454</xdr:colOff>
      <xdr:row>235</xdr:row>
      <xdr:rowOff>103910</xdr:rowOff>
    </xdr:from>
    <xdr:to>
      <xdr:col>26</xdr:col>
      <xdr:colOff>554181</xdr:colOff>
      <xdr:row>249</xdr:row>
      <xdr:rowOff>181842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0</xdr:colOff>
      <xdr:row>255</xdr:row>
      <xdr:rowOff>34637</xdr:rowOff>
    </xdr:from>
    <xdr:to>
      <xdr:col>26</xdr:col>
      <xdr:colOff>346363</xdr:colOff>
      <xdr:row>267</xdr:row>
      <xdr:rowOff>147205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NDSP%20Bulking%20and%20Nutrition%20Impac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MC and Milk Procurement"/>
      <sheetName val="Comp B-BMC"/>
      <sheetName val="Feed and Fodder"/>
      <sheetName val="Feed and Fodder (F) Zone.1"/>
      <sheetName val="Feed and Fodder (F) Zone.2"/>
      <sheetName val="Feed and Fodder (E) Zone.1"/>
      <sheetName val="Feed and Fodder (E) Zone.2"/>
    </sheetNames>
    <sheetDataSet>
      <sheetData sheetId="0">
        <row r="124">
          <cell r="C124">
            <v>0.92314894257544955</v>
          </cell>
        </row>
      </sheetData>
      <sheetData sheetId="1"/>
      <sheetData sheetId="2">
        <row r="33">
          <cell r="D33">
            <v>0.16453421250000003</v>
          </cell>
        </row>
      </sheetData>
      <sheetData sheetId="3">
        <row r="61">
          <cell r="K61">
            <v>165.09132499999998</v>
          </cell>
        </row>
      </sheetData>
      <sheetData sheetId="4">
        <row r="86">
          <cell r="E86">
            <v>0</v>
          </cell>
        </row>
      </sheetData>
      <sheetData sheetId="5">
        <row r="86">
          <cell r="E86">
            <v>0</v>
          </cell>
        </row>
      </sheetData>
      <sheetData sheetId="6">
        <row r="86">
          <cell r="E86">
            <v>0</v>
          </cell>
        </row>
        <row r="96">
          <cell r="G96">
            <v>1.575033149746875E-3</v>
          </cell>
          <cell r="H96">
            <v>1.0100617446150002E-2</v>
          </cell>
          <cell r="I96">
            <v>4.2506765085881248E-2</v>
          </cell>
          <cell r="J96">
            <v>0.11697841346346748</v>
          </cell>
          <cell r="K96">
            <v>0.23119191043410001</v>
          </cell>
          <cell r="L96">
            <v>0.32944847236859259</v>
          </cell>
          <cell r="M96">
            <v>0.40458584325967506</v>
          </cell>
          <cell r="N96">
            <v>0.45082422534649508</v>
          </cell>
          <cell r="O96">
            <v>0.46238382086820012</v>
          </cell>
          <cell r="P96">
            <v>0.46238382086820012</v>
          </cell>
          <cell r="Q96">
            <v>0.46238382086820012</v>
          </cell>
          <cell r="R96">
            <v>0.46238382086820012</v>
          </cell>
          <cell r="S96">
            <v>0.46238382086820012</v>
          </cell>
          <cell r="T96">
            <v>0.46238382086820012</v>
          </cell>
          <cell r="U96">
            <v>0.46238382086820012</v>
          </cell>
          <cell r="V96">
            <v>0.46238382086820012</v>
          </cell>
          <cell r="W96">
            <v>0.46238382086820012</v>
          </cell>
          <cell r="X96">
            <v>0.46238382086820012</v>
          </cell>
          <cell r="Y96">
            <v>0.46238382086820012</v>
          </cell>
          <cell r="Z96">
            <v>0.46238382086820012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O367"/>
  <sheetViews>
    <sheetView tabSelected="1" zoomScale="110" zoomScaleNormal="110" workbookViewId="0">
      <pane xSplit="1" ySplit="1" topLeftCell="D235" activePane="bottomRight" state="frozen"/>
      <selection pane="topRight" activeCell="B1" sqref="B1"/>
      <selection pane="bottomLeft" activeCell="A2" sqref="A2"/>
      <selection pane="bottomRight" activeCell="E251" sqref="E251"/>
    </sheetView>
  </sheetViews>
  <sheetFormatPr defaultRowHeight="15" x14ac:dyDescent="0.25"/>
  <cols>
    <col min="1" max="1" width="35" style="187" customWidth="1"/>
    <col min="2" max="2" width="14.5703125" style="187" customWidth="1"/>
    <col min="3" max="3" width="16.7109375" style="187" customWidth="1"/>
    <col min="4" max="4" width="19.5703125" style="187" bestFit="1" customWidth="1"/>
    <col min="5" max="5" width="20.85546875" style="187" bestFit="1" customWidth="1"/>
    <col min="6" max="6" width="15" style="187" bestFit="1" customWidth="1"/>
    <col min="7" max="8" width="16" style="187" bestFit="1" customWidth="1"/>
    <col min="9" max="9" width="13" style="187" customWidth="1"/>
    <col min="10" max="16" width="14.85546875" style="187" bestFit="1" customWidth="1"/>
    <col min="17" max="28" width="15" style="187" customWidth="1"/>
    <col min="29" max="29" width="9.140625" style="187"/>
    <col min="30" max="30" width="32.85546875" style="187" customWidth="1"/>
    <col min="31" max="31" width="16.85546875" style="187" customWidth="1"/>
    <col min="32" max="32" width="9.140625" style="187"/>
    <col min="33" max="33" width="10.140625" style="187" customWidth="1"/>
    <col min="34" max="34" width="8.7109375" style="187" customWidth="1"/>
    <col min="35" max="37" width="9.140625" style="187"/>
    <col min="38" max="38" width="10.140625" style="187" customWidth="1"/>
    <col min="39" max="39" width="9.5703125" style="187" customWidth="1"/>
    <col min="40" max="40" width="10.42578125" style="187" customWidth="1"/>
    <col min="41" max="41" width="10.85546875" style="187" customWidth="1"/>
    <col min="42" max="16384" width="9.140625" style="187"/>
  </cols>
  <sheetData>
    <row r="1" spans="1:29" x14ac:dyDescent="0.25">
      <c r="A1" s="103"/>
      <c r="B1" s="104" t="s">
        <v>47</v>
      </c>
      <c r="C1" s="105" t="s">
        <v>4</v>
      </c>
      <c r="D1" s="105" t="s">
        <v>5</v>
      </c>
      <c r="E1" s="105" t="s">
        <v>6</v>
      </c>
      <c r="F1" s="105" t="s">
        <v>7</v>
      </c>
      <c r="G1" s="105" t="s">
        <v>8</v>
      </c>
      <c r="H1" s="105" t="s">
        <v>9</v>
      </c>
      <c r="I1" s="106" t="s">
        <v>48</v>
      </c>
      <c r="J1" s="104" t="s">
        <v>49</v>
      </c>
      <c r="K1" s="104" t="s">
        <v>121</v>
      </c>
      <c r="L1" s="104" t="s">
        <v>122</v>
      </c>
      <c r="M1" s="104" t="s">
        <v>123</v>
      </c>
      <c r="N1" s="104" t="s">
        <v>124</v>
      </c>
      <c r="O1" s="104" t="s">
        <v>125</v>
      </c>
      <c r="P1" s="104" t="s">
        <v>126</v>
      </c>
      <c r="Q1" s="104" t="s">
        <v>127</v>
      </c>
      <c r="R1" s="104" t="s">
        <v>196</v>
      </c>
      <c r="S1" s="107" t="s">
        <v>167</v>
      </c>
      <c r="T1" s="107" t="s">
        <v>168</v>
      </c>
      <c r="U1" s="107" t="s">
        <v>169</v>
      </c>
      <c r="V1" s="107" t="s">
        <v>170</v>
      </c>
      <c r="W1" s="107" t="s">
        <v>171</v>
      </c>
      <c r="X1" s="107" t="s">
        <v>172</v>
      </c>
      <c r="Y1" s="107" t="s">
        <v>173</v>
      </c>
      <c r="Z1" s="107" t="s">
        <v>174</v>
      </c>
      <c r="AA1" s="107" t="s">
        <v>175</v>
      </c>
      <c r="AB1" s="107" t="s">
        <v>176</v>
      </c>
      <c r="AC1" s="107" t="s">
        <v>177</v>
      </c>
    </row>
    <row r="2" spans="1:29" x14ac:dyDescent="0.25">
      <c r="A2" s="109" t="s">
        <v>119</v>
      </c>
      <c r="B2" s="107"/>
    </row>
    <row r="3" spans="1:29" x14ac:dyDescent="0.25">
      <c r="A3" s="412" t="s">
        <v>324</v>
      </c>
      <c r="B3" s="412"/>
      <c r="C3" s="412"/>
      <c r="D3" s="412"/>
      <c r="E3" s="412"/>
      <c r="F3" s="412"/>
      <c r="G3" s="412"/>
      <c r="H3" s="412"/>
      <c r="I3" s="111"/>
    </row>
    <row r="4" spans="1:29" x14ac:dyDescent="0.25">
      <c r="A4" s="412" t="s">
        <v>325</v>
      </c>
      <c r="B4" s="412"/>
      <c r="C4" s="412"/>
      <c r="D4" s="412"/>
      <c r="E4" s="412"/>
      <c r="F4" s="412"/>
      <c r="G4" s="412"/>
      <c r="H4" s="412"/>
      <c r="I4" s="111"/>
    </row>
    <row r="5" spans="1:29" ht="30.75" customHeight="1" x14ac:dyDescent="0.25">
      <c r="A5" s="413" t="s">
        <v>229</v>
      </c>
      <c r="B5" s="413"/>
      <c r="C5" s="413"/>
      <c r="D5" s="413"/>
      <c r="E5" s="413"/>
      <c r="F5" s="413"/>
      <c r="G5" s="413"/>
      <c r="H5" s="413"/>
      <c r="I5" s="111"/>
    </row>
    <row r="6" spans="1:29" x14ac:dyDescent="0.25">
      <c r="A6" s="414" t="s">
        <v>227</v>
      </c>
      <c r="B6" s="414"/>
      <c r="C6" s="414"/>
      <c r="D6" s="414"/>
      <c r="E6" s="414"/>
      <c r="F6" s="414"/>
      <c r="G6" s="414"/>
      <c r="H6" s="414"/>
      <c r="I6" s="111"/>
    </row>
    <row r="7" spans="1:29" ht="44.25" customHeight="1" x14ac:dyDescent="0.25">
      <c r="A7" s="415" t="s">
        <v>228</v>
      </c>
      <c r="B7" s="415"/>
      <c r="C7" s="415"/>
      <c r="D7" s="415"/>
      <c r="E7" s="415"/>
      <c r="F7" s="415"/>
      <c r="G7" s="415"/>
      <c r="H7" s="415"/>
      <c r="I7" s="111"/>
    </row>
    <row r="8" spans="1:29" x14ac:dyDescent="0.25">
      <c r="A8" s="110"/>
      <c r="B8" s="110"/>
      <c r="C8" s="112"/>
      <c r="D8" s="112"/>
      <c r="E8" s="112"/>
      <c r="F8" s="112"/>
      <c r="G8" s="112"/>
      <c r="H8" s="112"/>
      <c r="I8" s="111"/>
    </row>
    <row r="9" spans="1:29" x14ac:dyDescent="0.25">
      <c r="A9" s="110"/>
      <c r="B9" s="110"/>
      <c r="C9" s="112"/>
      <c r="D9" s="112"/>
      <c r="E9" s="112"/>
      <c r="F9" s="112"/>
      <c r="G9" s="112" t="s">
        <v>352</v>
      </c>
      <c r="H9" s="112"/>
      <c r="I9" s="111"/>
    </row>
    <row r="10" spans="1:29" x14ac:dyDescent="0.25">
      <c r="A10" s="107" t="s">
        <v>50</v>
      </c>
      <c r="B10" s="113" t="s">
        <v>47</v>
      </c>
      <c r="C10" s="114" t="s">
        <v>134</v>
      </c>
      <c r="D10" s="115" t="s">
        <v>135</v>
      </c>
      <c r="E10" s="115" t="s">
        <v>14</v>
      </c>
      <c r="F10" s="116"/>
      <c r="G10" s="112"/>
      <c r="H10" s="112"/>
      <c r="I10" s="111"/>
    </row>
    <row r="11" spans="1:29" x14ac:dyDescent="0.25">
      <c r="A11" s="103" t="s">
        <v>327</v>
      </c>
      <c r="B11" s="133" t="s">
        <v>51</v>
      </c>
      <c r="C11" s="210">
        <f>Assumptions!C3</f>
        <v>779.6400000000001</v>
      </c>
      <c r="D11" s="210">
        <f>Assumptions!D3</f>
        <v>2507.1849999999999</v>
      </c>
      <c r="E11" s="210">
        <f>Assumptions!E3</f>
        <v>1668.415</v>
      </c>
      <c r="F11" s="298">
        <f>+SUMPRODUCT(C11:E11,C17:E17)</f>
        <v>1650.9132500000001</v>
      </c>
      <c r="G11" s="187">
        <f>3.94*365</f>
        <v>1438.1</v>
      </c>
      <c r="H11" s="299">
        <f>+D11/H42-1</f>
        <v>2.1839841287499531</v>
      </c>
      <c r="I11" s="299">
        <f>+D11/C11-1</f>
        <v>2.2158239700374529</v>
      </c>
    </row>
    <row r="12" spans="1:29" x14ac:dyDescent="0.25">
      <c r="A12" s="103" t="s">
        <v>52</v>
      </c>
      <c r="B12" s="133" t="s">
        <v>53</v>
      </c>
      <c r="C12" s="133">
        <f>Assumptions!C4</f>
        <v>4</v>
      </c>
      <c r="D12" s="133">
        <f>Assumptions!D4</f>
        <v>3</v>
      </c>
      <c r="E12" s="133">
        <f>Assumptions!E4</f>
        <v>4</v>
      </c>
      <c r="F12" s="117"/>
    </row>
    <row r="13" spans="1:29" x14ac:dyDescent="0.25">
      <c r="A13" s="120" t="s">
        <v>77</v>
      </c>
      <c r="B13" s="133" t="s">
        <v>54</v>
      </c>
      <c r="C13" s="133">
        <f>Assumptions!C5</f>
        <v>5</v>
      </c>
      <c r="D13" s="133">
        <f>Assumptions!D5</f>
        <v>5</v>
      </c>
      <c r="E13" s="133">
        <f>Assumptions!E5</f>
        <v>5</v>
      </c>
      <c r="F13" s="117"/>
      <c r="G13" s="119"/>
    </row>
    <row r="14" spans="1:29" x14ac:dyDescent="0.25">
      <c r="A14" s="120" t="s">
        <v>178</v>
      </c>
      <c r="B14" s="134" t="s">
        <v>137</v>
      </c>
      <c r="C14" s="211">
        <f>Assumptions!C6</f>
        <v>0.01</v>
      </c>
      <c r="D14" s="211">
        <f>Assumptions!D6</f>
        <v>0.01</v>
      </c>
      <c r="E14" s="211">
        <f>Assumptions!E6</f>
        <v>0.01</v>
      </c>
      <c r="F14" s="117"/>
      <c r="G14" s="119"/>
    </row>
    <row r="15" spans="1:29" x14ac:dyDescent="0.25">
      <c r="A15" s="120" t="s">
        <v>78</v>
      </c>
      <c r="B15" s="133"/>
      <c r="C15" s="212">
        <f>Assumptions!C7</f>
        <v>0.9</v>
      </c>
      <c r="D15" s="212">
        <f>Assumptions!D7</f>
        <v>0.9</v>
      </c>
      <c r="E15" s="212">
        <f>Assumptions!E7</f>
        <v>0.9</v>
      </c>
      <c r="F15" s="117"/>
      <c r="G15" s="119"/>
    </row>
    <row r="16" spans="1:29" x14ac:dyDescent="0.25">
      <c r="A16" s="120" t="s">
        <v>79</v>
      </c>
      <c r="B16" s="133"/>
      <c r="C16" s="212">
        <f>Assumptions!C8</f>
        <v>0.9</v>
      </c>
      <c r="D16" s="212">
        <f>Assumptions!D8</f>
        <v>0.9</v>
      </c>
      <c r="E16" s="212">
        <f>Assumptions!E8</f>
        <v>0.9</v>
      </c>
      <c r="F16" s="117"/>
      <c r="G16" s="119">
        <f>514/C11</f>
        <v>0.65927864142424697</v>
      </c>
      <c r="H16" s="299">
        <f>514/G11</f>
        <v>0.35741603504624159</v>
      </c>
    </row>
    <row r="17" spans="1:28" x14ac:dyDescent="0.25">
      <c r="A17" s="120" t="s">
        <v>136</v>
      </c>
      <c r="B17" s="133" t="s">
        <v>137</v>
      </c>
      <c r="C17" s="286">
        <v>0.35</v>
      </c>
      <c r="D17" s="286">
        <v>0.35</v>
      </c>
      <c r="E17" s="286">
        <f>Assumptions!E9</f>
        <v>0.3</v>
      </c>
      <c r="F17" s="117"/>
      <c r="G17" s="299">
        <f>+G16/15</f>
        <v>4.3951909428283129E-2</v>
      </c>
      <c r="H17" s="304">
        <f>+H16/15</f>
        <v>2.3827735669749439E-2</v>
      </c>
    </row>
    <row r="18" spans="1:28" x14ac:dyDescent="0.25">
      <c r="A18" s="123"/>
      <c r="B18" s="126"/>
      <c r="C18" s="124"/>
      <c r="D18" s="124"/>
      <c r="E18" s="124"/>
      <c r="F18" s="117"/>
    </row>
    <row r="19" spans="1:28" x14ac:dyDescent="0.25">
      <c r="A19" s="123"/>
      <c r="B19" s="126"/>
      <c r="C19" s="213" t="s">
        <v>75</v>
      </c>
      <c r="D19" s="213" t="s">
        <v>74</v>
      </c>
      <c r="E19" s="124"/>
      <c r="F19" s="117"/>
    </row>
    <row r="20" spans="1:28" x14ac:dyDescent="0.25">
      <c r="A20" s="103" t="s">
        <v>43</v>
      </c>
      <c r="B20" s="103"/>
      <c r="C20" s="128">
        <f>Assumptions!B14</f>
        <v>0.35</v>
      </c>
      <c r="D20" s="128">
        <f>Assumptions!C14</f>
        <v>0.45</v>
      </c>
      <c r="E20" s="124"/>
      <c r="F20" s="117"/>
    </row>
    <row r="21" spans="1:28" x14ac:dyDescent="0.25">
      <c r="A21" s="123"/>
      <c r="B21" s="126"/>
      <c r="C21" s="124"/>
      <c r="D21" s="124"/>
      <c r="E21" s="124"/>
      <c r="F21" s="117"/>
    </row>
    <row r="22" spans="1:28" x14ac:dyDescent="0.25">
      <c r="A22" s="123" t="s">
        <v>334</v>
      </c>
      <c r="B22" s="126" t="s">
        <v>336</v>
      </c>
      <c r="C22" s="133">
        <f>+Assumptions!C26</f>
        <v>305</v>
      </c>
      <c r="D22" s="133">
        <f>+Assumptions!D26</f>
        <v>305</v>
      </c>
      <c r="E22" s="133">
        <f>+Assumptions!E26</f>
        <v>305</v>
      </c>
      <c r="F22" s="117"/>
    </row>
    <row r="24" spans="1:28" x14ac:dyDescent="0.25">
      <c r="A24" s="129" t="s">
        <v>235</v>
      </c>
      <c r="B24" s="129" t="s">
        <v>128</v>
      </c>
      <c r="C24" s="130">
        <v>700</v>
      </c>
      <c r="D24" s="130">
        <v>640</v>
      </c>
      <c r="E24" s="130">
        <v>840</v>
      </c>
      <c r="F24" s="130">
        <v>420</v>
      </c>
      <c r="G24" s="130">
        <v>400</v>
      </c>
      <c r="H24" s="130">
        <v>0</v>
      </c>
      <c r="I24" s="130">
        <v>0</v>
      </c>
      <c r="J24" s="130">
        <v>0</v>
      </c>
      <c r="K24" s="130">
        <v>0</v>
      </c>
      <c r="L24" s="130">
        <v>0</v>
      </c>
      <c r="M24" s="130">
        <v>0</v>
      </c>
      <c r="N24" s="130">
        <v>0</v>
      </c>
      <c r="O24" s="130">
        <v>0</v>
      </c>
      <c r="P24" s="130">
        <v>0</v>
      </c>
      <c r="Q24" s="130">
        <v>0</v>
      </c>
      <c r="R24" s="130">
        <v>0</v>
      </c>
      <c r="S24" s="130">
        <v>0</v>
      </c>
      <c r="T24" s="130">
        <v>0</v>
      </c>
      <c r="U24" s="130">
        <v>0</v>
      </c>
      <c r="V24" s="130">
        <v>0</v>
      </c>
      <c r="W24" s="130">
        <v>0</v>
      </c>
      <c r="X24" s="130">
        <v>0</v>
      </c>
      <c r="Y24" s="130">
        <v>0</v>
      </c>
      <c r="Z24" s="130">
        <v>0</v>
      </c>
      <c r="AA24" s="130">
        <v>0</v>
      </c>
      <c r="AB24" s="130">
        <v>0</v>
      </c>
    </row>
    <row r="25" spans="1:28" x14ac:dyDescent="0.25">
      <c r="A25" s="129" t="s">
        <v>138</v>
      </c>
      <c r="B25" s="129" t="s">
        <v>56</v>
      </c>
      <c r="C25" s="131">
        <v>3.8</v>
      </c>
      <c r="D25" s="131">
        <v>8.6999999999999993</v>
      </c>
      <c r="E25" s="131">
        <v>16.100000000000001</v>
      </c>
      <c r="F25" s="131">
        <v>23.4</v>
      </c>
      <c r="G25" s="131">
        <v>31.9</v>
      </c>
      <c r="H25" s="131">
        <v>38.5</v>
      </c>
      <c r="I25" s="131">
        <f>H25</f>
        <v>38.5</v>
      </c>
      <c r="J25" s="131">
        <f t="shared" ref="J25:AB25" si="0">I25</f>
        <v>38.5</v>
      </c>
      <c r="K25" s="131">
        <f t="shared" si="0"/>
        <v>38.5</v>
      </c>
      <c r="L25" s="131">
        <f t="shared" si="0"/>
        <v>38.5</v>
      </c>
      <c r="M25" s="131">
        <f t="shared" si="0"/>
        <v>38.5</v>
      </c>
      <c r="N25" s="131">
        <f t="shared" si="0"/>
        <v>38.5</v>
      </c>
      <c r="O25" s="131">
        <f t="shared" si="0"/>
        <v>38.5</v>
      </c>
      <c r="P25" s="131">
        <f t="shared" si="0"/>
        <v>38.5</v>
      </c>
      <c r="Q25" s="131">
        <f t="shared" si="0"/>
        <v>38.5</v>
      </c>
      <c r="R25" s="131">
        <f t="shared" si="0"/>
        <v>38.5</v>
      </c>
      <c r="S25" s="131">
        <f t="shared" si="0"/>
        <v>38.5</v>
      </c>
      <c r="T25" s="131">
        <f t="shared" si="0"/>
        <v>38.5</v>
      </c>
      <c r="U25" s="131">
        <f t="shared" si="0"/>
        <v>38.5</v>
      </c>
      <c r="V25" s="131">
        <f t="shared" si="0"/>
        <v>38.5</v>
      </c>
      <c r="W25" s="131">
        <f t="shared" si="0"/>
        <v>38.5</v>
      </c>
      <c r="X25" s="131">
        <f t="shared" si="0"/>
        <v>38.5</v>
      </c>
      <c r="Y25" s="131">
        <f t="shared" si="0"/>
        <v>38.5</v>
      </c>
      <c r="Z25" s="131">
        <f t="shared" si="0"/>
        <v>38.5</v>
      </c>
      <c r="AA25" s="131">
        <f t="shared" si="0"/>
        <v>38.5</v>
      </c>
      <c r="AB25" s="131">
        <f t="shared" si="0"/>
        <v>38.5</v>
      </c>
    </row>
    <row r="26" spans="1:28" x14ac:dyDescent="0.25">
      <c r="A26" s="129" t="s">
        <v>46</v>
      </c>
      <c r="B26" s="129" t="s">
        <v>128</v>
      </c>
      <c r="C26" s="130">
        <f>C25*100000</f>
        <v>380000</v>
      </c>
      <c r="D26" s="130">
        <f t="shared" ref="D26:AB26" si="1">D25*100000</f>
        <v>869999.99999999988</v>
      </c>
      <c r="E26" s="130">
        <f t="shared" si="1"/>
        <v>1610000.0000000002</v>
      </c>
      <c r="F26" s="130">
        <f t="shared" si="1"/>
        <v>2340000</v>
      </c>
      <c r="G26" s="130">
        <f t="shared" si="1"/>
        <v>3190000</v>
      </c>
      <c r="H26" s="130">
        <f t="shared" si="1"/>
        <v>3850000</v>
      </c>
      <c r="I26" s="130">
        <f t="shared" si="1"/>
        <v>3850000</v>
      </c>
      <c r="J26" s="130">
        <f t="shared" si="1"/>
        <v>3850000</v>
      </c>
      <c r="K26" s="130">
        <f t="shared" si="1"/>
        <v>3850000</v>
      </c>
      <c r="L26" s="130">
        <f t="shared" si="1"/>
        <v>3850000</v>
      </c>
      <c r="M26" s="130">
        <f t="shared" si="1"/>
        <v>3850000</v>
      </c>
      <c r="N26" s="130">
        <f t="shared" si="1"/>
        <v>3850000</v>
      </c>
      <c r="O26" s="130">
        <f t="shared" si="1"/>
        <v>3850000</v>
      </c>
      <c r="P26" s="130">
        <f t="shared" si="1"/>
        <v>3850000</v>
      </c>
      <c r="Q26" s="130">
        <f t="shared" si="1"/>
        <v>3850000</v>
      </c>
      <c r="R26" s="130">
        <f t="shared" si="1"/>
        <v>3850000</v>
      </c>
      <c r="S26" s="130">
        <f t="shared" si="1"/>
        <v>3850000</v>
      </c>
      <c r="T26" s="130">
        <f t="shared" si="1"/>
        <v>3850000</v>
      </c>
      <c r="U26" s="130">
        <f t="shared" si="1"/>
        <v>3850000</v>
      </c>
      <c r="V26" s="130">
        <f t="shared" si="1"/>
        <v>3850000</v>
      </c>
      <c r="W26" s="130">
        <f t="shared" si="1"/>
        <v>3850000</v>
      </c>
      <c r="X26" s="130">
        <f t="shared" si="1"/>
        <v>3850000</v>
      </c>
      <c r="Y26" s="130">
        <f t="shared" si="1"/>
        <v>3850000</v>
      </c>
      <c r="Z26" s="130">
        <f t="shared" si="1"/>
        <v>3850000</v>
      </c>
      <c r="AA26" s="130">
        <f t="shared" si="1"/>
        <v>3850000</v>
      </c>
      <c r="AB26" s="130">
        <f t="shared" si="1"/>
        <v>3850000</v>
      </c>
    </row>
    <row r="27" spans="1:28" x14ac:dyDescent="0.25">
      <c r="A27" s="129"/>
      <c r="B27" s="129"/>
      <c r="C27" s="130"/>
      <c r="D27" s="130"/>
      <c r="E27" s="130"/>
      <c r="F27" s="130"/>
      <c r="G27" s="130"/>
      <c r="H27" s="130"/>
      <c r="I27" s="132"/>
      <c r="J27" s="103"/>
      <c r="K27" s="103"/>
      <c r="L27" s="103"/>
      <c r="M27" s="103"/>
      <c r="N27" s="103"/>
      <c r="O27" s="103"/>
      <c r="P27" s="103"/>
      <c r="Q27" s="103"/>
      <c r="R27" s="103"/>
    </row>
    <row r="28" spans="1:28" x14ac:dyDescent="0.25">
      <c r="A28" s="103"/>
      <c r="B28" s="103"/>
      <c r="C28" s="127" t="s">
        <v>75</v>
      </c>
      <c r="D28" s="104" t="s">
        <v>74</v>
      </c>
      <c r="E28" s="104" t="s">
        <v>45</v>
      </c>
      <c r="F28" s="130"/>
      <c r="G28" s="130"/>
      <c r="H28" s="130"/>
      <c r="I28" s="132"/>
      <c r="J28" s="103"/>
      <c r="K28" s="103"/>
      <c r="L28" s="103"/>
      <c r="M28" s="103"/>
      <c r="N28" s="103"/>
      <c r="O28" s="103"/>
      <c r="P28" s="103"/>
      <c r="Q28" s="103"/>
      <c r="R28" s="103"/>
    </row>
    <row r="29" spans="1:28" x14ac:dyDescent="0.25">
      <c r="A29" s="219" t="s">
        <v>141</v>
      </c>
      <c r="B29" s="103"/>
      <c r="C29" s="127"/>
      <c r="D29" s="104"/>
      <c r="E29" s="104"/>
      <c r="F29" s="130"/>
      <c r="G29" s="130"/>
      <c r="H29" s="130"/>
      <c r="I29" s="132"/>
      <c r="J29" s="103"/>
      <c r="K29" s="103"/>
      <c r="L29" s="103"/>
      <c r="M29" s="103"/>
      <c r="N29" s="103"/>
      <c r="O29" s="103"/>
      <c r="P29" s="103"/>
      <c r="Q29" s="103"/>
      <c r="R29" s="103"/>
    </row>
    <row r="30" spans="1:28" x14ac:dyDescent="0.25">
      <c r="A30" s="133" t="s">
        <v>138</v>
      </c>
      <c r="B30" s="103" t="s">
        <v>128</v>
      </c>
      <c r="C30" s="134">
        <f>C26*$C$17</f>
        <v>133000</v>
      </c>
      <c r="D30" s="134">
        <f t="shared" ref="D30:L30" si="2">D26*$C$17</f>
        <v>304499.99999999994</v>
      </c>
      <c r="E30" s="134">
        <f t="shared" si="2"/>
        <v>563500</v>
      </c>
      <c r="F30" s="120">
        <f t="shared" si="2"/>
        <v>819000</v>
      </c>
      <c r="G30" s="120">
        <f t="shared" si="2"/>
        <v>1116500</v>
      </c>
      <c r="H30" s="120">
        <f t="shared" si="2"/>
        <v>1347500</v>
      </c>
      <c r="I30" s="120">
        <f t="shared" si="2"/>
        <v>1347500</v>
      </c>
      <c r="J30" s="120">
        <f t="shared" si="2"/>
        <v>1347500</v>
      </c>
      <c r="K30" s="120">
        <f t="shared" si="2"/>
        <v>1347500</v>
      </c>
      <c r="L30" s="120">
        <f t="shared" si="2"/>
        <v>1347500</v>
      </c>
      <c r="M30" s="120">
        <f>M26*$C$17</f>
        <v>1347500</v>
      </c>
      <c r="N30" s="120">
        <f t="shared" ref="N30:AB30" si="3">N26*$C$17</f>
        <v>1347500</v>
      </c>
      <c r="O30" s="120">
        <f t="shared" si="3"/>
        <v>1347500</v>
      </c>
      <c r="P30" s="120">
        <f t="shared" si="3"/>
        <v>1347500</v>
      </c>
      <c r="Q30" s="120">
        <f t="shared" si="3"/>
        <v>1347500</v>
      </c>
      <c r="R30" s="120">
        <f t="shared" si="3"/>
        <v>1347500</v>
      </c>
      <c r="S30" s="120">
        <f t="shared" si="3"/>
        <v>1347500</v>
      </c>
      <c r="T30" s="120">
        <f t="shared" si="3"/>
        <v>1347500</v>
      </c>
      <c r="U30" s="120">
        <f t="shared" si="3"/>
        <v>1347500</v>
      </c>
      <c r="V30" s="120">
        <f t="shared" si="3"/>
        <v>1347500</v>
      </c>
      <c r="W30" s="120">
        <f t="shared" si="3"/>
        <v>1347500</v>
      </c>
      <c r="X30" s="120">
        <f t="shared" si="3"/>
        <v>1347500</v>
      </c>
      <c r="Y30" s="120">
        <f t="shared" si="3"/>
        <v>1347500</v>
      </c>
      <c r="Z30" s="120">
        <f t="shared" si="3"/>
        <v>1347500</v>
      </c>
      <c r="AA30" s="120">
        <f t="shared" si="3"/>
        <v>1347500</v>
      </c>
      <c r="AB30" s="120">
        <f t="shared" si="3"/>
        <v>1347500</v>
      </c>
    </row>
    <row r="31" spans="1:28" x14ac:dyDescent="0.25">
      <c r="A31" s="103" t="s">
        <v>44</v>
      </c>
      <c r="B31" s="129"/>
      <c r="C31" s="135">
        <f>280+60+((1/C20)-1)*22</f>
        <v>380.85714285714289</v>
      </c>
      <c r="D31" s="135">
        <f>280+60+((1/D20)-1)*22</f>
        <v>366.88888888888891</v>
      </c>
      <c r="E31" s="135">
        <f>C31-D31</f>
        <v>13.968253968253975</v>
      </c>
      <c r="F31" s="130"/>
      <c r="G31" s="130"/>
      <c r="H31" s="130"/>
      <c r="I31" s="132"/>
      <c r="J31" s="103"/>
      <c r="K31" s="103"/>
      <c r="L31" s="103"/>
      <c r="M31" s="103"/>
      <c r="N31" s="103"/>
      <c r="O31" s="103"/>
      <c r="P31" s="103"/>
      <c r="Q31" s="103"/>
      <c r="R31" s="103"/>
    </row>
    <row r="32" spans="1:28" x14ac:dyDescent="0.25">
      <c r="A32" s="103"/>
      <c r="B32" s="129"/>
      <c r="C32" s="133"/>
      <c r="D32" s="135"/>
      <c r="E32" s="135"/>
      <c r="F32" s="130"/>
      <c r="G32" s="130"/>
      <c r="H32" s="130"/>
      <c r="I32" s="132"/>
      <c r="J32" s="103"/>
      <c r="K32" s="103"/>
      <c r="L32" s="103"/>
      <c r="M32" s="103"/>
      <c r="N32" s="103"/>
      <c r="O32" s="103"/>
      <c r="P32" s="103"/>
      <c r="Q32" s="103"/>
      <c r="R32" s="103"/>
    </row>
    <row r="33" spans="1:28" x14ac:dyDescent="0.25">
      <c r="A33" s="220" t="s">
        <v>139</v>
      </c>
      <c r="B33" s="129"/>
      <c r="C33" s="133"/>
      <c r="D33" s="135"/>
      <c r="E33" s="135"/>
      <c r="F33" s="130"/>
      <c r="G33" s="130"/>
      <c r="H33" s="130"/>
      <c r="I33" s="132"/>
      <c r="J33" s="103"/>
      <c r="K33" s="103"/>
      <c r="L33" s="103"/>
      <c r="M33" s="103"/>
      <c r="N33" s="103"/>
      <c r="O33" s="103"/>
      <c r="P33" s="103"/>
      <c r="Q33" s="103"/>
      <c r="R33" s="103"/>
    </row>
    <row r="34" spans="1:28" x14ac:dyDescent="0.25">
      <c r="A34" s="123" t="s">
        <v>198</v>
      </c>
      <c r="B34" s="103" t="s">
        <v>51</v>
      </c>
      <c r="C34" s="131">
        <f>C11/C22</f>
        <v>2.5561967213114758</v>
      </c>
      <c r="D34" s="103"/>
      <c r="E34" s="103"/>
      <c r="F34" s="103"/>
      <c r="G34" s="103"/>
      <c r="H34" s="103"/>
      <c r="I34" s="103"/>
      <c r="J34" s="103"/>
      <c r="K34" s="103"/>
      <c r="L34" s="103"/>
      <c r="M34" s="103"/>
      <c r="N34" s="103"/>
      <c r="O34" s="103"/>
      <c r="P34" s="103"/>
      <c r="Q34" s="103"/>
      <c r="R34" s="103"/>
    </row>
    <row r="35" spans="1:28" ht="45" x14ac:dyDescent="0.25">
      <c r="A35" s="123" t="s">
        <v>199</v>
      </c>
      <c r="B35" s="103" t="s">
        <v>51</v>
      </c>
      <c r="C35" s="131">
        <f>C34*E31</f>
        <v>35.705604996096824</v>
      </c>
      <c r="D35" s="103"/>
      <c r="E35" s="103"/>
      <c r="F35" s="130"/>
      <c r="G35" s="103"/>
      <c r="H35" s="103"/>
      <c r="I35" s="103"/>
      <c r="J35" s="103"/>
      <c r="K35" s="103"/>
      <c r="L35" s="103"/>
      <c r="M35" s="103"/>
      <c r="N35" s="103"/>
      <c r="O35" s="103"/>
      <c r="P35" s="103"/>
      <c r="Q35" s="103"/>
      <c r="R35" s="103"/>
    </row>
    <row r="36" spans="1:28" x14ac:dyDescent="0.25">
      <c r="A36" s="120" t="s">
        <v>80</v>
      </c>
      <c r="B36" s="103" t="s">
        <v>54</v>
      </c>
      <c r="C36" s="103"/>
      <c r="D36" s="130">
        <f>C30*$D$20*$C$15*365/$D$31</f>
        <v>53587.681708055723</v>
      </c>
      <c r="E36" s="130">
        <f t="shared" ref="E36:AB36" si="4">(D30*$D$20*$C$15*365/$D$31)+(C30*$D$20*$C$15*($D$31-365)/$D$31)</f>
        <v>122964.90536038761</v>
      </c>
      <c r="F36" s="130">
        <f t="shared" si="4"/>
        <v>227677.45911568747</v>
      </c>
      <c r="G36" s="130">
        <f t="shared" si="4"/>
        <v>331162.25696547545</v>
      </c>
      <c r="H36" s="130">
        <f t="shared" si="4"/>
        <v>451562.18276801938</v>
      </c>
      <c r="I36" s="130">
        <f t="shared" si="4"/>
        <v>545255.84191399161</v>
      </c>
      <c r="J36" s="130">
        <f t="shared" si="4"/>
        <v>545737.5</v>
      </c>
      <c r="K36" s="130">
        <f t="shared" si="4"/>
        <v>545737.5</v>
      </c>
      <c r="L36" s="130">
        <f t="shared" si="4"/>
        <v>545737.5</v>
      </c>
      <c r="M36" s="130">
        <f t="shared" si="4"/>
        <v>545737.5</v>
      </c>
      <c r="N36" s="130">
        <f t="shared" si="4"/>
        <v>545737.5</v>
      </c>
      <c r="O36" s="130">
        <f t="shared" si="4"/>
        <v>545737.5</v>
      </c>
      <c r="P36" s="130">
        <f t="shared" si="4"/>
        <v>545737.5</v>
      </c>
      <c r="Q36" s="130">
        <f t="shared" si="4"/>
        <v>545737.5</v>
      </c>
      <c r="R36" s="130">
        <f t="shared" si="4"/>
        <v>545737.5</v>
      </c>
      <c r="S36" s="130">
        <f t="shared" si="4"/>
        <v>545737.5</v>
      </c>
      <c r="T36" s="130">
        <f t="shared" si="4"/>
        <v>545737.5</v>
      </c>
      <c r="U36" s="130">
        <f t="shared" si="4"/>
        <v>545737.5</v>
      </c>
      <c r="V36" s="130">
        <f t="shared" si="4"/>
        <v>545737.5</v>
      </c>
      <c r="W36" s="130">
        <f t="shared" si="4"/>
        <v>545737.5</v>
      </c>
      <c r="X36" s="130">
        <f t="shared" si="4"/>
        <v>545737.5</v>
      </c>
      <c r="Y36" s="130">
        <f t="shared" si="4"/>
        <v>545737.5</v>
      </c>
      <c r="Z36" s="130">
        <f t="shared" si="4"/>
        <v>545737.5</v>
      </c>
      <c r="AA36" s="130">
        <f t="shared" si="4"/>
        <v>545737.5</v>
      </c>
      <c r="AB36" s="130">
        <f t="shared" si="4"/>
        <v>545737.5</v>
      </c>
    </row>
    <row r="37" spans="1:28" ht="38.25" x14ac:dyDescent="0.25">
      <c r="A37" s="136" t="s">
        <v>200</v>
      </c>
      <c r="B37" s="137" t="s">
        <v>201</v>
      </c>
      <c r="C37" s="104"/>
      <c r="D37" s="138">
        <f>D36*$C$35*1.03/1000/1000</f>
        <v>1.9707820135961329</v>
      </c>
      <c r="E37" s="138">
        <f t="shared" ref="E37:AB37" si="5">E36*$C$35*1.03/1000/1000</f>
        <v>4.5222524293558406</v>
      </c>
      <c r="F37" s="138">
        <f t="shared" si="5"/>
        <v>8.3732422643507132</v>
      </c>
      <c r="G37" s="138">
        <f t="shared" si="5"/>
        <v>12.179079198929937</v>
      </c>
      <c r="H37" s="138">
        <f t="shared" si="5"/>
        <v>16.606999956962884</v>
      </c>
      <c r="I37" s="138">
        <f t="shared" si="5"/>
        <v>20.052750404591055</v>
      </c>
      <c r="J37" s="138">
        <f t="shared" si="5"/>
        <v>20.070464234754116</v>
      </c>
      <c r="K37" s="138">
        <f t="shared" si="5"/>
        <v>20.070464234754116</v>
      </c>
      <c r="L37" s="138">
        <f t="shared" si="5"/>
        <v>20.070464234754116</v>
      </c>
      <c r="M37" s="138">
        <f t="shared" si="5"/>
        <v>20.070464234754116</v>
      </c>
      <c r="N37" s="138">
        <f t="shared" si="5"/>
        <v>20.070464234754116</v>
      </c>
      <c r="O37" s="138">
        <f t="shared" si="5"/>
        <v>20.070464234754116</v>
      </c>
      <c r="P37" s="138">
        <f t="shared" si="5"/>
        <v>20.070464234754116</v>
      </c>
      <c r="Q37" s="138">
        <f t="shared" si="5"/>
        <v>20.070464234754116</v>
      </c>
      <c r="R37" s="138">
        <f t="shared" si="5"/>
        <v>20.070464234754116</v>
      </c>
      <c r="S37" s="138">
        <f t="shared" si="5"/>
        <v>20.070464234754116</v>
      </c>
      <c r="T37" s="138">
        <f t="shared" si="5"/>
        <v>20.070464234754116</v>
      </c>
      <c r="U37" s="138">
        <f t="shared" si="5"/>
        <v>20.070464234754116</v>
      </c>
      <c r="V37" s="138">
        <f t="shared" si="5"/>
        <v>20.070464234754116</v>
      </c>
      <c r="W37" s="138">
        <f t="shared" si="5"/>
        <v>20.070464234754116</v>
      </c>
      <c r="X37" s="138">
        <f t="shared" si="5"/>
        <v>20.070464234754116</v>
      </c>
      <c r="Y37" s="138">
        <f t="shared" si="5"/>
        <v>20.070464234754116</v>
      </c>
      <c r="Z37" s="138">
        <f t="shared" si="5"/>
        <v>20.070464234754116</v>
      </c>
      <c r="AA37" s="138">
        <f t="shared" si="5"/>
        <v>20.070464234754116</v>
      </c>
      <c r="AB37" s="138">
        <f t="shared" si="5"/>
        <v>20.070464234754116</v>
      </c>
    </row>
    <row r="38" spans="1:28" x14ac:dyDescent="0.25">
      <c r="A38" s="120"/>
      <c r="B38" s="103"/>
      <c r="C38" s="103"/>
      <c r="D38" s="103"/>
      <c r="E38" s="103"/>
      <c r="F38" s="103"/>
      <c r="G38" s="103"/>
      <c r="H38" s="103"/>
      <c r="I38" s="103"/>
      <c r="J38" s="103"/>
      <c r="K38" s="103"/>
      <c r="L38" s="103"/>
      <c r="M38" s="103"/>
      <c r="N38" s="103"/>
      <c r="O38" s="103"/>
      <c r="P38" s="103"/>
      <c r="Q38" s="103"/>
      <c r="R38" s="103"/>
    </row>
    <row r="39" spans="1:28" x14ac:dyDescent="0.25">
      <c r="A39" s="221" t="s">
        <v>140</v>
      </c>
      <c r="B39" s="103"/>
      <c r="C39" s="103"/>
      <c r="D39" s="103"/>
      <c r="E39" s="103"/>
      <c r="F39" s="103"/>
      <c r="G39" s="103"/>
      <c r="H39" s="103"/>
      <c r="I39" s="103"/>
      <c r="J39" s="103"/>
      <c r="K39" s="103"/>
      <c r="L39" s="103"/>
      <c r="M39" s="103"/>
      <c r="N39" s="103"/>
      <c r="O39" s="103"/>
      <c r="P39" s="103"/>
      <c r="Q39" s="103"/>
      <c r="R39" s="103"/>
    </row>
    <row r="40" spans="1:28" x14ac:dyDescent="0.25">
      <c r="A40" s="120" t="s">
        <v>155</v>
      </c>
      <c r="B40" s="103" t="s">
        <v>56</v>
      </c>
      <c r="C40" s="103"/>
      <c r="D40" s="131">
        <f>D36/2/100000*$C$16*Assumptions!$C$10</f>
        <v>0.12057228384312538</v>
      </c>
      <c r="E40" s="131">
        <f>E36/2/100000*$C$16*Assumptions!$C$10</f>
        <v>0.27667103706087209</v>
      </c>
      <c r="F40" s="131">
        <f>F36/2/100000*$C$16*Assumptions!$C$10</f>
        <v>0.51227428301029676</v>
      </c>
      <c r="G40" s="131">
        <f>G36/2/100000*$C$16*Assumptions!$C$10</f>
        <v>0.7451150781723197</v>
      </c>
      <c r="H40" s="131">
        <f>H36/2/100000*$C$16*Assumptions!$C$10</f>
        <v>1.0160149112280437</v>
      </c>
      <c r="I40" s="131">
        <f>I36/2/100000*$C$16*Assumptions!$C$10</f>
        <v>1.2268256443064811</v>
      </c>
      <c r="J40" s="131">
        <f>J36/2/100000*$C$16*Assumptions!$C$10</f>
        <v>1.2279093750000001</v>
      </c>
      <c r="K40" s="131">
        <f>K36/2/100000*$C$16*Assumptions!$C$10</f>
        <v>1.2279093750000001</v>
      </c>
      <c r="L40" s="131">
        <f>L36/2/100000*$C$16*Assumptions!$C$10</f>
        <v>1.2279093750000001</v>
      </c>
      <c r="M40" s="131">
        <f>M36/2/100000*$C$16*Assumptions!$C$10</f>
        <v>1.2279093750000001</v>
      </c>
      <c r="N40" s="131">
        <f>N36/2/100000*$C$16*Assumptions!$C$10</f>
        <v>1.2279093750000001</v>
      </c>
      <c r="O40" s="131">
        <f>O36/2/100000*$C$16*Assumptions!$C$10</f>
        <v>1.2279093750000001</v>
      </c>
      <c r="P40" s="131">
        <f>P36/2/100000*$C$16*Assumptions!$C$10</f>
        <v>1.2279093750000001</v>
      </c>
      <c r="Q40" s="131">
        <f>Q36/2/100000*$C$16*Assumptions!$C$10</f>
        <v>1.2279093750000001</v>
      </c>
      <c r="R40" s="131">
        <f>R36/2/100000*$C$16*Assumptions!$C$10</f>
        <v>1.2279093750000001</v>
      </c>
      <c r="S40" s="131">
        <f>S36/2/100000*$C$16*Assumptions!$C$10</f>
        <v>1.2279093750000001</v>
      </c>
      <c r="T40" s="131">
        <f>T36/2/100000*$C$16*Assumptions!$C$10</f>
        <v>1.2279093750000001</v>
      </c>
      <c r="U40" s="131">
        <f>U36/2/100000*$C$16*Assumptions!$C$10</f>
        <v>1.2279093750000001</v>
      </c>
      <c r="V40" s="131">
        <f>V36/2/100000*$C$16*Assumptions!$C$10</f>
        <v>1.2279093750000001</v>
      </c>
      <c r="W40" s="131">
        <f>W36/2/100000*$C$16*Assumptions!$C$10</f>
        <v>1.2279093750000001</v>
      </c>
      <c r="X40" s="131">
        <f>X36/2/100000*$C$16*Assumptions!$C$10</f>
        <v>1.2279093750000001</v>
      </c>
      <c r="Y40" s="131">
        <f>Y36/2/100000*$C$16*Assumptions!$C$10</f>
        <v>1.2279093750000001</v>
      </c>
      <c r="Z40" s="131">
        <f>Z36/2/100000*$C$16*Assumptions!$C$10</f>
        <v>1.2279093750000001</v>
      </c>
      <c r="AA40" s="131">
        <f>AA36/2/100000*$C$16*Assumptions!$C$10</f>
        <v>1.2279093750000001</v>
      </c>
      <c r="AB40" s="131">
        <f>AB36/2/100000*$C$16*Assumptions!$C$10</f>
        <v>1.2279093750000001</v>
      </c>
    </row>
    <row r="41" spans="1:28" ht="15.75" thickBot="1" x14ac:dyDescent="0.3">
      <c r="A41" s="120" t="s">
        <v>156</v>
      </c>
      <c r="B41" s="103" t="s">
        <v>56</v>
      </c>
      <c r="C41" s="289"/>
      <c r="D41" s="131">
        <f>D36/2/100000*$C$16*Assumptions!$C$11</f>
        <v>0.12057228384312538</v>
      </c>
      <c r="E41" s="131">
        <f>E36/2/100000*$C$16*Assumptions!$C$11</f>
        <v>0.27667103706087209</v>
      </c>
      <c r="F41" s="131">
        <f>F36/2/100000*$C$16*Assumptions!$C$11</f>
        <v>0.51227428301029676</v>
      </c>
      <c r="G41" s="131">
        <f>G36/2/100000*$C$16*Assumptions!$C$11</f>
        <v>0.7451150781723197</v>
      </c>
      <c r="H41" s="131">
        <f>H36/2/100000*$C$16*Assumptions!$C$11</f>
        <v>1.0160149112280437</v>
      </c>
      <c r="I41" s="131">
        <f>I36/2/100000*$C$16*Assumptions!$C$11</f>
        <v>1.2268256443064811</v>
      </c>
      <c r="J41" s="131">
        <f>J36/2/100000*$C$16*Assumptions!$C$11</f>
        <v>1.2279093750000001</v>
      </c>
      <c r="K41" s="131">
        <f>K36/2/100000*$C$16*Assumptions!$C$11</f>
        <v>1.2279093750000001</v>
      </c>
      <c r="L41" s="131">
        <f>L36/2/100000*$C$16*Assumptions!$C$11</f>
        <v>1.2279093750000001</v>
      </c>
      <c r="M41" s="131">
        <f>M36/2/100000*$C$16*Assumptions!$C$11</f>
        <v>1.2279093750000001</v>
      </c>
      <c r="N41" s="131">
        <f>N36/2/100000*$C$16*Assumptions!$C$11</f>
        <v>1.2279093750000001</v>
      </c>
      <c r="O41" s="131">
        <f>O36/2/100000*$C$16*Assumptions!$C$11</f>
        <v>1.2279093750000001</v>
      </c>
      <c r="P41" s="131">
        <f>P36/2/100000*$C$16*Assumptions!$C$11</f>
        <v>1.2279093750000001</v>
      </c>
      <c r="Q41" s="131">
        <f>Q36/2/100000*$C$16*Assumptions!$C$11</f>
        <v>1.2279093750000001</v>
      </c>
      <c r="R41" s="131">
        <f>R36/2/100000*$C$16*Assumptions!$C$11</f>
        <v>1.2279093750000001</v>
      </c>
      <c r="S41" s="131">
        <f>S36/2/100000*$C$16*Assumptions!$C$11</f>
        <v>1.2279093750000001</v>
      </c>
      <c r="T41" s="131">
        <f>T36/2/100000*$C$16*Assumptions!$C$11</f>
        <v>1.2279093750000001</v>
      </c>
      <c r="U41" s="131">
        <f>U36/2/100000*$C$16*Assumptions!$C$11</f>
        <v>1.2279093750000001</v>
      </c>
      <c r="V41" s="131">
        <f>V36/2/100000*$C$16*Assumptions!$C$11</f>
        <v>1.2279093750000001</v>
      </c>
      <c r="W41" s="131">
        <f>W36/2/100000*$C$16*Assumptions!$C$11</f>
        <v>1.2279093750000001</v>
      </c>
      <c r="X41" s="131">
        <f>X36/2/100000*$C$16*Assumptions!$C$11</f>
        <v>1.2279093750000001</v>
      </c>
      <c r="Y41" s="131">
        <f>Y36/2/100000*$C$16*Assumptions!$C$11</f>
        <v>1.2279093750000001</v>
      </c>
      <c r="Z41" s="131">
        <f>Z36/2/100000*$C$16*Assumptions!$C$11</f>
        <v>1.2279093750000001</v>
      </c>
      <c r="AA41" s="131">
        <f>AA36/2/100000*$C$16*Assumptions!$C$11</f>
        <v>1.2279093750000001</v>
      </c>
      <c r="AB41" s="131">
        <f>AB36/2/100000*$C$16*Assumptions!$C$11</f>
        <v>1.2279093750000001</v>
      </c>
    </row>
    <row r="42" spans="1:28" ht="15.75" thickBot="1" x14ac:dyDescent="0.3">
      <c r="A42" s="120" t="s">
        <v>350</v>
      </c>
      <c r="B42" s="287"/>
      <c r="C42" s="291">
        <v>2E-3</v>
      </c>
      <c r="D42" s="288"/>
      <c r="E42" s="131"/>
      <c r="F42" s="131"/>
      <c r="G42" s="131"/>
      <c r="H42" s="131">
        <f>+C11*(1+$C$42*5)</f>
        <v>787.43640000000016</v>
      </c>
      <c r="I42" s="131">
        <f>+H42*(1+$C$42)</f>
        <v>789.01127280000014</v>
      </c>
      <c r="J42" s="131">
        <f>+I42*(1+$C$42)</f>
        <v>790.58929534560014</v>
      </c>
      <c r="K42" s="131">
        <f t="shared" ref="K42:AB42" si="6">+J42*(1+$C$42)</f>
        <v>792.17047393629139</v>
      </c>
      <c r="L42" s="131">
        <f t="shared" si="6"/>
        <v>793.75481488416392</v>
      </c>
      <c r="M42" s="131">
        <f t="shared" si="6"/>
        <v>795.34232451393223</v>
      </c>
      <c r="N42" s="131">
        <f t="shared" si="6"/>
        <v>796.93300916296005</v>
      </c>
      <c r="O42" s="131">
        <f t="shared" si="6"/>
        <v>798.52687518128596</v>
      </c>
      <c r="P42" s="131">
        <f t="shared" si="6"/>
        <v>800.12392893164849</v>
      </c>
      <c r="Q42" s="131">
        <f t="shared" si="6"/>
        <v>801.72417678951183</v>
      </c>
      <c r="R42" s="131">
        <f t="shared" si="6"/>
        <v>803.32762514309081</v>
      </c>
      <c r="S42" s="131">
        <f t="shared" si="6"/>
        <v>804.93428039337698</v>
      </c>
      <c r="T42" s="131">
        <f t="shared" si="6"/>
        <v>806.54414895416369</v>
      </c>
      <c r="U42" s="131">
        <f t="shared" si="6"/>
        <v>808.15723725207204</v>
      </c>
      <c r="V42" s="131">
        <f t="shared" si="6"/>
        <v>809.77355172657622</v>
      </c>
      <c r="W42" s="131">
        <f t="shared" si="6"/>
        <v>811.39309883002932</v>
      </c>
      <c r="X42" s="131">
        <f t="shared" si="6"/>
        <v>813.01588502768936</v>
      </c>
      <c r="Y42" s="131">
        <f t="shared" si="6"/>
        <v>814.64191679774478</v>
      </c>
      <c r="Z42" s="131">
        <f t="shared" si="6"/>
        <v>816.27120063134032</v>
      </c>
      <c r="AA42" s="131">
        <f t="shared" si="6"/>
        <v>817.90374303260296</v>
      </c>
      <c r="AB42" s="131">
        <f t="shared" si="6"/>
        <v>819.53955051866819</v>
      </c>
    </row>
    <row r="43" spans="1:28" x14ac:dyDescent="0.25">
      <c r="A43" s="214" t="s">
        <v>182</v>
      </c>
      <c r="B43" s="103" t="s">
        <v>56</v>
      </c>
      <c r="C43" s="290"/>
      <c r="D43" s="131"/>
      <c r="E43" s="131"/>
      <c r="F43" s="131"/>
      <c r="G43" s="131"/>
      <c r="H43" s="131">
        <f>D40</f>
        <v>0.12057228384312538</v>
      </c>
      <c r="I43" s="131">
        <f>SUM(D40:E40)</f>
        <v>0.3972433209039975</v>
      </c>
      <c r="J43" s="131">
        <f>SUM(D40:F40)</f>
        <v>0.90951760391429426</v>
      </c>
      <c r="K43" s="131">
        <f>SUM(D40:G40)</f>
        <v>1.654632682086614</v>
      </c>
      <c r="L43" s="131">
        <f>SUM(D40:H40)</f>
        <v>2.6706475933146576</v>
      </c>
      <c r="M43" s="131">
        <f t="shared" ref="M43:AB43" si="7">SUM(E40:I40)</f>
        <v>3.7769009537780134</v>
      </c>
      <c r="N43" s="131">
        <f t="shared" si="7"/>
        <v>4.7281392917171416</v>
      </c>
      <c r="O43" s="131">
        <f t="shared" si="7"/>
        <v>5.4437743837068453</v>
      </c>
      <c r="P43" s="131">
        <f t="shared" si="7"/>
        <v>5.9265686805345252</v>
      </c>
      <c r="Q43" s="131">
        <f t="shared" si="7"/>
        <v>6.1384631443064821</v>
      </c>
      <c r="R43" s="131">
        <f t="shared" si="7"/>
        <v>6.1395468750000006</v>
      </c>
      <c r="S43" s="131">
        <f t="shared" si="7"/>
        <v>6.1395468750000006</v>
      </c>
      <c r="T43" s="131">
        <f t="shared" si="7"/>
        <v>6.1395468750000006</v>
      </c>
      <c r="U43" s="131">
        <f t="shared" si="7"/>
        <v>6.1395468750000006</v>
      </c>
      <c r="V43" s="131">
        <f t="shared" si="7"/>
        <v>6.1395468750000006</v>
      </c>
      <c r="W43" s="131">
        <f t="shared" si="7"/>
        <v>6.1395468750000006</v>
      </c>
      <c r="X43" s="131">
        <f t="shared" si="7"/>
        <v>6.1395468750000006</v>
      </c>
      <c r="Y43" s="131">
        <f t="shared" si="7"/>
        <v>6.1395468750000006</v>
      </c>
      <c r="Z43" s="131">
        <f t="shared" si="7"/>
        <v>6.1395468750000006</v>
      </c>
      <c r="AA43" s="131">
        <f t="shared" si="7"/>
        <v>6.1395468750000006</v>
      </c>
      <c r="AB43" s="131">
        <f t="shared" si="7"/>
        <v>6.1395468750000006</v>
      </c>
    </row>
    <row r="44" spans="1:28" ht="30" x14ac:dyDescent="0.25">
      <c r="A44" s="120" t="s">
        <v>180</v>
      </c>
      <c r="B44" s="103" t="s">
        <v>51</v>
      </c>
      <c r="C44" s="103"/>
      <c r="D44" s="131"/>
      <c r="E44" s="131"/>
      <c r="F44" s="131"/>
      <c r="G44" s="131"/>
      <c r="H44" s="131">
        <f>(1+$C$14*5)*C11</f>
        <v>818.62200000000018</v>
      </c>
      <c r="I44" s="131">
        <f>(1+$C$14)*H44</f>
        <v>826.80822000000023</v>
      </c>
      <c r="J44" s="131">
        <f t="shared" ref="J44:AB44" si="8">(1+$C$14)*I44</f>
        <v>835.07630220000021</v>
      </c>
      <c r="K44" s="131">
        <f t="shared" si="8"/>
        <v>843.42706522200024</v>
      </c>
      <c r="L44" s="131">
        <f t="shared" si="8"/>
        <v>851.86133587422023</v>
      </c>
      <c r="M44" s="131">
        <f t="shared" si="8"/>
        <v>860.37994923296242</v>
      </c>
      <c r="N44" s="131">
        <f t="shared" si="8"/>
        <v>868.983748725292</v>
      </c>
      <c r="O44" s="131">
        <f t="shared" si="8"/>
        <v>877.67358621254493</v>
      </c>
      <c r="P44" s="131">
        <f t="shared" si="8"/>
        <v>886.45032207467034</v>
      </c>
      <c r="Q44" s="131">
        <f t="shared" si="8"/>
        <v>895.31482529541699</v>
      </c>
      <c r="R44" s="131">
        <f t="shared" si="8"/>
        <v>904.26797354837117</v>
      </c>
      <c r="S44" s="131">
        <f t="shared" si="8"/>
        <v>913.31065328385489</v>
      </c>
      <c r="T44" s="131">
        <f t="shared" si="8"/>
        <v>922.4437598166935</v>
      </c>
      <c r="U44" s="131">
        <f t="shared" si="8"/>
        <v>931.6681974148604</v>
      </c>
      <c r="V44" s="131">
        <f t="shared" si="8"/>
        <v>940.98487938900905</v>
      </c>
      <c r="W44" s="131">
        <f t="shared" si="8"/>
        <v>950.39472818289914</v>
      </c>
      <c r="X44" s="131">
        <f t="shared" si="8"/>
        <v>959.89867546472817</v>
      </c>
      <c r="Y44" s="131">
        <f t="shared" si="8"/>
        <v>969.49766221937546</v>
      </c>
      <c r="Z44" s="131">
        <f t="shared" si="8"/>
        <v>979.19263884156919</v>
      </c>
      <c r="AA44" s="131">
        <f t="shared" si="8"/>
        <v>988.98456522998492</v>
      </c>
      <c r="AB44" s="131">
        <f t="shared" si="8"/>
        <v>998.87441088228479</v>
      </c>
    </row>
    <row r="45" spans="1:28" ht="45" x14ac:dyDescent="0.25">
      <c r="A45" s="120" t="s">
        <v>181</v>
      </c>
      <c r="B45" s="103" t="s">
        <v>51</v>
      </c>
      <c r="C45" s="103"/>
      <c r="D45" s="131"/>
      <c r="E45" s="131"/>
      <c r="F45" s="131"/>
      <c r="G45" s="131"/>
      <c r="H45" s="131">
        <f>+H44-H42</f>
        <v>31.185600000000022</v>
      </c>
      <c r="I45" s="131">
        <f>+I44-I42</f>
        <v>37.796947200000091</v>
      </c>
      <c r="J45" s="131">
        <f t="shared" ref="J45:AB45" si="9">+J44-J42</f>
        <v>44.487006854400079</v>
      </c>
      <c r="K45" s="131">
        <f t="shared" si="9"/>
        <v>51.256591285708851</v>
      </c>
      <c r="L45" s="131">
        <f t="shared" si="9"/>
        <v>58.10652099005631</v>
      </c>
      <c r="M45" s="131">
        <f t="shared" si="9"/>
        <v>65.037624719030191</v>
      </c>
      <c r="N45" s="131">
        <f t="shared" si="9"/>
        <v>72.050739562331955</v>
      </c>
      <c r="O45" s="131">
        <f t="shared" si="9"/>
        <v>79.146711031258974</v>
      </c>
      <c r="P45" s="131">
        <f t="shared" si="9"/>
        <v>86.326393143021846</v>
      </c>
      <c r="Q45" s="131">
        <f t="shared" si="9"/>
        <v>93.590648505905165</v>
      </c>
      <c r="R45" s="131">
        <f t="shared" si="9"/>
        <v>100.94034840528036</v>
      </c>
      <c r="S45" s="131">
        <f t="shared" si="9"/>
        <v>108.37637289047791</v>
      </c>
      <c r="T45" s="131">
        <f t="shared" si="9"/>
        <v>115.89961086252981</v>
      </c>
      <c r="U45" s="131">
        <f t="shared" si="9"/>
        <v>123.51096016278836</v>
      </c>
      <c r="V45" s="131">
        <f t="shared" si="9"/>
        <v>131.21132766243284</v>
      </c>
      <c r="W45" s="131">
        <f t="shared" si="9"/>
        <v>139.00162935286983</v>
      </c>
      <c r="X45" s="131">
        <f t="shared" si="9"/>
        <v>146.88279043703881</v>
      </c>
      <c r="Y45" s="131">
        <f t="shared" si="9"/>
        <v>154.85574542163067</v>
      </c>
      <c r="Z45" s="131">
        <f t="shared" si="9"/>
        <v>162.92143821022887</v>
      </c>
      <c r="AA45" s="131">
        <f t="shared" si="9"/>
        <v>171.08082219738196</v>
      </c>
      <c r="AB45" s="131">
        <f t="shared" si="9"/>
        <v>179.3348603636166</v>
      </c>
    </row>
    <row r="46" spans="1:28" x14ac:dyDescent="0.25">
      <c r="A46" s="103"/>
      <c r="B46" s="103"/>
      <c r="C46" s="103"/>
      <c r="D46" s="131"/>
      <c r="E46" s="131"/>
      <c r="F46" s="131"/>
      <c r="G46" s="131"/>
      <c r="H46" s="131"/>
      <c r="I46" s="131"/>
      <c r="J46" s="131"/>
      <c r="K46" s="131"/>
      <c r="L46" s="131"/>
      <c r="M46" s="131"/>
      <c r="N46" s="131"/>
      <c r="O46" s="131"/>
      <c r="P46" s="131"/>
      <c r="Q46" s="131"/>
      <c r="R46" s="131"/>
      <c r="S46" s="131"/>
      <c r="T46" s="131"/>
      <c r="U46" s="131"/>
      <c r="V46" s="131"/>
      <c r="W46" s="131"/>
      <c r="X46" s="131"/>
      <c r="Y46" s="131"/>
      <c r="Z46" s="131"/>
      <c r="AA46" s="131"/>
      <c r="AB46" s="131"/>
    </row>
    <row r="47" spans="1:28" x14ac:dyDescent="0.25">
      <c r="A47" s="103" t="s">
        <v>183</v>
      </c>
      <c r="B47" s="103"/>
      <c r="C47" s="103"/>
      <c r="D47" s="131"/>
      <c r="E47" s="131"/>
      <c r="F47" s="131"/>
      <c r="G47" s="131"/>
      <c r="H47" s="131"/>
      <c r="I47" s="131"/>
      <c r="J47" s="131"/>
      <c r="K47" s="131"/>
      <c r="L47" s="131"/>
      <c r="M47" s="131"/>
      <c r="N47" s="131"/>
      <c r="O47" s="131"/>
      <c r="P47" s="131"/>
      <c r="Q47" s="131"/>
      <c r="R47" s="131"/>
      <c r="S47" s="131"/>
      <c r="T47" s="131"/>
      <c r="U47" s="131"/>
      <c r="V47" s="131"/>
      <c r="W47" s="131"/>
      <c r="X47" s="131"/>
      <c r="Y47" s="131"/>
      <c r="Z47" s="131"/>
      <c r="AA47" s="131"/>
      <c r="AB47" s="131"/>
    </row>
    <row r="48" spans="1:28" x14ac:dyDescent="0.25">
      <c r="A48" s="103" t="s">
        <v>184</v>
      </c>
      <c r="B48" s="103" t="s">
        <v>51</v>
      </c>
      <c r="C48" s="103"/>
      <c r="D48" s="131"/>
      <c r="E48" s="131"/>
      <c r="F48" s="131"/>
      <c r="G48" s="131"/>
      <c r="H48" s="130">
        <f t="shared" ref="H48:AB48" si="10">H$45*D$40*100000</f>
        <v>376011.90150181734</v>
      </c>
      <c r="I48" s="130">
        <f t="shared" si="10"/>
        <v>1045732.0579559051</v>
      </c>
      <c r="J48" s="130">
        <f t="shared" si="10"/>
        <v>2278954.9539611959</v>
      </c>
      <c r="K48" s="130">
        <f t="shared" si="10"/>
        <v>3819205.9022697592</v>
      </c>
      <c r="L48" s="130">
        <f t="shared" si="10"/>
        <v>5903709.1765482519</v>
      </c>
      <c r="M48" s="130">
        <f t="shared" si="10"/>
        <v>7978982.5850087339</v>
      </c>
      <c r="N48" s="130">
        <f t="shared" si="10"/>
        <v>8847177.8584270813</v>
      </c>
      <c r="O48" s="130">
        <f t="shared" si="10"/>
        <v>9718498.847569881</v>
      </c>
      <c r="P48" s="130">
        <f t="shared" si="10"/>
        <v>10600098.745025225</v>
      </c>
      <c r="Q48" s="130">
        <f t="shared" si="10"/>
        <v>11492083.47127307</v>
      </c>
      <c r="R48" s="130">
        <f t="shared" si="10"/>
        <v>12394560.012261005</v>
      </c>
      <c r="S48" s="130">
        <f t="shared" si="10"/>
        <v>13307636.430071369</v>
      </c>
      <c r="T48" s="130">
        <f t="shared" si="10"/>
        <v>14231421.873695221</v>
      </c>
      <c r="U48" s="130">
        <f t="shared" si="10"/>
        <v>15166026.589913938</v>
      </c>
      <c r="V48" s="130">
        <f t="shared" si="10"/>
        <v>16111561.934289813</v>
      </c>
      <c r="W48" s="130">
        <f t="shared" si="10"/>
        <v>17068140.382266406</v>
      </c>
      <c r="X48" s="130">
        <f t="shared" si="10"/>
        <v>18035875.540380031</v>
      </c>
      <c r="Y48" s="130">
        <f t="shared" si="10"/>
        <v>19014882.157583363</v>
      </c>
      <c r="Z48" s="130">
        <f t="shared" si="10"/>
        <v>20005276.136682328</v>
      </c>
      <c r="AA48" s="130">
        <f t="shared" si="10"/>
        <v>21007174.545887344</v>
      </c>
      <c r="AB48" s="130">
        <f t="shared" si="10"/>
        <v>22020695.630480073</v>
      </c>
    </row>
    <row r="49" spans="1:29" x14ac:dyDescent="0.25">
      <c r="A49" s="103" t="s">
        <v>185</v>
      </c>
      <c r="B49" s="103" t="s">
        <v>51</v>
      </c>
      <c r="C49" s="103"/>
      <c r="D49" s="131"/>
      <c r="E49" s="131"/>
      <c r="F49" s="131"/>
      <c r="G49" s="131"/>
      <c r="H49" s="130"/>
      <c r="I49" s="130">
        <f t="shared" ref="I49:AB49" si="11">H$45*D$40*100000</f>
        <v>376011.90150181734</v>
      </c>
      <c r="J49" s="130">
        <f t="shared" si="11"/>
        <v>1045732.0579559051</v>
      </c>
      <c r="K49" s="130">
        <f t="shared" si="11"/>
        <v>2278954.9539611959</v>
      </c>
      <c r="L49" s="130">
        <f t="shared" si="11"/>
        <v>3819205.9022697592</v>
      </c>
      <c r="M49" s="130">
        <f t="shared" si="11"/>
        <v>5903709.1765482519</v>
      </c>
      <c r="N49" s="130">
        <f t="shared" si="11"/>
        <v>7978982.5850087339</v>
      </c>
      <c r="O49" s="130">
        <f t="shared" si="11"/>
        <v>8847177.8584270813</v>
      </c>
      <c r="P49" s="130">
        <f t="shared" si="11"/>
        <v>9718498.847569881</v>
      </c>
      <c r="Q49" s="130">
        <f t="shared" si="11"/>
        <v>10600098.745025225</v>
      </c>
      <c r="R49" s="130">
        <f t="shared" si="11"/>
        <v>11492083.47127307</v>
      </c>
      <c r="S49" s="130">
        <f t="shared" si="11"/>
        <v>12394560.012261005</v>
      </c>
      <c r="T49" s="130">
        <f t="shared" si="11"/>
        <v>13307636.430071369</v>
      </c>
      <c r="U49" s="130">
        <f t="shared" si="11"/>
        <v>14231421.873695221</v>
      </c>
      <c r="V49" s="130">
        <f t="shared" si="11"/>
        <v>15166026.589913938</v>
      </c>
      <c r="W49" s="130">
        <f t="shared" si="11"/>
        <v>16111561.934289813</v>
      </c>
      <c r="X49" s="130">
        <f t="shared" si="11"/>
        <v>17068140.382266406</v>
      </c>
      <c r="Y49" s="130">
        <f t="shared" si="11"/>
        <v>18035875.540380031</v>
      </c>
      <c r="Z49" s="130">
        <f t="shared" si="11"/>
        <v>19014882.157583363</v>
      </c>
      <c r="AA49" s="130">
        <f t="shared" si="11"/>
        <v>20005276.136682328</v>
      </c>
      <c r="AB49" s="130">
        <f t="shared" si="11"/>
        <v>21007174.545887344</v>
      </c>
    </row>
    <row r="50" spans="1:29" x14ac:dyDescent="0.25">
      <c r="A50" s="103" t="s">
        <v>186</v>
      </c>
      <c r="B50" s="103" t="s">
        <v>51</v>
      </c>
      <c r="C50" s="103"/>
      <c r="D50" s="131"/>
      <c r="E50" s="131"/>
      <c r="F50" s="131"/>
      <c r="G50" s="131"/>
      <c r="H50" s="130"/>
      <c r="I50" s="130"/>
      <c r="J50" s="130">
        <f t="shared" ref="J50:AB50" si="12">H$45*D$40*100000</f>
        <v>376011.90150181734</v>
      </c>
      <c r="K50" s="130">
        <f t="shared" si="12"/>
        <v>1045732.0579559051</v>
      </c>
      <c r="L50" s="130">
        <f t="shared" si="12"/>
        <v>2278954.9539611959</v>
      </c>
      <c r="M50" s="130">
        <f t="shared" si="12"/>
        <v>3819205.9022697592</v>
      </c>
      <c r="N50" s="130">
        <f t="shared" si="12"/>
        <v>5903709.1765482519</v>
      </c>
      <c r="O50" s="130">
        <f t="shared" si="12"/>
        <v>7978982.5850087339</v>
      </c>
      <c r="P50" s="130">
        <f t="shared" si="12"/>
        <v>8847177.8584270813</v>
      </c>
      <c r="Q50" s="130">
        <f t="shared" si="12"/>
        <v>9718498.847569881</v>
      </c>
      <c r="R50" s="130">
        <f t="shared" si="12"/>
        <v>10600098.745025225</v>
      </c>
      <c r="S50" s="130">
        <f t="shared" si="12"/>
        <v>11492083.47127307</v>
      </c>
      <c r="T50" s="130">
        <f t="shared" si="12"/>
        <v>12394560.012261005</v>
      </c>
      <c r="U50" s="130">
        <f t="shared" si="12"/>
        <v>13307636.430071369</v>
      </c>
      <c r="V50" s="130">
        <f t="shared" si="12"/>
        <v>14231421.873695221</v>
      </c>
      <c r="W50" s="130">
        <f t="shared" si="12"/>
        <v>15166026.589913938</v>
      </c>
      <c r="X50" s="130">
        <f t="shared" si="12"/>
        <v>16111561.934289813</v>
      </c>
      <c r="Y50" s="130">
        <f t="shared" si="12"/>
        <v>17068140.382266406</v>
      </c>
      <c r="Z50" s="130">
        <f t="shared" si="12"/>
        <v>18035875.540380031</v>
      </c>
      <c r="AA50" s="130">
        <f t="shared" si="12"/>
        <v>19014882.157583363</v>
      </c>
      <c r="AB50" s="130">
        <f t="shared" si="12"/>
        <v>20005276.136682328</v>
      </c>
    </row>
    <row r="51" spans="1:29" x14ac:dyDescent="0.25">
      <c r="A51" s="103" t="s">
        <v>187</v>
      </c>
      <c r="B51" s="103" t="s">
        <v>51</v>
      </c>
      <c r="C51" s="103"/>
      <c r="D51" s="131"/>
      <c r="E51" s="131"/>
      <c r="F51" s="131"/>
      <c r="G51" s="131"/>
      <c r="H51" s="130"/>
      <c r="I51" s="130"/>
      <c r="J51" s="130"/>
      <c r="K51" s="130">
        <f>H$45*D$40*100000</f>
        <v>376011.90150181734</v>
      </c>
      <c r="L51" s="130">
        <f>I$45*E$40*100000</f>
        <v>1045732.0579559051</v>
      </c>
      <c r="M51" s="130">
        <f t="shared" ref="M51:AB51" si="13">J$45*F$40*100000</f>
        <v>2278954.9539611959</v>
      </c>
      <c r="N51" s="130">
        <f t="shared" si="13"/>
        <v>3819205.9022697592</v>
      </c>
      <c r="O51" s="130">
        <f t="shared" si="13"/>
        <v>5903709.1765482519</v>
      </c>
      <c r="P51" s="130">
        <f t="shared" si="13"/>
        <v>7978982.5850087339</v>
      </c>
      <c r="Q51" s="130">
        <f t="shared" si="13"/>
        <v>8847177.8584270813</v>
      </c>
      <c r="R51" s="130">
        <f t="shared" si="13"/>
        <v>9718498.847569881</v>
      </c>
      <c r="S51" s="130">
        <f t="shared" si="13"/>
        <v>10600098.745025225</v>
      </c>
      <c r="T51" s="130">
        <f t="shared" si="13"/>
        <v>11492083.47127307</v>
      </c>
      <c r="U51" s="130">
        <f t="shared" si="13"/>
        <v>12394560.012261005</v>
      </c>
      <c r="V51" s="130">
        <f t="shared" si="13"/>
        <v>13307636.430071369</v>
      </c>
      <c r="W51" s="130">
        <f t="shared" si="13"/>
        <v>14231421.873695221</v>
      </c>
      <c r="X51" s="130">
        <f t="shared" si="13"/>
        <v>15166026.589913938</v>
      </c>
      <c r="Y51" s="130">
        <f t="shared" si="13"/>
        <v>16111561.934289813</v>
      </c>
      <c r="Z51" s="130">
        <f t="shared" si="13"/>
        <v>17068140.382266406</v>
      </c>
      <c r="AA51" s="130">
        <f t="shared" si="13"/>
        <v>18035875.540380031</v>
      </c>
      <c r="AB51" s="130">
        <f t="shared" si="13"/>
        <v>19014882.157583363</v>
      </c>
    </row>
    <row r="52" spans="1:29" x14ac:dyDescent="0.25">
      <c r="A52" s="103" t="s">
        <v>188</v>
      </c>
      <c r="B52" s="103" t="s">
        <v>51</v>
      </c>
      <c r="C52" s="103"/>
      <c r="D52" s="131"/>
      <c r="E52" s="131"/>
      <c r="F52" s="131"/>
      <c r="G52" s="131"/>
      <c r="H52" s="130"/>
      <c r="I52" s="130"/>
      <c r="J52" s="130"/>
      <c r="K52" s="130"/>
      <c r="L52" s="130">
        <f>H$45*D$40*100000</f>
        <v>376011.90150181734</v>
      </c>
      <c r="M52" s="130">
        <f t="shared" ref="M52:AB52" si="14">I$45*E$40*100000</f>
        <v>1045732.0579559051</v>
      </c>
      <c r="N52" s="130">
        <f t="shared" si="14"/>
        <v>2278954.9539611959</v>
      </c>
      <c r="O52" s="130">
        <f t="shared" si="14"/>
        <v>3819205.9022697592</v>
      </c>
      <c r="P52" s="130">
        <f t="shared" si="14"/>
        <v>5903709.1765482519</v>
      </c>
      <c r="Q52" s="130">
        <f t="shared" si="14"/>
        <v>7978982.5850087339</v>
      </c>
      <c r="R52" s="130">
        <f t="shared" si="14"/>
        <v>8847177.8584270813</v>
      </c>
      <c r="S52" s="130">
        <f t="shared" si="14"/>
        <v>9718498.847569881</v>
      </c>
      <c r="T52" s="130">
        <f t="shared" si="14"/>
        <v>10600098.745025225</v>
      </c>
      <c r="U52" s="130">
        <f t="shared" si="14"/>
        <v>11492083.47127307</v>
      </c>
      <c r="V52" s="130">
        <f t="shared" si="14"/>
        <v>12394560.012261005</v>
      </c>
      <c r="W52" s="130">
        <f t="shared" si="14"/>
        <v>13307636.430071369</v>
      </c>
      <c r="X52" s="130">
        <f t="shared" si="14"/>
        <v>14231421.873695221</v>
      </c>
      <c r="Y52" s="130">
        <f t="shared" si="14"/>
        <v>15166026.589913938</v>
      </c>
      <c r="Z52" s="130">
        <f t="shared" si="14"/>
        <v>16111561.934289813</v>
      </c>
      <c r="AA52" s="130">
        <f t="shared" si="14"/>
        <v>17068140.382266406</v>
      </c>
      <c r="AB52" s="130">
        <f t="shared" si="14"/>
        <v>18035875.540380031</v>
      </c>
    </row>
    <row r="53" spans="1:29" x14ac:dyDescent="0.25">
      <c r="A53" s="104" t="s">
        <v>31</v>
      </c>
      <c r="B53" s="103" t="s">
        <v>51</v>
      </c>
      <c r="C53" s="103"/>
      <c r="D53" s="131"/>
      <c r="E53" s="131"/>
      <c r="F53" s="131"/>
      <c r="G53" s="131"/>
      <c r="H53" s="130">
        <f>SUM(H48:H52)</f>
        <v>376011.90150181734</v>
      </c>
      <c r="I53" s="130">
        <f t="shared" ref="I53:AB53" si="15">SUM(I48:I52)</f>
        <v>1421743.9594577225</v>
      </c>
      <c r="J53" s="130">
        <f t="shared" si="15"/>
        <v>3700698.9134189184</v>
      </c>
      <c r="K53" s="130">
        <f t="shared" si="15"/>
        <v>7519904.8156886781</v>
      </c>
      <c r="L53" s="130">
        <f t="shared" si="15"/>
        <v>13423613.992236931</v>
      </c>
      <c r="M53" s="130">
        <f t="shared" si="15"/>
        <v>21026584.675743848</v>
      </c>
      <c r="N53" s="130">
        <f t="shared" si="15"/>
        <v>28828030.476215024</v>
      </c>
      <c r="O53" s="130">
        <f t="shared" si="15"/>
        <v>36267574.369823702</v>
      </c>
      <c r="P53" s="130">
        <f t="shared" si="15"/>
        <v>43048467.212579176</v>
      </c>
      <c r="Q53" s="130">
        <f t="shared" si="15"/>
        <v>48636841.50730399</v>
      </c>
      <c r="R53" s="130">
        <f t="shared" si="15"/>
        <v>53052418.934556261</v>
      </c>
      <c r="S53" s="130">
        <f t="shared" si="15"/>
        <v>57512877.506200552</v>
      </c>
      <c r="T53" s="130">
        <f t="shared" si="15"/>
        <v>62025800.532325894</v>
      </c>
      <c r="U53" s="130">
        <f t="shared" si="15"/>
        <v>66591728.377214603</v>
      </c>
      <c r="V53" s="130">
        <f t="shared" si="15"/>
        <v>71211206.840231344</v>
      </c>
      <c r="W53" s="130">
        <f t="shared" si="15"/>
        <v>75884787.210236743</v>
      </c>
      <c r="X53" s="130">
        <f t="shared" si="15"/>
        <v>80613026.320545405</v>
      </c>
      <c r="Y53" s="130">
        <f t="shared" si="15"/>
        <v>85396486.604433551</v>
      </c>
      <c r="Z53" s="130">
        <f t="shared" si="15"/>
        <v>90235736.151201934</v>
      </c>
      <c r="AA53" s="130">
        <f t="shared" si="15"/>
        <v>95131348.762799472</v>
      </c>
      <c r="AB53" s="130">
        <f t="shared" si="15"/>
        <v>100083904.01101315</v>
      </c>
    </row>
    <row r="54" spans="1:29" x14ac:dyDescent="0.25">
      <c r="A54" s="103"/>
      <c r="B54" s="103"/>
      <c r="C54" s="103"/>
      <c r="D54" s="131"/>
      <c r="E54" s="131"/>
      <c r="F54" s="131"/>
      <c r="G54" s="131"/>
      <c r="H54" s="131"/>
      <c r="I54" s="131"/>
      <c r="J54" s="131"/>
      <c r="K54" s="131"/>
      <c r="L54" s="131"/>
      <c r="M54" s="131"/>
      <c r="N54" s="131"/>
      <c r="O54" s="131"/>
      <c r="P54" s="131"/>
      <c r="Q54" s="131"/>
      <c r="R54" s="131"/>
      <c r="S54" s="131"/>
      <c r="T54" s="131"/>
      <c r="U54" s="131"/>
      <c r="V54" s="131"/>
      <c r="W54" s="131"/>
      <c r="X54" s="131"/>
      <c r="Y54" s="131"/>
      <c r="Z54" s="131"/>
      <c r="AA54" s="131"/>
      <c r="AB54" s="131"/>
    </row>
    <row r="55" spans="1:29" ht="30" x14ac:dyDescent="0.25">
      <c r="A55" s="120" t="s">
        <v>159</v>
      </c>
      <c r="B55" s="140" t="s">
        <v>55</v>
      </c>
      <c r="C55" s="103"/>
      <c r="D55" s="131"/>
      <c r="E55" s="131"/>
      <c r="F55" s="131"/>
      <c r="G55" s="131"/>
      <c r="H55" s="131">
        <f>H53*(365/$D$31)*1.03/1000/1000</f>
        <v>0.38529832505344463</v>
      </c>
      <c r="I55" s="131">
        <f>((H53*($D$31-365)/$D$31)+(I53*(365/$D$31)))*1.03/1000/1000</f>
        <v>1.4588509213865757</v>
      </c>
      <c r="J55" s="131">
        <f>((I53*($D$31-365)/$D$31)+(J53*(365/$D$31)))*1.03/1000/1000</f>
        <v>3.7996349319287361</v>
      </c>
      <c r="K55" s="131">
        <f t="shared" ref="K55:AB55" si="16">((J53*($D$31-365)/$D$31)+(K53*(365/$D$31)))*1.03/1000/1000</f>
        <v>7.7252492965164716</v>
      </c>
      <c r="L55" s="131">
        <f t="shared" si="16"/>
        <v>13.795015946927915</v>
      </c>
      <c r="M55" s="131">
        <f t="shared" si="16"/>
        <v>21.617064827564256</v>
      </c>
      <c r="N55" s="131">
        <f t="shared" si="16"/>
        <v>29.651501518918717</v>
      </c>
      <c r="O55" s="131">
        <f t="shared" si="16"/>
        <v>37.31615083968974</v>
      </c>
      <c r="P55" s="131">
        <f t="shared" si="16"/>
        <v>44.303963193318559</v>
      </c>
      <c r="Q55" s="131">
        <f t="shared" si="16"/>
        <v>50.066312460003225</v>
      </c>
      <c r="R55" s="131">
        <f t="shared" si="16"/>
        <v>54.620576372141343</v>
      </c>
      <c r="S55" s="131">
        <f t="shared" si="16"/>
        <v>59.214610703103865</v>
      </c>
      <c r="T55" s="131">
        <f t="shared" si="16"/>
        <v>63.862643209050525</v>
      </c>
      <c r="U55" s="131">
        <f t="shared" si="16"/>
        <v>68.565267812854486</v>
      </c>
      <c r="V55" s="131">
        <f t="shared" si="16"/>
        <v>73.323046659039917</v>
      </c>
      <c r="W55" s="131">
        <f t="shared" si="16"/>
        <v>78.136547546023323</v>
      </c>
      <c r="X55" s="131">
        <f t="shared" si="16"/>
        <v>83.00634398271734</v>
      </c>
      <c r="Y55" s="131">
        <f t="shared" si="16"/>
        <v>87.933015245700744</v>
      </c>
      <c r="Z55" s="131">
        <f t="shared" si="16"/>
        <v>92.917146436960294</v>
      </c>
      <c r="AA55" s="131">
        <f t="shared" si="16"/>
        <v>97.959328542210073</v>
      </c>
      <c r="AB55" s="131">
        <f t="shared" si="16"/>
        <v>103.06015848979412</v>
      </c>
      <c r="AC55" s="131"/>
    </row>
    <row r="56" spans="1:29" x14ac:dyDescent="0.25">
      <c r="A56" s="103"/>
      <c r="B56" s="103"/>
      <c r="C56" s="103"/>
      <c r="D56" s="131"/>
      <c r="E56" s="131"/>
      <c r="F56" s="131"/>
      <c r="G56" s="131"/>
      <c r="H56" s="131"/>
      <c r="I56" s="131"/>
      <c r="J56" s="131"/>
      <c r="K56" s="131"/>
      <c r="L56" s="131"/>
      <c r="M56" s="131"/>
      <c r="N56" s="131"/>
      <c r="O56" s="131"/>
      <c r="P56" s="131"/>
      <c r="Q56" s="131"/>
      <c r="R56" s="131"/>
      <c r="S56" s="131"/>
      <c r="T56" s="131"/>
      <c r="U56" s="131"/>
      <c r="V56" s="131"/>
      <c r="W56" s="131"/>
      <c r="X56" s="131"/>
      <c r="Y56" s="131"/>
      <c r="Z56" s="131"/>
      <c r="AA56" s="131"/>
      <c r="AB56" s="131"/>
    </row>
    <row r="57" spans="1:29" x14ac:dyDescent="0.25">
      <c r="A57" s="214" t="s">
        <v>189</v>
      </c>
      <c r="B57" s="103" t="s">
        <v>56</v>
      </c>
      <c r="C57" s="103"/>
      <c r="D57" s="131"/>
      <c r="E57" s="131"/>
      <c r="F57" s="131"/>
      <c r="G57" s="131">
        <f>D41</f>
        <v>0.12057228384312538</v>
      </c>
      <c r="H57" s="131">
        <f>SUM(D41:E41)</f>
        <v>0.3972433209039975</v>
      </c>
      <c r="I57" s="131">
        <f>SUM(D41:F41)</f>
        <v>0.90951760391429426</v>
      </c>
      <c r="J57" s="131">
        <f>SUM(D41:G41)</f>
        <v>1.654632682086614</v>
      </c>
      <c r="K57" s="131">
        <f>SUM(D41:H41)</f>
        <v>2.6706475933146576</v>
      </c>
      <c r="L57" s="131">
        <f t="shared" ref="L57:AB57" si="17">SUM(E41:I41)</f>
        <v>3.7769009537780134</v>
      </c>
      <c r="M57" s="131">
        <f t="shared" si="17"/>
        <v>4.7281392917171416</v>
      </c>
      <c r="N57" s="131">
        <f t="shared" si="17"/>
        <v>5.4437743837068453</v>
      </c>
      <c r="O57" s="131">
        <f t="shared" si="17"/>
        <v>5.9265686805345252</v>
      </c>
      <c r="P57" s="131">
        <f t="shared" si="17"/>
        <v>6.1384631443064821</v>
      </c>
      <c r="Q57" s="131">
        <f t="shared" si="17"/>
        <v>6.1395468750000006</v>
      </c>
      <c r="R57" s="131">
        <f t="shared" si="17"/>
        <v>6.1395468750000006</v>
      </c>
      <c r="S57" s="131">
        <f t="shared" si="17"/>
        <v>6.1395468750000006</v>
      </c>
      <c r="T57" s="131">
        <f t="shared" si="17"/>
        <v>6.1395468750000006</v>
      </c>
      <c r="U57" s="131">
        <f t="shared" si="17"/>
        <v>6.1395468750000006</v>
      </c>
      <c r="V57" s="131">
        <f t="shared" si="17"/>
        <v>6.1395468750000006</v>
      </c>
      <c r="W57" s="131">
        <f t="shared" si="17"/>
        <v>6.1395468750000006</v>
      </c>
      <c r="X57" s="131">
        <f t="shared" si="17"/>
        <v>6.1395468750000006</v>
      </c>
      <c r="Y57" s="131">
        <f t="shared" si="17"/>
        <v>6.1395468750000006</v>
      </c>
      <c r="Z57" s="131">
        <f t="shared" si="17"/>
        <v>6.1395468750000006</v>
      </c>
      <c r="AA57" s="131">
        <f t="shared" si="17"/>
        <v>6.1395468750000006</v>
      </c>
      <c r="AB57" s="131">
        <f t="shared" si="17"/>
        <v>6.1395468750000006</v>
      </c>
    </row>
    <row r="58" spans="1:29" ht="30" x14ac:dyDescent="0.25">
      <c r="A58" s="120" t="s">
        <v>190</v>
      </c>
      <c r="B58" s="103" t="s">
        <v>51</v>
      </c>
      <c r="C58" s="103"/>
      <c r="D58" s="131"/>
      <c r="E58" s="131"/>
      <c r="F58" s="131"/>
      <c r="G58" s="131">
        <f>$D$11</f>
        <v>2507.1849999999999</v>
      </c>
      <c r="H58" s="131">
        <f t="shared" ref="H58:AB58" si="18">$D$11</f>
        <v>2507.1849999999999</v>
      </c>
      <c r="I58" s="131">
        <f t="shared" si="18"/>
        <v>2507.1849999999999</v>
      </c>
      <c r="J58" s="131">
        <f t="shared" si="18"/>
        <v>2507.1849999999999</v>
      </c>
      <c r="K58" s="131">
        <f t="shared" si="18"/>
        <v>2507.1849999999999</v>
      </c>
      <c r="L58" s="131">
        <f t="shared" si="18"/>
        <v>2507.1849999999999</v>
      </c>
      <c r="M58" s="131">
        <f t="shared" si="18"/>
        <v>2507.1849999999999</v>
      </c>
      <c r="N58" s="131">
        <f t="shared" si="18"/>
        <v>2507.1849999999999</v>
      </c>
      <c r="O58" s="131">
        <f t="shared" si="18"/>
        <v>2507.1849999999999</v>
      </c>
      <c r="P58" s="131">
        <f t="shared" si="18"/>
        <v>2507.1849999999999</v>
      </c>
      <c r="Q58" s="131">
        <f t="shared" si="18"/>
        <v>2507.1849999999999</v>
      </c>
      <c r="R58" s="131">
        <f t="shared" si="18"/>
        <v>2507.1849999999999</v>
      </c>
      <c r="S58" s="131">
        <f t="shared" si="18"/>
        <v>2507.1849999999999</v>
      </c>
      <c r="T58" s="131">
        <f t="shared" si="18"/>
        <v>2507.1849999999999</v>
      </c>
      <c r="U58" s="131">
        <f t="shared" si="18"/>
        <v>2507.1849999999999</v>
      </c>
      <c r="V58" s="131">
        <f t="shared" si="18"/>
        <v>2507.1849999999999</v>
      </c>
      <c r="W58" s="131">
        <f t="shared" si="18"/>
        <v>2507.1849999999999</v>
      </c>
      <c r="X58" s="131">
        <f t="shared" si="18"/>
        <v>2507.1849999999999</v>
      </c>
      <c r="Y58" s="131">
        <f t="shared" si="18"/>
        <v>2507.1849999999999</v>
      </c>
      <c r="Z58" s="131">
        <f t="shared" si="18"/>
        <v>2507.1849999999999</v>
      </c>
      <c r="AA58" s="131">
        <f t="shared" si="18"/>
        <v>2507.1849999999999</v>
      </c>
      <c r="AB58" s="131">
        <f t="shared" si="18"/>
        <v>2507.1849999999999</v>
      </c>
    </row>
    <row r="59" spans="1:29" ht="45" x14ac:dyDescent="0.25">
      <c r="A59" s="120" t="s">
        <v>191</v>
      </c>
      <c r="B59" s="103" t="s">
        <v>51</v>
      </c>
      <c r="C59" s="103"/>
      <c r="D59" s="131"/>
      <c r="E59" s="131"/>
      <c r="F59" s="131"/>
      <c r="G59" s="131">
        <f>+G58-$C$11</f>
        <v>1727.5449999999998</v>
      </c>
      <c r="H59" s="131">
        <f t="shared" ref="H59:AB59" si="19">+H58-$C$11</f>
        <v>1727.5449999999998</v>
      </c>
      <c r="I59" s="131">
        <f t="shared" si="19"/>
        <v>1727.5449999999998</v>
      </c>
      <c r="J59" s="131">
        <f t="shared" si="19"/>
        <v>1727.5449999999998</v>
      </c>
      <c r="K59" s="131">
        <f t="shared" si="19"/>
        <v>1727.5449999999998</v>
      </c>
      <c r="L59" s="131">
        <f t="shared" si="19"/>
        <v>1727.5449999999998</v>
      </c>
      <c r="M59" s="131">
        <f t="shared" si="19"/>
        <v>1727.5449999999998</v>
      </c>
      <c r="N59" s="131">
        <f t="shared" si="19"/>
        <v>1727.5449999999998</v>
      </c>
      <c r="O59" s="131">
        <f t="shared" si="19"/>
        <v>1727.5449999999998</v>
      </c>
      <c r="P59" s="131">
        <f t="shared" si="19"/>
        <v>1727.5449999999998</v>
      </c>
      <c r="Q59" s="131">
        <f t="shared" si="19"/>
        <v>1727.5449999999998</v>
      </c>
      <c r="R59" s="131">
        <f t="shared" si="19"/>
        <v>1727.5449999999998</v>
      </c>
      <c r="S59" s="131">
        <f t="shared" si="19"/>
        <v>1727.5449999999998</v>
      </c>
      <c r="T59" s="131">
        <f t="shared" si="19"/>
        <v>1727.5449999999998</v>
      </c>
      <c r="U59" s="131">
        <f t="shared" si="19"/>
        <v>1727.5449999999998</v>
      </c>
      <c r="V59" s="131">
        <f t="shared" si="19"/>
        <v>1727.5449999999998</v>
      </c>
      <c r="W59" s="131">
        <f t="shared" si="19"/>
        <v>1727.5449999999998</v>
      </c>
      <c r="X59" s="131">
        <f t="shared" si="19"/>
        <v>1727.5449999999998</v>
      </c>
      <c r="Y59" s="131">
        <f t="shared" si="19"/>
        <v>1727.5449999999998</v>
      </c>
      <c r="Z59" s="131">
        <f t="shared" si="19"/>
        <v>1727.5449999999998</v>
      </c>
      <c r="AA59" s="131">
        <f t="shared" si="19"/>
        <v>1727.5449999999998</v>
      </c>
      <c r="AB59" s="131">
        <f t="shared" si="19"/>
        <v>1727.5449999999998</v>
      </c>
    </row>
    <row r="60" spans="1:29" x14ac:dyDescent="0.25">
      <c r="A60" s="103"/>
      <c r="B60" s="103"/>
      <c r="C60" s="103"/>
      <c r="D60" s="131"/>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row>
    <row r="61" spans="1:29" x14ac:dyDescent="0.25">
      <c r="A61" s="103" t="s">
        <v>183</v>
      </c>
      <c r="B61" s="103"/>
      <c r="C61" s="103"/>
      <c r="D61" s="131"/>
      <c r="E61" s="131"/>
      <c r="F61" s="131"/>
      <c r="G61" s="131"/>
      <c r="H61" s="131"/>
      <c r="I61" s="131"/>
      <c r="J61" s="131"/>
      <c r="K61" s="131"/>
      <c r="L61" s="131"/>
      <c r="M61" s="131"/>
      <c r="N61" s="131"/>
      <c r="O61" s="131"/>
      <c r="P61" s="131"/>
      <c r="Q61" s="131"/>
      <c r="R61" s="131"/>
      <c r="S61" s="131"/>
      <c r="T61" s="131"/>
      <c r="U61" s="131"/>
      <c r="V61" s="131"/>
      <c r="W61" s="131"/>
      <c r="X61" s="131"/>
      <c r="Y61" s="131"/>
      <c r="Z61" s="131"/>
      <c r="AA61" s="131"/>
      <c r="AB61" s="131"/>
    </row>
    <row r="62" spans="1:29" x14ac:dyDescent="0.25">
      <c r="A62" s="103" t="s">
        <v>184</v>
      </c>
      <c r="B62" s="103" t="s">
        <v>51</v>
      </c>
      <c r="C62" s="103"/>
      <c r="D62" s="131"/>
      <c r="E62" s="131"/>
      <c r="F62" s="131"/>
      <c r="G62" s="130">
        <f t="shared" ref="G62:AB62" si="20">D41*G59*100000</f>
        <v>20829404.609177202</v>
      </c>
      <c r="H62" s="130">
        <f t="shared" si="20"/>
        <v>47796166.671932422</v>
      </c>
      <c r="I62" s="130">
        <f t="shared" si="20"/>
        <v>88497687.624302313</v>
      </c>
      <c r="J62" s="130">
        <f t="shared" si="20"/>
        <v>128721982.77211998</v>
      </c>
      <c r="K62" s="130">
        <f t="shared" si="20"/>
        <v>175521147.98174503</v>
      </c>
      <c r="L62" s="130">
        <f t="shared" si="20"/>
        <v>211939650.76934397</v>
      </c>
      <c r="M62" s="130">
        <f t="shared" si="20"/>
        <v>212126870.12343749</v>
      </c>
      <c r="N62" s="130">
        <f t="shared" si="20"/>
        <v>212126870.12343749</v>
      </c>
      <c r="O62" s="130">
        <f t="shared" si="20"/>
        <v>212126870.12343749</v>
      </c>
      <c r="P62" s="130">
        <f t="shared" si="20"/>
        <v>212126870.12343749</v>
      </c>
      <c r="Q62" s="130">
        <f t="shared" si="20"/>
        <v>212126870.12343749</v>
      </c>
      <c r="R62" s="130">
        <f t="shared" si="20"/>
        <v>212126870.12343749</v>
      </c>
      <c r="S62" s="130">
        <f t="shared" si="20"/>
        <v>212126870.12343749</v>
      </c>
      <c r="T62" s="130">
        <f t="shared" si="20"/>
        <v>212126870.12343749</v>
      </c>
      <c r="U62" s="130">
        <f t="shared" si="20"/>
        <v>212126870.12343749</v>
      </c>
      <c r="V62" s="130">
        <f t="shared" si="20"/>
        <v>212126870.12343749</v>
      </c>
      <c r="W62" s="130">
        <f t="shared" si="20"/>
        <v>212126870.12343749</v>
      </c>
      <c r="X62" s="130">
        <f t="shared" si="20"/>
        <v>212126870.12343749</v>
      </c>
      <c r="Y62" s="130">
        <f t="shared" si="20"/>
        <v>212126870.12343749</v>
      </c>
      <c r="Z62" s="130">
        <f t="shared" si="20"/>
        <v>212126870.12343749</v>
      </c>
      <c r="AA62" s="130">
        <f t="shared" si="20"/>
        <v>212126870.12343749</v>
      </c>
      <c r="AB62" s="130">
        <f t="shared" si="20"/>
        <v>212126870.12343749</v>
      </c>
    </row>
    <row r="63" spans="1:29" x14ac:dyDescent="0.25">
      <c r="A63" s="103" t="s">
        <v>185</v>
      </c>
      <c r="B63" s="103" t="s">
        <v>51</v>
      </c>
      <c r="C63" s="103"/>
      <c r="D63" s="131"/>
      <c r="E63" s="131"/>
      <c r="F63" s="131"/>
      <c r="G63" s="130"/>
      <c r="H63" s="130">
        <f t="shared" ref="H63:AB63" si="21">D41*G59*100000</f>
        <v>20829404.609177202</v>
      </c>
      <c r="I63" s="130">
        <f t="shared" si="21"/>
        <v>47796166.671932422</v>
      </c>
      <c r="J63" s="130">
        <f t="shared" si="21"/>
        <v>88497687.624302313</v>
      </c>
      <c r="K63" s="130">
        <f t="shared" si="21"/>
        <v>128721982.77211998</v>
      </c>
      <c r="L63" s="130">
        <f t="shared" si="21"/>
        <v>175521147.98174503</v>
      </c>
      <c r="M63" s="130">
        <f t="shared" si="21"/>
        <v>211939650.76934397</v>
      </c>
      <c r="N63" s="130">
        <f t="shared" si="21"/>
        <v>212126870.12343749</v>
      </c>
      <c r="O63" s="130">
        <f t="shared" si="21"/>
        <v>212126870.12343749</v>
      </c>
      <c r="P63" s="130">
        <f t="shared" si="21"/>
        <v>212126870.12343749</v>
      </c>
      <c r="Q63" s="130">
        <f t="shared" si="21"/>
        <v>212126870.12343749</v>
      </c>
      <c r="R63" s="130">
        <f t="shared" si="21"/>
        <v>212126870.12343749</v>
      </c>
      <c r="S63" s="130">
        <f t="shared" si="21"/>
        <v>212126870.12343749</v>
      </c>
      <c r="T63" s="130">
        <f t="shared" si="21"/>
        <v>212126870.12343749</v>
      </c>
      <c r="U63" s="130">
        <f t="shared" si="21"/>
        <v>212126870.12343749</v>
      </c>
      <c r="V63" s="130">
        <f t="shared" si="21"/>
        <v>212126870.12343749</v>
      </c>
      <c r="W63" s="130">
        <f t="shared" si="21"/>
        <v>212126870.12343749</v>
      </c>
      <c r="X63" s="130">
        <f t="shared" si="21"/>
        <v>212126870.12343749</v>
      </c>
      <c r="Y63" s="130">
        <f t="shared" si="21"/>
        <v>212126870.12343749</v>
      </c>
      <c r="Z63" s="130">
        <f t="shared" si="21"/>
        <v>212126870.12343749</v>
      </c>
      <c r="AA63" s="130">
        <f t="shared" si="21"/>
        <v>212126870.12343749</v>
      </c>
      <c r="AB63" s="130">
        <f t="shared" si="21"/>
        <v>212126870.12343749</v>
      </c>
    </row>
    <row r="64" spans="1:29" x14ac:dyDescent="0.25">
      <c r="A64" s="103" t="s">
        <v>186</v>
      </c>
      <c r="B64" s="103" t="s">
        <v>51</v>
      </c>
      <c r="C64" s="103"/>
      <c r="D64" s="131"/>
      <c r="E64" s="131"/>
      <c r="F64" s="131"/>
      <c r="G64" s="130"/>
      <c r="H64" s="130"/>
      <c r="I64" s="130">
        <f t="shared" ref="I64:AB64" si="22">D41*G59*100000</f>
        <v>20829404.609177202</v>
      </c>
      <c r="J64" s="130">
        <f t="shared" si="22"/>
        <v>47796166.671932422</v>
      </c>
      <c r="K64" s="130">
        <f t="shared" si="22"/>
        <v>88497687.624302313</v>
      </c>
      <c r="L64" s="130">
        <f t="shared" si="22"/>
        <v>128721982.77211998</v>
      </c>
      <c r="M64" s="130">
        <f t="shared" si="22"/>
        <v>175521147.98174503</v>
      </c>
      <c r="N64" s="130">
        <f t="shared" si="22"/>
        <v>211939650.76934397</v>
      </c>
      <c r="O64" s="130">
        <f t="shared" si="22"/>
        <v>212126870.12343749</v>
      </c>
      <c r="P64" s="130">
        <f t="shared" si="22"/>
        <v>212126870.12343749</v>
      </c>
      <c r="Q64" s="130">
        <f t="shared" si="22"/>
        <v>212126870.12343749</v>
      </c>
      <c r="R64" s="130">
        <f t="shared" si="22"/>
        <v>212126870.12343749</v>
      </c>
      <c r="S64" s="130">
        <f t="shared" si="22"/>
        <v>212126870.12343749</v>
      </c>
      <c r="T64" s="130">
        <f t="shared" si="22"/>
        <v>212126870.12343749</v>
      </c>
      <c r="U64" s="130">
        <f t="shared" si="22"/>
        <v>212126870.12343749</v>
      </c>
      <c r="V64" s="130">
        <f t="shared" si="22"/>
        <v>212126870.12343749</v>
      </c>
      <c r="W64" s="130">
        <f t="shared" si="22"/>
        <v>212126870.12343749</v>
      </c>
      <c r="X64" s="130">
        <f t="shared" si="22"/>
        <v>212126870.12343749</v>
      </c>
      <c r="Y64" s="130">
        <f t="shared" si="22"/>
        <v>212126870.12343749</v>
      </c>
      <c r="Z64" s="130">
        <f t="shared" si="22"/>
        <v>212126870.12343749</v>
      </c>
      <c r="AA64" s="130">
        <f t="shared" si="22"/>
        <v>212126870.12343749</v>
      </c>
      <c r="AB64" s="130">
        <f t="shared" si="22"/>
        <v>212126870.12343749</v>
      </c>
    </row>
    <row r="65" spans="1:29" x14ac:dyDescent="0.25">
      <c r="A65" s="103" t="s">
        <v>187</v>
      </c>
      <c r="B65" s="103" t="s">
        <v>51</v>
      </c>
      <c r="C65" s="103"/>
      <c r="D65" s="131"/>
      <c r="E65" s="131"/>
      <c r="F65" s="131"/>
      <c r="G65" s="130"/>
      <c r="H65" s="130"/>
      <c r="I65" s="130"/>
      <c r="J65" s="130">
        <f t="shared" ref="J65:AB65" si="23">D41*G59*100000</f>
        <v>20829404.609177202</v>
      </c>
      <c r="K65" s="130">
        <f t="shared" si="23"/>
        <v>47796166.671932422</v>
      </c>
      <c r="L65" s="130">
        <f t="shared" si="23"/>
        <v>88497687.624302313</v>
      </c>
      <c r="M65" s="130">
        <f t="shared" si="23"/>
        <v>128721982.77211998</v>
      </c>
      <c r="N65" s="130">
        <f t="shared" si="23"/>
        <v>175521147.98174503</v>
      </c>
      <c r="O65" s="130">
        <f t="shared" si="23"/>
        <v>211939650.76934397</v>
      </c>
      <c r="P65" s="130">
        <f t="shared" si="23"/>
        <v>212126870.12343749</v>
      </c>
      <c r="Q65" s="130">
        <f t="shared" si="23"/>
        <v>212126870.12343749</v>
      </c>
      <c r="R65" s="130">
        <f t="shared" si="23"/>
        <v>212126870.12343749</v>
      </c>
      <c r="S65" s="130">
        <f t="shared" si="23"/>
        <v>212126870.12343749</v>
      </c>
      <c r="T65" s="130">
        <f t="shared" si="23"/>
        <v>212126870.12343749</v>
      </c>
      <c r="U65" s="130">
        <f t="shared" si="23"/>
        <v>212126870.12343749</v>
      </c>
      <c r="V65" s="130">
        <f t="shared" si="23"/>
        <v>212126870.12343749</v>
      </c>
      <c r="W65" s="130">
        <f t="shared" si="23"/>
        <v>212126870.12343749</v>
      </c>
      <c r="X65" s="130">
        <f t="shared" si="23"/>
        <v>212126870.12343749</v>
      </c>
      <c r="Y65" s="130">
        <f t="shared" si="23"/>
        <v>212126870.12343749</v>
      </c>
      <c r="Z65" s="130">
        <f t="shared" si="23"/>
        <v>212126870.12343749</v>
      </c>
      <c r="AA65" s="130">
        <f t="shared" si="23"/>
        <v>212126870.12343749</v>
      </c>
      <c r="AB65" s="130">
        <f t="shared" si="23"/>
        <v>212126870.12343749</v>
      </c>
    </row>
    <row r="66" spans="1:29" x14ac:dyDescent="0.25">
      <c r="A66" s="103" t="s">
        <v>188</v>
      </c>
      <c r="B66" s="103" t="s">
        <v>51</v>
      </c>
      <c r="C66" s="103"/>
      <c r="D66" s="131"/>
      <c r="E66" s="131"/>
      <c r="F66" s="131"/>
      <c r="G66" s="130"/>
      <c r="H66" s="130"/>
      <c r="I66" s="130"/>
      <c r="J66" s="130"/>
      <c r="K66" s="130">
        <f t="shared" ref="K66:AB66" si="24">D41*G59*100000</f>
        <v>20829404.609177202</v>
      </c>
      <c r="L66" s="130">
        <f t="shared" si="24"/>
        <v>47796166.671932422</v>
      </c>
      <c r="M66" s="130">
        <f t="shared" si="24"/>
        <v>88497687.624302313</v>
      </c>
      <c r="N66" s="130">
        <f t="shared" si="24"/>
        <v>128721982.77211998</v>
      </c>
      <c r="O66" s="130">
        <f t="shared" si="24"/>
        <v>175521147.98174503</v>
      </c>
      <c r="P66" s="130">
        <f t="shared" si="24"/>
        <v>211939650.76934397</v>
      </c>
      <c r="Q66" s="130">
        <f t="shared" si="24"/>
        <v>212126870.12343749</v>
      </c>
      <c r="R66" s="130">
        <f t="shared" si="24"/>
        <v>212126870.12343749</v>
      </c>
      <c r="S66" s="130">
        <f t="shared" si="24"/>
        <v>212126870.12343749</v>
      </c>
      <c r="T66" s="130">
        <f t="shared" si="24"/>
        <v>212126870.12343749</v>
      </c>
      <c r="U66" s="130">
        <f t="shared" si="24"/>
        <v>212126870.12343749</v>
      </c>
      <c r="V66" s="130">
        <f t="shared" si="24"/>
        <v>212126870.12343749</v>
      </c>
      <c r="W66" s="130">
        <f t="shared" si="24"/>
        <v>212126870.12343749</v>
      </c>
      <c r="X66" s="130">
        <f t="shared" si="24"/>
        <v>212126870.12343749</v>
      </c>
      <c r="Y66" s="130">
        <f t="shared" si="24"/>
        <v>212126870.12343749</v>
      </c>
      <c r="Z66" s="130">
        <f t="shared" si="24"/>
        <v>212126870.12343749</v>
      </c>
      <c r="AA66" s="130">
        <f t="shared" si="24"/>
        <v>212126870.12343749</v>
      </c>
      <c r="AB66" s="130">
        <f t="shared" si="24"/>
        <v>212126870.12343749</v>
      </c>
    </row>
    <row r="67" spans="1:29" x14ac:dyDescent="0.25">
      <c r="A67" s="104" t="s">
        <v>31</v>
      </c>
      <c r="B67" s="103" t="s">
        <v>51</v>
      </c>
      <c r="C67" s="103"/>
      <c r="D67" s="131"/>
      <c r="E67" s="131"/>
      <c r="F67" s="131"/>
      <c r="G67" s="141">
        <f>SUM(G62:G66)</f>
        <v>20829404.609177202</v>
      </c>
      <c r="H67" s="141">
        <f t="shared" ref="H67:AB67" si="25">SUM(H62:H66)</f>
        <v>68625571.281109631</v>
      </c>
      <c r="I67" s="141">
        <f t="shared" si="25"/>
        <v>157123258.90541193</v>
      </c>
      <c r="J67" s="141">
        <f t="shared" si="25"/>
        <v>285845241.67753196</v>
      </c>
      <c r="K67" s="141">
        <f t="shared" si="25"/>
        <v>461366389.65927696</v>
      </c>
      <c r="L67" s="141">
        <f t="shared" si="25"/>
        <v>652476635.8194437</v>
      </c>
      <c r="M67" s="141">
        <f t="shared" si="25"/>
        <v>816807339.27094877</v>
      </c>
      <c r="N67" s="141">
        <f t="shared" si="25"/>
        <v>940436521.7700839</v>
      </c>
      <c r="O67" s="141">
        <f t="shared" si="25"/>
        <v>1023841409.1214014</v>
      </c>
      <c r="P67" s="141">
        <f t="shared" si="25"/>
        <v>1060447131.2630939</v>
      </c>
      <c r="Q67" s="141">
        <f t="shared" si="25"/>
        <v>1060634350.6171875</v>
      </c>
      <c r="R67" s="141">
        <f t="shared" si="25"/>
        <v>1060634350.6171875</v>
      </c>
      <c r="S67" s="141">
        <f t="shared" si="25"/>
        <v>1060634350.6171875</v>
      </c>
      <c r="T67" s="141">
        <f t="shared" si="25"/>
        <v>1060634350.6171875</v>
      </c>
      <c r="U67" s="141">
        <f t="shared" si="25"/>
        <v>1060634350.6171875</v>
      </c>
      <c r="V67" s="141">
        <f t="shared" si="25"/>
        <v>1060634350.6171875</v>
      </c>
      <c r="W67" s="141">
        <f t="shared" si="25"/>
        <v>1060634350.6171875</v>
      </c>
      <c r="X67" s="141">
        <f t="shared" si="25"/>
        <v>1060634350.6171875</v>
      </c>
      <c r="Y67" s="141">
        <f t="shared" si="25"/>
        <v>1060634350.6171875</v>
      </c>
      <c r="Z67" s="141">
        <f t="shared" si="25"/>
        <v>1060634350.6171875</v>
      </c>
      <c r="AA67" s="141">
        <f t="shared" si="25"/>
        <v>1060634350.6171875</v>
      </c>
      <c r="AB67" s="141">
        <f t="shared" si="25"/>
        <v>1060634350.6171875</v>
      </c>
    </row>
    <row r="68" spans="1:29" x14ac:dyDescent="0.25">
      <c r="A68" s="120"/>
      <c r="B68" s="103"/>
      <c r="C68" s="103"/>
      <c r="D68" s="131"/>
      <c r="E68" s="131"/>
      <c r="F68" s="131"/>
      <c r="G68" s="131"/>
      <c r="H68" s="131"/>
      <c r="I68" s="131"/>
      <c r="J68" s="131"/>
      <c r="K68" s="131"/>
      <c r="L68" s="131"/>
      <c r="M68" s="131"/>
      <c r="N68" s="131"/>
      <c r="O68" s="131"/>
      <c r="P68" s="131"/>
      <c r="Q68" s="131"/>
      <c r="R68" s="131"/>
      <c r="S68" s="131"/>
      <c r="T68" s="131"/>
      <c r="U68" s="131"/>
      <c r="V68" s="131"/>
      <c r="W68" s="131"/>
      <c r="X68" s="131"/>
      <c r="Y68" s="131"/>
      <c r="Z68" s="131"/>
      <c r="AA68" s="131"/>
      <c r="AB68" s="131"/>
    </row>
    <row r="69" spans="1:29" ht="30" x14ac:dyDescent="0.25">
      <c r="A69" s="120" t="s">
        <v>160</v>
      </c>
      <c r="B69" s="140" t="s">
        <v>55</v>
      </c>
      <c r="C69" s="103"/>
      <c r="D69" s="131"/>
      <c r="E69" s="131"/>
      <c r="F69" s="131"/>
      <c r="G69" s="131">
        <f>G67*(365/$D$31)*1.03/1000/1000</f>
        <v>21.3438316067176</v>
      </c>
      <c r="H69" s="131">
        <f>((G67*($D$31 -365)/$D$31)+(H67*365/$D$31))*1.03/1000/1000</f>
        <v>70.430882671988229</v>
      </c>
      <c r="I69" s="131">
        <f t="shared" ref="I69:AB69" si="26">((H67*($D$31 -365)/$D$31)+(I67*365/$D$31))*1.03/1000/1000</f>
        <v>161.36766699652898</v>
      </c>
      <c r="J69" s="131">
        <f t="shared" si="26"/>
        <v>293.73800597863328</v>
      </c>
      <c r="K69" s="131">
        <f t="shared" si="26"/>
        <v>474.27661959824951</v>
      </c>
      <c r="L69" s="131">
        <f t="shared" si="26"/>
        <v>671.03750654446173</v>
      </c>
      <c r="M69" s="131">
        <f t="shared" si="26"/>
        <v>840.44013891078646</v>
      </c>
      <c r="N69" s="131">
        <f t="shared" si="26"/>
        <v>967.99403081338642</v>
      </c>
      <c r="O69" s="131">
        <f t="shared" si="26"/>
        <v>1054.1143680584228</v>
      </c>
      <c r="P69" s="131">
        <f t="shared" si="26"/>
        <v>1092.0664306659471</v>
      </c>
      <c r="Q69" s="131">
        <f t="shared" si="26"/>
        <v>1092.452388340158</v>
      </c>
      <c r="R69" s="131">
        <f t="shared" si="26"/>
        <v>1092.453381135703</v>
      </c>
      <c r="S69" s="131">
        <f t="shared" si="26"/>
        <v>1092.453381135703</v>
      </c>
      <c r="T69" s="131">
        <f t="shared" si="26"/>
        <v>1092.453381135703</v>
      </c>
      <c r="U69" s="131">
        <f t="shared" si="26"/>
        <v>1092.453381135703</v>
      </c>
      <c r="V69" s="131">
        <f t="shared" si="26"/>
        <v>1092.453381135703</v>
      </c>
      <c r="W69" s="131">
        <f t="shared" si="26"/>
        <v>1092.453381135703</v>
      </c>
      <c r="X69" s="131">
        <f t="shared" si="26"/>
        <v>1092.453381135703</v>
      </c>
      <c r="Y69" s="131">
        <f t="shared" si="26"/>
        <v>1092.453381135703</v>
      </c>
      <c r="Z69" s="131">
        <f t="shared" si="26"/>
        <v>1092.453381135703</v>
      </c>
      <c r="AA69" s="131">
        <f t="shared" si="26"/>
        <v>1092.453381135703</v>
      </c>
      <c r="AB69" s="131">
        <f t="shared" si="26"/>
        <v>1092.453381135703</v>
      </c>
      <c r="AC69" s="131"/>
    </row>
    <row r="70" spans="1:29" x14ac:dyDescent="0.25">
      <c r="A70" s="103"/>
      <c r="B70" s="103"/>
      <c r="C70" s="103"/>
      <c r="D70" s="131"/>
      <c r="E70" s="131"/>
      <c r="F70" s="131"/>
      <c r="G70" s="131"/>
      <c r="H70" s="131"/>
      <c r="I70" s="131"/>
      <c r="J70" s="131"/>
      <c r="K70" s="131"/>
      <c r="L70" s="131"/>
      <c r="M70" s="131"/>
      <c r="N70" s="131"/>
      <c r="O70" s="131"/>
      <c r="P70" s="131"/>
      <c r="Q70" s="131"/>
      <c r="R70" s="131"/>
      <c r="S70" s="131"/>
      <c r="T70" s="131"/>
      <c r="U70" s="131"/>
      <c r="V70" s="131"/>
      <c r="W70" s="131"/>
      <c r="X70" s="131"/>
      <c r="Y70" s="131"/>
      <c r="Z70" s="131"/>
      <c r="AA70" s="131"/>
      <c r="AB70" s="131"/>
    </row>
    <row r="71" spans="1:29" s="107" customFormat="1" ht="25.5" x14ac:dyDescent="0.25">
      <c r="A71" s="215" t="s">
        <v>161</v>
      </c>
      <c r="B71" s="216" t="s">
        <v>55</v>
      </c>
      <c r="C71" s="217"/>
      <c r="D71" s="218"/>
      <c r="E71" s="218"/>
      <c r="F71" s="218"/>
      <c r="G71" s="218">
        <f t="shared" ref="G71:AB71" si="27">G69+G55</f>
        <v>21.3438316067176</v>
      </c>
      <c r="H71" s="218">
        <f t="shared" si="27"/>
        <v>70.81618099704167</v>
      </c>
      <c r="I71" s="218">
        <f t="shared" si="27"/>
        <v>162.82651791791557</v>
      </c>
      <c r="J71" s="218">
        <f t="shared" si="27"/>
        <v>297.537640910562</v>
      </c>
      <c r="K71" s="218">
        <f t="shared" si="27"/>
        <v>482.00186889476601</v>
      </c>
      <c r="L71" s="218">
        <f t="shared" si="27"/>
        <v>684.83252249138968</v>
      </c>
      <c r="M71" s="218">
        <f t="shared" si="27"/>
        <v>862.05720373835072</v>
      </c>
      <c r="N71" s="218">
        <f t="shared" si="27"/>
        <v>997.64553233230515</v>
      </c>
      <c r="O71" s="218">
        <f t="shared" si="27"/>
        <v>1091.4305188981125</v>
      </c>
      <c r="P71" s="218">
        <f t="shared" si="27"/>
        <v>1136.3703938592657</v>
      </c>
      <c r="Q71" s="218">
        <f t="shared" si="27"/>
        <v>1142.5187008001612</v>
      </c>
      <c r="R71" s="218">
        <f t="shared" si="27"/>
        <v>1147.0739575078444</v>
      </c>
      <c r="S71" s="218">
        <f t="shared" si="27"/>
        <v>1151.667991838807</v>
      </c>
      <c r="T71" s="218">
        <f t="shared" si="27"/>
        <v>1156.3160243447535</v>
      </c>
      <c r="U71" s="218">
        <f t="shared" si="27"/>
        <v>1161.0186489485575</v>
      </c>
      <c r="V71" s="218">
        <f t="shared" si="27"/>
        <v>1165.7764277947429</v>
      </c>
      <c r="W71" s="218">
        <f t="shared" si="27"/>
        <v>1170.5899286817264</v>
      </c>
      <c r="X71" s="218">
        <f t="shared" si="27"/>
        <v>1175.4597251184205</v>
      </c>
      <c r="Y71" s="218">
        <f t="shared" si="27"/>
        <v>1180.3863963814038</v>
      </c>
      <c r="Z71" s="218">
        <f t="shared" si="27"/>
        <v>1185.3705275726634</v>
      </c>
      <c r="AA71" s="218">
        <f t="shared" si="27"/>
        <v>1190.412709677913</v>
      </c>
      <c r="AB71" s="218">
        <f t="shared" si="27"/>
        <v>1195.5135396254971</v>
      </c>
    </row>
    <row r="72" spans="1:29" x14ac:dyDescent="0.25">
      <c r="A72" s="103"/>
      <c r="B72" s="103"/>
      <c r="C72" s="103"/>
      <c r="D72" s="131"/>
      <c r="E72" s="131"/>
      <c r="F72" s="131"/>
      <c r="G72" s="131"/>
      <c r="H72" s="131"/>
      <c r="I72" s="131"/>
      <c r="J72" s="131"/>
      <c r="K72" s="131"/>
      <c r="L72" s="131"/>
      <c r="M72" s="131"/>
      <c r="N72" s="131"/>
      <c r="O72" s="131"/>
      <c r="P72" s="131"/>
      <c r="Q72" s="131"/>
      <c r="R72" s="131"/>
      <c r="S72" s="131"/>
      <c r="T72" s="131"/>
      <c r="U72" s="131"/>
      <c r="V72" s="131"/>
      <c r="W72" s="131"/>
      <c r="X72" s="131"/>
      <c r="Y72" s="131"/>
      <c r="Z72" s="131"/>
      <c r="AA72" s="131"/>
      <c r="AB72" s="131"/>
    </row>
    <row r="73" spans="1:29" s="146" customFormat="1" ht="74.25" customHeight="1" x14ac:dyDescent="0.25">
      <c r="A73" s="142" t="s">
        <v>202</v>
      </c>
      <c r="B73" s="143" t="s">
        <v>55</v>
      </c>
      <c r="C73" s="144"/>
      <c r="D73" s="145">
        <f t="shared" ref="D73:AB73" si="28">D71+D37</f>
        <v>1.9707820135961329</v>
      </c>
      <c r="E73" s="145">
        <f t="shared" si="28"/>
        <v>4.5222524293558406</v>
      </c>
      <c r="F73" s="145">
        <f t="shared" si="28"/>
        <v>8.3732422643507132</v>
      </c>
      <c r="G73" s="145">
        <f t="shared" si="28"/>
        <v>33.522910805647541</v>
      </c>
      <c r="H73" s="145">
        <f t="shared" si="28"/>
        <v>87.42318095400455</v>
      </c>
      <c r="I73" s="145">
        <f t="shared" si="28"/>
        <v>182.87926832250662</v>
      </c>
      <c r="J73" s="145">
        <f t="shared" si="28"/>
        <v>317.60810514531613</v>
      </c>
      <c r="K73" s="145">
        <f t="shared" si="28"/>
        <v>502.07233312952013</v>
      </c>
      <c r="L73" s="145">
        <f t="shared" si="28"/>
        <v>704.90298672614381</v>
      </c>
      <c r="M73" s="145">
        <f t="shared" si="28"/>
        <v>882.12766797310485</v>
      </c>
      <c r="N73" s="145">
        <f t="shared" si="28"/>
        <v>1017.7159965670593</v>
      </c>
      <c r="O73" s="145">
        <f t="shared" si="28"/>
        <v>1111.5009831328666</v>
      </c>
      <c r="P73" s="145">
        <f t="shared" si="28"/>
        <v>1156.4408580940199</v>
      </c>
      <c r="Q73" s="145">
        <f t="shared" si="28"/>
        <v>1162.5891650349154</v>
      </c>
      <c r="R73" s="145">
        <f t="shared" si="28"/>
        <v>1167.1444217425985</v>
      </c>
      <c r="S73" s="145">
        <f t="shared" si="28"/>
        <v>1171.7384560735611</v>
      </c>
      <c r="T73" s="145">
        <f t="shared" si="28"/>
        <v>1176.3864885795076</v>
      </c>
      <c r="U73" s="145">
        <f t="shared" si="28"/>
        <v>1181.0891131833116</v>
      </c>
      <c r="V73" s="145">
        <f t="shared" si="28"/>
        <v>1185.846892029497</v>
      </c>
      <c r="W73" s="145">
        <f t="shared" si="28"/>
        <v>1190.6603929164805</v>
      </c>
      <c r="X73" s="145">
        <f t="shared" si="28"/>
        <v>1195.5301893531746</v>
      </c>
      <c r="Y73" s="145">
        <f t="shared" si="28"/>
        <v>1200.4568606161579</v>
      </c>
      <c r="Z73" s="145">
        <f t="shared" si="28"/>
        <v>1205.4409918074175</v>
      </c>
      <c r="AA73" s="145">
        <f t="shared" si="28"/>
        <v>1210.4831739126671</v>
      </c>
      <c r="AB73" s="145">
        <f t="shared" si="28"/>
        <v>1215.5840038602512</v>
      </c>
    </row>
    <row r="75" spans="1:29" x14ac:dyDescent="0.25">
      <c r="A75" s="219" t="s">
        <v>142</v>
      </c>
      <c r="B75" s="103"/>
      <c r="C75" s="127"/>
      <c r="D75" s="104"/>
      <c r="E75" s="104"/>
      <c r="F75" s="130"/>
      <c r="G75" s="130"/>
      <c r="H75" s="130"/>
      <c r="I75" s="132"/>
      <c r="J75" s="103"/>
      <c r="K75" s="103"/>
      <c r="L75" s="103"/>
      <c r="M75" s="103"/>
      <c r="N75" s="103"/>
      <c r="O75" s="103"/>
      <c r="P75" s="103"/>
      <c r="Q75" s="103"/>
      <c r="R75" s="103"/>
    </row>
    <row r="76" spans="1:29" x14ac:dyDescent="0.25">
      <c r="A76" s="133" t="s">
        <v>138</v>
      </c>
      <c r="B76" s="103" t="s">
        <v>128</v>
      </c>
      <c r="C76" s="120">
        <f>C26*$D$17</f>
        <v>133000</v>
      </c>
      <c r="D76" s="120">
        <f t="shared" ref="D76:AB76" si="29">D26*$D$17</f>
        <v>304499.99999999994</v>
      </c>
      <c r="E76" s="120">
        <f t="shared" si="29"/>
        <v>563500</v>
      </c>
      <c r="F76" s="120">
        <f t="shared" si="29"/>
        <v>819000</v>
      </c>
      <c r="G76" s="120">
        <f t="shared" si="29"/>
        <v>1116500</v>
      </c>
      <c r="H76" s="120">
        <f t="shared" si="29"/>
        <v>1347500</v>
      </c>
      <c r="I76" s="120">
        <f t="shared" si="29"/>
        <v>1347500</v>
      </c>
      <c r="J76" s="120">
        <f t="shared" si="29"/>
        <v>1347500</v>
      </c>
      <c r="K76" s="120">
        <f t="shared" si="29"/>
        <v>1347500</v>
      </c>
      <c r="L76" s="120">
        <f t="shared" si="29"/>
        <v>1347500</v>
      </c>
      <c r="M76" s="120">
        <f t="shared" si="29"/>
        <v>1347500</v>
      </c>
      <c r="N76" s="120">
        <f t="shared" si="29"/>
        <v>1347500</v>
      </c>
      <c r="O76" s="120">
        <f t="shared" si="29"/>
        <v>1347500</v>
      </c>
      <c r="P76" s="120">
        <f t="shared" si="29"/>
        <v>1347500</v>
      </c>
      <c r="Q76" s="120">
        <f t="shared" si="29"/>
        <v>1347500</v>
      </c>
      <c r="R76" s="120">
        <f t="shared" si="29"/>
        <v>1347500</v>
      </c>
      <c r="S76" s="120">
        <f t="shared" si="29"/>
        <v>1347500</v>
      </c>
      <c r="T76" s="120">
        <f t="shared" si="29"/>
        <v>1347500</v>
      </c>
      <c r="U76" s="120">
        <f t="shared" si="29"/>
        <v>1347500</v>
      </c>
      <c r="V76" s="120">
        <f t="shared" si="29"/>
        <v>1347500</v>
      </c>
      <c r="W76" s="120">
        <f t="shared" si="29"/>
        <v>1347500</v>
      </c>
      <c r="X76" s="120">
        <f t="shared" si="29"/>
        <v>1347500</v>
      </c>
      <c r="Y76" s="120">
        <f t="shared" si="29"/>
        <v>1347500</v>
      </c>
      <c r="Z76" s="120">
        <f t="shared" si="29"/>
        <v>1347500</v>
      </c>
      <c r="AA76" s="120">
        <f t="shared" si="29"/>
        <v>1347500</v>
      </c>
      <c r="AB76" s="120">
        <f t="shared" si="29"/>
        <v>1347500</v>
      </c>
    </row>
    <row r="77" spans="1:29" x14ac:dyDescent="0.25">
      <c r="A77" s="103" t="s">
        <v>44</v>
      </c>
      <c r="B77" s="129"/>
      <c r="C77" s="135">
        <f>280+60+((1/C20)-1)*22</f>
        <v>380.85714285714289</v>
      </c>
      <c r="D77" s="135">
        <f>280+60+((1/D20)-1)*22</f>
        <v>366.88888888888891</v>
      </c>
      <c r="E77" s="135">
        <f>C77-D77</f>
        <v>13.968253968253975</v>
      </c>
      <c r="F77" s="130"/>
      <c r="G77" s="130"/>
      <c r="H77" s="130"/>
      <c r="I77" s="132"/>
      <c r="J77" s="103"/>
      <c r="K77" s="103"/>
      <c r="L77" s="103"/>
      <c r="M77" s="103"/>
      <c r="N77" s="103"/>
      <c r="O77" s="103"/>
      <c r="P77" s="103"/>
      <c r="Q77" s="103"/>
      <c r="R77" s="103"/>
    </row>
    <row r="78" spans="1:29" x14ac:dyDescent="0.25">
      <c r="A78" s="103"/>
      <c r="B78" s="129"/>
      <c r="C78" s="133"/>
      <c r="D78" s="130"/>
      <c r="E78" s="130"/>
      <c r="F78" s="130"/>
      <c r="G78" s="130"/>
      <c r="H78" s="130"/>
      <c r="I78" s="130"/>
      <c r="J78" s="130"/>
      <c r="K78" s="130"/>
      <c r="L78" s="130"/>
      <c r="M78" s="130"/>
      <c r="N78" s="130"/>
      <c r="O78" s="130"/>
      <c r="P78" s="130"/>
      <c r="Q78" s="130"/>
      <c r="R78" s="130"/>
    </row>
    <row r="79" spans="1:29" x14ac:dyDescent="0.25">
      <c r="A79" s="220" t="s">
        <v>139</v>
      </c>
      <c r="B79" s="129"/>
      <c r="C79" s="133"/>
      <c r="D79" s="135"/>
      <c r="E79" s="135"/>
      <c r="F79" s="130"/>
      <c r="G79" s="130"/>
      <c r="H79" s="130"/>
      <c r="I79" s="132"/>
      <c r="J79" s="103"/>
      <c r="K79" s="103"/>
      <c r="L79" s="103"/>
      <c r="M79" s="103"/>
      <c r="N79" s="103"/>
      <c r="O79" s="103"/>
      <c r="P79" s="103"/>
      <c r="Q79" s="103"/>
      <c r="R79" s="103"/>
    </row>
    <row r="80" spans="1:29" x14ac:dyDescent="0.25">
      <c r="A80" s="123" t="s">
        <v>198</v>
      </c>
      <c r="B80" s="103" t="s">
        <v>51</v>
      </c>
      <c r="C80" s="103">
        <f>D11/D22</f>
        <v>8.2202786885245906</v>
      </c>
      <c r="D80" s="103"/>
      <c r="E80" s="103"/>
      <c r="F80" s="103"/>
      <c r="G80" s="103"/>
      <c r="H80" s="103"/>
      <c r="I80" s="103"/>
      <c r="J80" s="103"/>
      <c r="K80" s="103"/>
      <c r="L80" s="103"/>
      <c r="M80" s="103"/>
      <c r="N80" s="103"/>
      <c r="O80" s="103"/>
      <c r="P80" s="103"/>
      <c r="Q80" s="103"/>
      <c r="R80" s="103"/>
    </row>
    <row r="81" spans="1:28" ht="45" x14ac:dyDescent="0.25">
      <c r="A81" s="123" t="s">
        <v>199</v>
      </c>
      <c r="B81" s="103" t="s">
        <v>51</v>
      </c>
      <c r="C81" s="103">
        <f>C80*E77</f>
        <v>114.8229404111372</v>
      </c>
      <c r="D81" s="103"/>
      <c r="E81" s="103"/>
      <c r="F81" s="103"/>
      <c r="G81" s="103"/>
      <c r="H81" s="103"/>
      <c r="I81" s="103"/>
      <c r="J81" s="103"/>
      <c r="K81" s="103"/>
      <c r="L81" s="103"/>
      <c r="M81" s="103"/>
      <c r="N81" s="103"/>
      <c r="O81" s="103"/>
      <c r="P81" s="103"/>
      <c r="Q81" s="103"/>
      <c r="R81" s="103"/>
    </row>
    <row r="82" spans="1:28" x14ac:dyDescent="0.25">
      <c r="A82" s="120" t="s">
        <v>80</v>
      </c>
      <c r="B82" s="103" t="s">
        <v>54</v>
      </c>
      <c r="C82" s="103"/>
      <c r="D82" s="130">
        <f>C76*$D$20*$D$15*365/$D$77</f>
        <v>53587.681708055723</v>
      </c>
      <c r="E82" s="130">
        <f t="shared" ref="E82:AB82" si="30">(D76*$D$20*$D$15*(365/$D$77))+(C76*$D$20*$D$15*($D$77-365)/$D$77)</f>
        <v>122964.90536038759</v>
      </c>
      <c r="F82" s="130">
        <f t="shared" si="30"/>
        <v>227677.45911568744</v>
      </c>
      <c r="G82" s="130">
        <f t="shared" si="30"/>
        <v>331162.25696547545</v>
      </c>
      <c r="H82" s="130">
        <f t="shared" si="30"/>
        <v>451562.18276801932</v>
      </c>
      <c r="I82" s="130">
        <f t="shared" si="30"/>
        <v>545255.84191399149</v>
      </c>
      <c r="J82" s="130">
        <f t="shared" si="30"/>
        <v>545737.49999999988</v>
      </c>
      <c r="K82" s="130">
        <f t="shared" si="30"/>
        <v>545737.49999999988</v>
      </c>
      <c r="L82" s="130">
        <f t="shared" si="30"/>
        <v>545737.49999999988</v>
      </c>
      <c r="M82" s="130">
        <f t="shared" si="30"/>
        <v>545737.49999999988</v>
      </c>
      <c r="N82" s="130">
        <f t="shared" si="30"/>
        <v>545737.49999999988</v>
      </c>
      <c r="O82" s="130">
        <f t="shared" si="30"/>
        <v>545737.49999999988</v>
      </c>
      <c r="P82" s="130">
        <f t="shared" si="30"/>
        <v>545737.49999999988</v>
      </c>
      <c r="Q82" s="130">
        <f t="shared" si="30"/>
        <v>545737.49999999988</v>
      </c>
      <c r="R82" s="130">
        <f t="shared" si="30"/>
        <v>545737.49999999988</v>
      </c>
      <c r="S82" s="130">
        <f t="shared" si="30"/>
        <v>545737.49999999988</v>
      </c>
      <c r="T82" s="130">
        <f t="shared" si="30"/>
        <v>545737.49999999988</v>
      </c>
      <c r="U82" s="130">
        <f t="shared" si="30"/>
        <v>545737.49999999988</v>
      </c>
      <c r="V82" s="130">
        <f t="shared" si="30"/>
        <v>545737.49999999988</v>
      </c>
      <c r="W82" s="130">
        <f t="shared" si="30"/>
        <v>545737.49999999988</v>
      </c>
      <c r="X82" s="130">
        <f t="shared" si="30"/>
        <v>545737.49999999988</v>
      </c>
      <c r="Y82" s="130">
        <f t="shared" si="30"/>
        <v>545737.49999999988</v>
      </c>
      <c r="Z82" s="130">
        <f t="shared" si="30"/>
        <v>545737.49999999988</v>
      </c>
      <c r="AA82" s="130">
        <f t="shared" si="30"/>
        <v>545737.49999999988</v>
      </c>
      <c r="AB82" s="130">
        <f t="shared" si="30"/>
        <v>545737.49999999988</v>
      </c>
    </row>
    <row r="83" spans="1:28" ht="38.25" x14ac:dyDescent="0.25">
      <c r="A83" s="222" t="s">
        <v>200</v>
      </c>
      <c r="B83" s="137" t="s">
        <v>201</v>
      </c>
      <c r="C83" s="104"/>
      <c r="D83" s="138">
        <f>D82*$C$81*1.03/1000/1000</f>
        <v>6.3376880390411214</v>
      </c>
      <c r="E83" s="138">
        <f t="shared" ref="E83:AB83" si="31">E82*$C$81*1.03/1000/1000</f>
        <v>14.542767760882619</v>
      </c>
      <c r="F83" s="138">
        <f t="shared" si="31"/>
        <v>26.926873180629695</v>
      </c>
      <c r="G83" s="138">
        <f t="shared" si="31"/>
        <v>39.165774820903415</v>
      </c>
      <c r="H83" s="138">
        <f t="shared" si="31"/>
        <v>53.40518853201219</v>
      </c>
      <c r="I83" s="138">
        <f t="shared" si="31"/>
        <v>64.486115416262123</v>
      </c>
      <c r="J83" s="138">
        <f t="shared" si="31"/>
        <v>64.543079975901662</v>
      </c>
      <c r="K83" s="138">
        <f t="shared" si="31"/>
        <v>64.543079975901662</v>
      </c>
      <c r="L83" s="138">
        <f t="shared" si="31"/>
        <v>64.543079975901662</v>
      </c>
      <c r="M83" s="138">
        <f t="shared" si="31"/>
        <v>64.543079975901662</v>
      </c>
      <c r="N83" s="138">
        <f t="shared" si="31"/>
        <v>64.543079975901662</v>
      </c>
      <c r="O83" s="138">
        <f t="shared" si="31"/>
        <v>64.543079975901662</v>
      </c>
      <c r="P83" s="138">
        <f t="shared" si="31"/>
        <v>64.543079975901662</v>
      </c>
      <c r="Q83" s="138">
        <f t="shared" si="31"/>
        <v>64.543079975901662</v>
      </c>
      <c r="R83" s="138">
        <f t="shared" si="31"/>
        <v>64.543079975901662</v>
      </c>
      <c r="S83" s="138">
        <f t="shared" si="31"/>
        <v>64.543079975901662</v>
      </c>
      <c r="T83" s="138">
        <f t="shared" si="31"/>
        <v>64.543079975901662</v>
      </c>
      <c r="U83" s="138">
        <f t="shared" si="31"/>
        <v>64.543079975901662</v>
      </c>
      <c r="V83" s="138">
        <f t="shared" si="31"/>
        <v>64.543079975901662</v>
      </c>
      <c r="W83" s="138">
        <f t="shared" si="31"/>
        <v>64.543079975901662</v>
      </c>
      <c r="X83" s="138">
        <f t="shared" si="31"/>
        <v>64.543079975901662</v>
      </c>
      <c r="Y83" s="138">
        <f t="shared" si="31"/>
        <v>64.543079975901662</v>
      </c>
      <c r="Z83" s="138">
        <f t="shared" si="31"/>
        <v>64.543079975901662</v>
      </c>
      <c r="AA83" s="138">
        <f t="shared" si="31"/>
        <v>64.543079975901662</v>
      </c>
      <c r="AB83" s="138">
        <f t="shared" si="31"/>
        <v>64.543079975901662</v>
      </c>
    </row>
    <row r="84" spans="1:28" x14ac:dyDescent="0.25">
      <c r="A84" s="120" t="s">
        <v>352</v>
      </c>
      <c r="B84" s="103"/>
      <c r="C84" s="103"/>
      <c r="D84" s="103"/>
      <c r="E84" s="103"/>
      <c r="F84" s="103"/>
      <c r="G84" s="294"/>
      <c r="H84" s="103"/>
      <c r="I84" s="103"/>
      <c r="J84" s="103"/>
      <c r="K84" s="103"/>
      <c r="L84" s="103"/>
      <c r="M84" s="103"/>
      <c r="N84" s="103"/>
      <c r="O84" s="103"/>
      <c r="P84" s="103"/>
      <c r="Q84" s="103"/>
      <c r="R84" s="103"/>
    </row>
    <row r="85" spans="1:28" x14ac:dyDescent="0.25">
      <c r="A85" s="221" t="s">
        <v>140</v>
      </c>
      <c r="B85" s="103"/>
      <c r="C85" s="103"/>
      <c r="D85" s="103"/>
      <c r="E85" s="103"/>
      <c r="F85" s="103"/>
      <c r="G85" s="131"/>
      <c r="H85" s="131"/>
      <c r="I85" s="131"/>
      <c r="J85" s="131"/>
      <c r="K85" s="131"/>
      <c r="L85" s="131"/>
      <c r="M85" s="131"/>
      <c r="N85" s="131"/>
      <c r="O85" s="131"/>
      <c r="P85" s="131"/>
      <c r="Q85" s="131"/>
      <c r="R85" s="131"/>
      <c r="S85" s="131"/>
      <c r="T85" s="131"/>
      <c r="U85" s="131"/>
      <c r="V85" s="131"/>
      <c r="W85" s="131"/>
      <c r="X85" s="131"/>
    </row>
    <row r="86" spans="1:28" x14ac:dyDescent="0.25">
      <c r="A86" s="120" t="s">
        <v>120</v>
      </c>
      <c r="B86" s="103" t="s">
        <v>56</v>
      </c>
      <c r="C86" s="103"/>
      <c r="D86" s="131">
        <f>D82/2/100000*$D$16</f>
        <v>0.24114456768625075</v>
      </c>
      <c r="E86" s="131">
        <f t="shared" ref="E86:AB86" si="32">E82/2/100000*$D$16</f>
        <v>0.55334207412174419</v>
      </c>
      <c r="F86" s="131">
        <f t="shared" si="32"/>
        <v>1.0245485660205935</v>
      </c>
      <c r="G86" s="131">
        <f t="shared" si="32"/>
        <v>1.4902301563446394</v>
      </c>
      <c r="H86" s="131">
        <f t="shared" si="32"/>
        <v>2.0320298224560869</v>
      </c>
      <c r="I86" s="131">
        <f t="shared" si="32"/>
        <v>2.4536512886129618</v>
      </c>
      <c r="J86" s="131">
        <f t="shared" si="32"/>
        <v>2.4558187499999997</v>
      </c>
      <c r="K86" s="131">
        <f t="shared" si="32"/>
        <v>2.4558187499999997</v>
      </c>
      <c r="L86" s="131">
        <f t="shared" si="32"/>
        <v>2.4558187499999997</v>
      </c>
      <c r="M86" s="131">
        <f t="shared" si="32"/>
        <v>2.4558187499999997</v>
      </c>
      <c r="N86" s="131">
        <f t="shared" si="32"/>
        <v>2.4558187499999997</v>
      </c>
      <c r="O86" s="131">
        <f t="shared" si="32"/>
        <v>2.4558187499999997</v>
      </c>
      <c r="P86" s="131">
        <f t="shared" si="32"/>
        <v>2.4558187499999997</v>
      </c>
      <c r="Q86" s="131">
        <f t="shared" si="32"/>
        <v>2.4558187499999997</v>
      </c>
      <c r="R86" s="131">
        <f t="shared" si="32"/>
        <v>2.4558187499999997</v>
      </c>
      <c r="S86" s="131">
        <f t="shared" si="32"/>
        <v>2.4558187499999997</v>
      </c>
      <c r="T86" s="131">
        <f t="shared" si="32"/>
        <v>2.4558187499999997</v>
      </c>
      <c r="U86" s="131">
        <f t="shared" si="32"/>
        <v>2.4558187499999997</v>
      </c>
      <c r="V86" s="131">
        <f t="shared" si="32"/>
        <v>2.4558187499999997</v>
      </c>
      <c r="W86" s="131">
        <f t="shared" si="32"/>
        <v>2.4558187499999997</v>
      </c>
      <c r="X86" s="131">
        <f t="shared" si="32"/>
        <v>2.4558187499999997</v>
      </c>
      <c r="Y86" s="131">
        <f t="shared" si="32"/>
        <v>2.4558187499999997</v>
      </c>
      <c r="Z86" s="131">
        <f t="shared" si="32"/>
        <v>2.4558187499999997</v>
      </c>
      <c r="AA86" s="131">
        <f t="shared" si="32"/>
        <v>2.4558187499999997</v>
      </c>
      <c r="AB86" s="131">
        <f t="shared" si="32"/>
        <v>2.4558187499999997</v>
      </c>
    </row>
    <row r="87" spans="1:28" x14ac:dyDescent="0.25">
      <c r="A87" s="120" t="s">
        <v>192</v>
      </c>
      <c r="B87" s="103" t="s">
        <v>56</v>
      </c>
      <c r="C87" s="103"/>
      <c r="D87" s="131"/>
      <c r="E87" s="131"/>
      <c r="F87" s="131"/>
      <c r="G87" s="131">
        <f>D86</f>
        <v>0.24114456768625075</v>
      </c>
      <c r="H87" s="131">
        <f>SUM(D86:E86)</f>
        <v>0.794486641807995</v>
      </c>
      <c r="I87" s="131">
        <f>SUM(D86:F86)</f>
        <v>1.8190352078285885</v>
      </c>
      <c r="J87" s="131">
        <f>SUM(D86:G86)</f>
        <v>3.3092653641732279</v>
      </c>
      <c r="K87" s="131">
        <f>SUM(D86:H86)</f>
        <v>5.3412951866293152</v>
      </c>
      <c r="L87" s="131">
        <f t="shared" ref="L87:AB87" si="33">SUM(E86:I86)</f>
        <v>7.5538019075560259</v>
      </c>
      <c r="M87" s="131">
        <f t="shared" si="33"/>
        <v>9.4562785834342815</v>
      </c>
      <c r="N87" s="131">
        <f t="shared" si="33"/>
        <v>10.887548767413687</v>
      </c>
      <c r="O87" s="131">
        <f t="shared" si="33"/>
        <v>11.853137361069049</v>
      </c>
      <c r="P87" s="131">
        <f t="shared" si="33"/>
        <v>12.276926288612959</v>
      </c>
      <c r="Q87" s="131">
        <f t="shared" si="33"/>
        <v>12.279093749999998</v>
      </c>
      <c r="R87" s="131">
        <f t="shared" si="33"/>
        <v>12.279093749999998</v>
      </c>
      <c r="S87" s="131">
        <f t="shared" si="33"/>
        <v>12.279093749999998</v>
      </c>
      <c r="T87" s="131">
        <f t="shared" si="33"/>
        <v>12.279093749999998</v>
      </c>
      <c r="U87" s="131">
        <f t="shared" si="33"/>
        <v>12.279093749999998</v>
      </c>
      <c r="V87" s="131">
        <f t="shared" si="33"/>
        <v>12.279093749999998</v>
      </c>
      <c r="W87" s="131">
        <f t="shared" si="33"/>
        <v>12.279093749999998</v>
      </c>
      <c r="X87" s="131">
        <f t="shared" si="33"/>
        <v>12.279093749999998</v>
      </c>
      <c r="Y87" s="131">
        <f t="shared" si="33"/>
        <v>12.279093749999998</v>
      </c>
      <c r="Z87" s="131">
        <f t="shared" si="33"/>
        <v>12.279093749999998</v>
      </c>
      <c r="AA87" s="131">
        <f t="shared" si="33"/>
        <v>12.279093749999998</v>
      </c>
      <c r="AB87" s="131">
        <f t="shared" si="33"/>
        <v>12.279093749999998</v>
      </c>
    </row>
    <row r="88" spans="1:28" ht="30" x14ac:dyDescent="0.25">
      <c r="A88" s="120" t="s">
        <v>190</v>
      </c>
      <c r="B88" s="103" t="s">
        <v>51</v>
      </c>
      <c r="C88" s="103"/>
      <c r="D88" s="131"/>
      <c r="E88" s="131"/>
      <c r="F88" s="131"/>
      <c r="G88" s="131">
        <f>(1+$D$14*5)*D11</f>
        <v>2632.5442499999999</v>
      </c>
      <c r="H88" s="131">
        <f>(1+$D$14)*G88</f>
        <v>2658.8696924999999</v>
      </c>
      <c r="I88" s="131">
        <f t="shared" ref="I88:AB88" si="34">(1+$D$14)*H88</f>
        <v>2685.458389425</v>
      </c>
      <c r="J88" s="131">
        <f t="shared" si="34"/>
        <v>2712.31297331925</v>
      </c>
      <c r="K88" s="131">
        <f t="shared" si="34"/>
        <v>2739.4361030524424</v>
      </c>
      <c r="L88" s="131">
        <f t="shared" si="34"/>
        <v>2766.830464082967</v>
      </c>
      <c r="M88" s="131">
        <f t="shared" si="34"/>
        <v>2794.4987687237967</v>
      </c>
      <c r="N88" s="131">
        <f t="shared" si="34"/>
        <v>2822.4437564110349</v>
      </c>
      <c r="O88" s="131">
        <f t="shared" si="34"/>
        <v>2850.6681939751452</v>
      </c>
      <c r="P88" s="131">
        <f t="shared" si="34"/>
        <v>2879.1748759148968</v>
      </c>
      <c r="Q88" s="131">
        <f t="shared" si="34"/>
        <v>2907.9666246740458</v>
      </c>
      <c r="R88" s="131">
        <f t="shared" si="34"/>
        <v>2937.0462909207863</v>
      </c>
      <c r="S88" s="131">
        <f t="shared" si="34"/>
        <v>2966.4167538299944</v>
      </c>
      <c r="T88" s="131">
        <f t="shared" si="34"/>
        <v>2996.0809213682942</v>
      </c>
      <c r="U88" s="131">
        <f t="shared" si="34"/>
        <v>3026.0417305819769</v>
      </c>
      <c r="V88" s="131">
        <f t="shared" si="34"/>
        <v>3056.3021478877968</v>
      </c>
      <c r="W88" s="131">
        <f t="shared" si="34"/>
        <v>3086.8651693666748</v>
      </c>
      <c r="X88" s="131">
        <f t="shared" si="34"/>
        <v>3117.7338210603416</v>
      </c>
      <c r="Y88" s="131">
        <f t="shared" si="34"/>
        <v>3148.9111592709451</v>
      </c>
      <c r="Z88" s="131">
        <f t="shared" si="34"/>
        <v>3180.4002708636544</v>
      </c>
      <c r="AA88" s="131">
        <f t="shared" si="34"/>
        <v>3212.2042735722912</v>
      </c>
      <c r="AB88" s="131">
        <f t="shared" si="34"/>
        <v>3244.3263163080142</v>
      </c>
    </row>
    <row r="89" spans="1:28" ht="45" x14ac:dyDescent="0.25">
      <c r="A89" s="120" t="s">
        <v>191</v>
      </c>
      <c r="B89" s="103" t="s">
        <v>51</v>
      </c>
      <c r="C89" s="103"/>
      <c r="D89" s="131"/>
      <c r="E89" s="131"/>
      <c r="F89" s="131"/>
      <c r="G89" s="131">
        <f>G88-$D$11</f>
        <v>125.35924999999997</v>
      </c>
      <c r="H89" s="131">
        <f t="shared" ref="H89:AB89" si="35">H88-$D$11</f>
        <v>151.68469249999998</v>
      </c>
      <c r="I89" s="131">
        <f t="shared" si="35"/>
        <v>178.273389425</v>
      </c>
      <c r="J89" s="131">
        <f t="shared" si="35"/>
        <v>205.12797331925003</v>
      </c>
      <c r="K89" s="131">
        <f t="shared" si="35"/>
        <v>232.25110305244243</v>
      </c>
      <c r="L89" s="131">
        <f t="shared" si="35"/>
        <v>259.64546408296701</v>
      </c>
      <c r="M89" s="131">
        <f t="shared" si="35"/>
        <v>287.31376872379678</v>
      </c>
      <c r="N89" s="131">
        <f t="shared" si="35"/>
        <v>315.25875641103494</v>
      </c>
      <c r="O89" s="131">
        <f t="shared" si="35"/>
        <v>343.48319397514524</v>
      </c>
      <c r="P89" s="131">
        <f t="shared" si="35"/>
        <v>371.98987591489686</v>
      </c>
      <c r="Q89" s="131">
        <f t="shared" si="35"/>
        <v>400.78162467404582</v>
      </c>
      <c r="R89" s="131">
        <f t="shared" si="35"/>
        <v>429.86129092078636</v>
      </c>
      <c r="S89" s="131">
        <f t="shared" si="35"/>
        <v>459.23175382999443</v>
      </c>
      <c r="T89" s="131">
        <f t="shared" si="35"/>
        <v>488.89592136829424</v>
      </c>
      <c r="U89" s="131">
        <f t="shared" si="35"/>
        <v>518.85673058197699</v>
      </c>
      <c r="V89" s="131">
        <f t="shared" si="35"/>
        <v>549.11714788779682</v>
      </c>
      <c r="W89" s="131">
        <f t="shared" si="35"/>
        <v>579.68016936667482</v>
      </c>
      <c r="X89" s="131">
        <f t="shared" si="35"/>
        <v>610.54882106034165</v>
      </c>
      <c r="Y89" s="131">
        <f t="shared" si="35"/>
        <v>641.72615927094512</v>
      </c>
      <c r="Z89" s="131">
        <f t="shared" si="35"/>
        <v>673.2152708636545</v>
      </c>
      <c r="AA89" s="131">
        <f t="shared" si="35"/>
        <v>705.01927357229124</v>
      </c>
      <c r="AB89" s="131">
        <f t="shared" si="35"/>
        <v>737.14131630801421</v>
      </c>
    </row>
    <row r="90" spans="1:28" x14ac:dyDescent="0.25">
      <c r="A90" s="103"/>
      <c r="B90" s="103"/>
      <c r="C90" s="103"/>
      <c r="D90" s="131"/>
      <c r="E90" s="131"/>
      <c r="F90" s="131"/>
      <c r="G90" s="131"/>
      <c r="H90" s="131">
        <f>+H88/G88</f>
        <v>1.01</v>
      </c>
      <c r="I90" s="131"/>
      <c r="J90" s="131"/>
      <c r="K90" s="131"/>
      <c r="L90" s="131"/>
      <c r="M90" s="131"/>
      <c r="N90" s="131"/>
      <c r="O90" s="131"/>
      <c r="P90" s="131"/>
      <c r="Q90" s="131"/>
      <c r="R90" s="131"/>
      <c r="S90" s="131"/>
      <c r="T90" s="131"/>
      <c r="U90" s="131"/>
      <c r="V90" s="131"/>
      <c r="W90" s="131"/>
      <c r="X90" s="131"/>
      <c r="Y90" s="131"/>
      <c r="Z90" s="131"/>
      <c r="AA90" s="131"/>
      <c r="AB90" s="131"/>
    </row>
    <row r="91" spans="1:28" x14ac:dyDescent="0.25">
      <c r="A91" s="103" t="s">
        <v>183</v>
      </c>
      <c r="B91" s="103"/>
      <c r="C91" s="103"/>
      <c r="D91" s="131"/>
      <c r="E91" s="131"/>
      <c r="F91" s="131"/>
      <c r="G91" s="131"/>
      <c r="H91" s="131"/>
      <c r="I91" s="131"/>
      <c r="J91" s="131"/>
      <c r="K91" s="131"/>
      <c r="L91" s="131"/>
      <c r="M91" s="131"/>
      <c r="N91" s="131"/>
      <c r="O91" s="131"/>
      <c r="P91" s="131"/>
      <c r="Q91" s="131"/>
      <c r="R91" s="131"/>
      <c r="S91" s="131"/>
      <c r="T91" s="131"/>
      <c r="U91" s="131"/>
      <c r="V91" s="131"/>
      <c r="W91" s="131"/>
      <c r="X91" s="131"/>
      <c r="Y91" s="131"/>
      <c r="Z91" s="131"/>
      <c r="AA91" s="131"/>
      <c r="AB91" s="131"/>
    </row>
    <row r="92" spans="1:28" x14ac:dyDescent="0.25">
      <c r="A92" s="103" t="s">
        <v>184</v>
      </c>
      <c r="B92" s="103" t="s">
        <v>51</v>
      </c>
      <c r="C92" s="103"/>
      <c r="D92" s="131"/>
      <c r="E92" s="131"/>
      <c r="F92" s="131"/>
      <c r="G92" s="130">
        <f>G89*D86*100000</f>
        <v>3022970.2146722623</v>
      </c>
      <c r="H92" s="130">
        <f t="shared" ref="H92:AB92" si="36">H89*E86*100000</f>
        <v>8393352.2360468972</v>
      </c>
      <c r="I92" s="130">
        <f t="shared" si="36"/>
        <v>18264974.54950146</v>
      </c>
      <c r="J92" s="130">
        <f t="shared" si="36"/>
        <v>30568789.175020497</v>
      </c>
      <c r="K92" s="130">
        <f t="shared" si="36"/>
        <v>47194116.770088494</v>
      </c>
      <c r="L92" s="130">
        <f t="shared" si="36"/>
        <v>63707942.752968244</v>
      </c>
      <c r="M92" s="130">
        <f t="shared" si="36"/>
        <v>70559054.036506355</v>
      </c>
      <c r="N92" s="130">
        <f t="shared" si="36"/>
        <v>77421836.509590223</v>
      </c>
      <c r="O92" s="130">
        <f t="shared" si="36"/>
        <v>84353246.807404861</v>
      </c>
      <c r="P92" s="130">
        <f t="shared" si="36"/>
        <v>91353971.208197698</v>
      </c>
      <c r="Q92" s="130">
        <f t="shared" si="36"/>
        <v>98424702.852998421</v>
      </c>
      <c r="R92" s="130">
        <f t="shared" si="36"/>
        <v>105566141.81424718</v>
      </c>
      <c r="S92" s="130">
        <f t="shared" si="36"/>
        <v>112778995.16510844</v>
      </c>
      <c r="T92" s="130">
        <f t="shared" si="36"/>
        <v>120063977.04947823</v>
      </c>
      <c r="U92" s="130">
        <f t="shared" si="36"/>
        <v>127421808.75269173</v>
      </c>
      <c r="V92" s="130">
        <f t="shared" si="36"/>
        <v>134853218.77293742</v>
      </c>
      <c r="W92" s="130">
        <f t="shared" si="36"/>
        <v>142358942.89338556</v>
      </c>
      <c r="X92" s="130">
        <f t="shared" si="36"/>
        <v>149939724.25503817</v>
      </c>
      <c r="Y92" s="130">
        <f t="shared" si="36"/>
        <v>157596313.43030733</v>
      </c>
      <c r="Z92" s="130">
        <f t="shared" si="36"/>
        <v>165329468.49732912</v>
      </c>
      <c r="AA92" s="130">
        <f t="shared" si="36"/>
        <v>173139955.1150212</v>
      </c>
      <c r="AB92" s="130">
        <f t="shared" si="36"/>
        <v>181028546.59889019</v>
      </c>
    </row>
    <row r="93" spans="1:28" x14ac:dyDescent="0.25">
      <c r="A93" s="103" t="s">
        <v>185</v>
      </c>
      <c r="B93" s="103" t="s">
        <v>51</v>
      </c>
      <c r="C93" s="103"/>
      <c r="D93" s="131"/>
      <c r="E93" s="131"/>
      <c r="F93" s="131"/>
      <c r="G93" s="130"/>
      <c r="H93" s="130">
        <f>G89*D86*100000</f>
        <v>3022970.2146722623</v>
      </c>
      <c r="I93" s="130">
        <f t="shared" ref="I93:AB93" si="37">H89*E86*100000</f>
        <v>8393352.2360468972</v>
      </c>
      <c r="J93" s="130">
        <f t="shared" si="37"/>
        <v>18264974.54950146</v>
      </c>
      <c r="K93" s="130">
        <f t="shared" si="37"/>
        <v>30568789.175020497</v>
      </c>
      <c r="L93" s="130">
        <f t="shared" si="37"/>
        <v>47194116.770088494</v>
      </c>
      <c r="M93" s="130">
        <f t="shared" si="37"/>
        <v>63707942.752968244</v>
      </c>
      <c r="N93" s="130">
        <f t="shared" si="37"/>
        <v>70559054.036506355</v>
      </c>
      <c r="O93" s="130">
        <f t="shared" si="37"/>
        <v>77421836.509590223</v>
      </c>
      <c r="P93" s="130">
        <f t="shared" si="37"/>
        <v>84353246.807404861</v>
      </c>
      <c r="Q93" s="130">
        <f t="shared" si="37"/>
        <v>91353971.208197698</v>
      </c>
      <c r="R93" s="130">
        <f t="shared" si="37"/>
        <v>98424702.852998421</v>
      </c>
      <c r="S93" s="130">
        <f t="shared" si="37"/>
        <v>105566141.81424718</v>
      </c>
      <c r="T93" s="130">
        <f t="shared" si="37"/>
        <v>112778995.16510844</v>
      </c>
      <c r="U93" s="130">
        <f t="shared" si="37"/>
        <v>120063977.04947823</v>
      </c>
      <c r="V93" s="130">
        <f t="shared" si="37"/>
        <v>127421808.75269173</v>
      </c>
      <c r="W93" s="130">
        <f t="shared" si="37"/>
        <v>134853218.77293742</v>
      </c>
      <c r="X93" s="130">
        <f t="shared" si="37"/>
        <v>142358942.89338556</v>
      </c>
      <c r="Y93" s="130">
        <f t="shared" si="37"/>
        <v>149939724.25503817</v>
      </c>
      <c r="Z93" s="130">
        <f t="shared" si="37"/>
        <v>157596313.43030733</v>
      </c>
      <c r="AA93" s="130">
        <f t="shared" si="37"/>
        <v>165329468.49732912</v>
      </c>
      <c r="AB93" s="130">
        <f t="shared" si="37"/>
        <v>173139955.1150212</v>
      </c>
    </row>
    <row r="94" spans="1:28" x14ac:dyDescent="0.25">
      <c r="A94" s="103" t="s">
        <v>186</v>
      </c>
      <c r="B94" s="103" t="s">
        <v>51</v>
      </c>
      <c r="C94" s="103"/>
      <c r="D94" s="131"/>
      <c r="E94" s="131"/>
      <c r="F94" s="131"/>
      <c r="G94" s="130"/>
      <c r="H94" s="130"/>
      <c r="I94" s="130">
        <f>G89*D86*100000</f>
        <v>3022970.2146722623</v>
      </c>
      <c r="J94" s="130">
        <f t="shared" ref="J94:AB94" si="38">H89*E86*100000</f>
        <v>8393352.2360468972</v>
      </c>
      <c r="K94" s="130">
        <f t="shared" si="38"/>
        <v>18264974.54950146</v>
      </c>
      <c r="L94" s="130">
        <f t="shared" si="38"/>
        <v>30568789.175020497</v>
      </c>
      <c r="M94" s="130">
        <f t="shared" si="38"/>
        <v>47194116.770088494</v>
      </c>
      <c r="N94" s="130">
        <f t="shared" si="38"/>
        <v>63707942.752968244</v>
      </c>
      <c r="O94" s="130">
        <f t="shared" si="38"/>
        <v>70559054.036506355</v>
      </c>
      <c r="P94" s="130">
        <f t="shared" si="38"/>
        <v>77421836.509590223</v>
      </c>
      <c r="Q94" s="130">
        <f t="shared" si="38"/>
        <v>84353246.807404861</v>
      </c>
      <c r="R94" s="130">
        <f t="shared" si="38"/>
        <v>91353971.208197698</v>
      </c>
      <c r="S94" s="130">
        <f t="shared" si="38"/>
        <v>98424702.852998421</v>
      </c>
      <c r="T94" s="130">
        <f t="shared" si="38"/>
        <v>105566141.81424718</v>
      </c>
      <c r="U94" s="130">
        <f t="shared" si="38"/>
        <v>112778995.16510844</v>
      </c>
      <c r="V94" s="130">
        <f t="shared" si="38"/>
        <v>120063977.04947823</v>
      </c>
      <c r="W94" s="130">
        <f t="shared" si="38"/>
        <v>127421808.75269173</v>
      </c>
      <c r="X94" s="130">
        <f t="shared" si="38"/>
        <v>134853218.77293742</v>
      </c>
      <c r="Y94" s="130">
        <f t="shared" si="38"/>
        <v>142358942.89338556</v>
      </c>
      <c r="Z94" s="130">
        <f t="shared" si="38"/>
        <v>149939724.25503817</v>
      </c>
      <c r="AA94" s="130">
        <f t="shared" si="38"/>
        <v>157596313.43030733</v>
      </c>
      <c r="AB94" s="130">
        <f t="shared" si="38"/>
        <v>165329468.49732912</v>
      </c>
    </row>
    <row r="95" spans="1:28" x14ac:dyDescent="0.25">
      <c r="A95" s="103" t="s">
        <v>187</v>
      </c>
      <c r="B95" s="103" t="s">
        <v>51</v>
      </c>
      <c r="C95" s="103"/>
      <c r="D95" s="131"/>
      <c r="E95" s="131"/>
      <c r="F95" s="131"/>
      <c r="G95" s="130"/>
      <c r="H95" s="130"/>
      <c r="I95" s="130"/>
      <c r="J95" s="130">
        <f>G89*D86*100000</f>
        <v>3022970.2146722623</v>
      </c>
      <c r="K95" s="130">
        <f t="shared" ref="K95:AB95" si="39">H89*E86*100000</f>
        <v>8393352.2360468972</v>
      </c>
      <c r="L95" s="130">
        <f t="shared" si="39"/>
        <v>18264974.54950146</v>
      </c>
      <c r="M95" s="130">
        <f t="shared" si="39"/>
        <v>30568789.175020497</v>
      </c>
      <c r="N95" s="130">
        <f t="shared" si="39"/>
        <v>47194116.770088494</v>
      </c>
      <c r="O95" s="130">
        <f t="shared" si="39"/>
        <v>63707942.752968244</v>
      </c>
      <c r="P95" s="130">
        <f t="shared" si="39"/>
        <v>70559054.036506355</v>
      </c>
      <c r="Q95" s="130">
        <f t="shared" si="39"/>
        <v>77421836.509590223</v>
      </c>
      <c r="R95" s="130">
        <f t="shared" si="39"/>
        <v>84353246.807404861</v>
      </c>
      <c r="S95" s="130">
        <f t="shared" si="39"/>
        <v>91353971.208197698</v>
      </c>
      <c r="T95" s="130">
        <f t="shared" si="39"/>
        <v>98424702.852998421</v>
      </c>
      <c r="U95" s="130">
        <f t="shared" si="39"/>
        <v>105566141.81424718</v>
      </c>
      <c r="V95" s="130">
        <f t="shared" si="39"/>
        <v>112778995.16510844</v>
      </c>
      <c r="W95" s="130">
        <f t="shared" si="39"/>
        <v>120063977.04947823</v>
      </c>
      <c r="X95" s="130">
        <f t="shared" si="39"/>
        <v>127421808.75269173</v>
      </c>
      <c r="Y95" s="130">
        <f t="shared" si="39"/>
        <v>134853218.77293742</v>
      </c>
      <c r="Z95" s="130">
        <f t="shared" si="39"/>
        <v>142358942.89338556</v>
      </c>
      <c r="AA95" s="130">
        <f t="shared" si="39"/>
        <v>149939724.25503817</v>
      </c>
      <c r="AB95" s="130">
        <f t="shared" si="39"/>
        <v>157596313.43030733</v>
      </c>
    </row>
    <row r="96" spans="1:28" x14ac:dyDescent="0.25">
      <c r="A96" s="103" t="s">
        <v>188</v>
      </c>
      <c r="B96" s="103" t="s">
        <v>51</v>
      </c>
      <c r="C96" s="103"/>
      <c r="D96" s="131"/>
      <c r="E96" s="131"/>
      <c r="F96" s="131"/>
      <c r="G96" s="130"/>
      <c r="H96" s="130"/>
      <c r="I96" s="130"/>
      <c r="J96" s="130"/>
      <c r="K96" s="130">
        <f>G89*D86*100000</f>
        <v>3022970.2146722623</v>
      </c>
      <c r="L96" s="130">
        <f t="shared" ref="L96:AB96" si="40">H89*E86*100000</f>
        <v>8393352.2360468972</v>
      </c>
      <c r="M96" s="130">
        <f t="shared" si="40"/>
        <v>18264974.54950146</v>
      </c>
      <c r="N96" s="130">
        <f t="shared" si="40"/>
        <v>30568789.175020497</v>
      </c>
      <c r="O96" s="130">
        <f t="shared" si="40"/>
        <v>47194116.770088494</v>
      </c>
      <c r="P96" s="130">
        <f t="shared" si="40"/>
        <v>63707942.752968244</v>
      </c>
      <c r="Q96" s="130">
        <f t="shared" si="40"/>
        <v>70559054.036506355</v>
      </c>
      <c r="R96" s="130">
        <f t="shared" si="40"/>
        <v>77421836.509590223</v>
      </c>
      <c r="S96" s="130">
        <f t="shared" si="40"/>
        <v>84353246.807404861</v>
      </c>
      <c r="T96" s="130">
        <f t="shared" si="40"/>
        <v>91353971.208197698</v>
      </c>
      <c r="U96" s="130">
        <f t="shared" si="40"/>
        <v>98424702.852998421</v>
      </c>
      <c r="V96" s="130">
        <f t="shared" si="40"/>
        <v>105566141.81424718</v>
      </c>
      <c r="W96" s="130">
        <f t="shared" si="40"/>
        <v>112778995.16510844</v>
      </c>
      <c r="X96" s="130">
        <f t="shared" si="40"/>
        <v>120063977.04947823</v>
      </c>
      <c r="Y96" s="130">
        <f t="shared" si="40"/>
        <v>127421808.75269173</v>
      </c>
      <c r="Z96" s="130">
        <f t="shared" si="40"/>
        <v>134853218.77293742</v>
      </c>
      <c r="AA96" s="130">
        <f t="shared" si="40"/>
        <v>142358942.89338556</v>
      </c>
      <c r="AB96" s="130">
        <f t="shared" si="40"/>
        <v>149939724.25503817</v>
      </c>
    </row>
    <row r="97" spans="1:29" x14ac:dyDescent="0.25">
      <c r="A97" s="104" t="s">
        <v>31</v>
      </c>
      <c r="B97" s="104" t="s">
        <v>51</v>
      </c>
      <c r="C97" s="103"/>
      <c r="D97" s="131"/>
      <c r="E97" s="131"/>
      <c r="F97" s="131"/>
      <c r="G97" s="141">
        <f>SUM(G92:G96)</f>
        <v>3022970.2146722623</v>
      </c>
      <c r="H97" s="141">
        <f t="shared" ref="H97:AB97" si="41">SUM(H92:H96)</f>
        <v>11416322.450719159</v>
      </c>
      <c r="I97" s="141">
        <f t="shared" si="41"/>
        <v>29681297.000220623</v>
      </c>
      <c r="J97" s="141">
        <f t="shared" si="41"/>
        <v>60250086.175241113</v>
      </c>
      <c r="K97" s="141">
        <f t="shared" si="41"/>
        <v>107444202.94532962</v>
      </c>
      <c r="L97" s="141">
        <f t="shared" si="41"/>
        <v>168129175.48362559</v>
      </c>
      <c r="M97" s="141">
        <f t="shared" si="41"/>
        <v>230294877.28408504</v>
      </c>
      <c r="N97" s="141">
        <f t="shared" si="41"/>
        <v>289451739.24417382</v>
      </c>
      <c r="O97" s="141">
        <f t="shared" si="41"/>
        <v>343236196.87655818</v>
      </c>
      <c r="P97" s="141">
        <f t="shared" si="41"/>
        <v>387396051.3146674</v>
      </c>
      <c r="Q97" s="141">
        <f t="shared" si="41"/>
        <v>422112811.41469753</v>
      </c>
      <c r="R97" s="141">
        <f t="shared" si="41"/>
        <v>457119899.19243836</v>
      </c>
      <c r="S97" s="141">
        <f t="shared" si="41"/>
        <v>492477057.84795666</v>
      </c>
      <c r="T97" s="141">
        <f t="shared" si="41"/>
        <v>528187788.09003001</v>
      </c>
      <c r="U97" s="141">
        <f t="shared" si="41"/>
        <v>564255625.63452399</v>
      </c>
      <c r="V97" s="141">
        <f t="shared" si="41"/>
        <v>600684141.55446303</v>
      </c>
      <c r="W97" s="141">
        <f t="shared" si="41"/>
        <v>637476942.63360143</v>
      </c>
      <c r="X97" s="141">
        <f t="shared" si="41"/>
        <v>674637671.72353101</v>
      </c>
      <c r="Y97" s="141">
        <f t="shared" si="41"/>
        <v>712170008.10436022</v>
      </c>
      <c r="Z97" s="141">
        <f t="shared" si="41"/>
        <v>750077667.84899759</v>
      </c>
      <c r="AA97" s="141">
        <f t="shared" si="41"/>
        <v>788364404.1910814</v>
      </c>
      <c r="AB97" s="141">
        <f t="shared" si="41"/>
        <v>827034007.89658606</v>
      </c>
    </row>
    <row r="98" spans="1:29" x14ac:dyDescent="0.25">
      <c r="A98" s="120"/>
      <c r="B98" s="103"/>
      <c r="C98" s="103"/>
      <c r="D98" s="131"/>
      <c r="E98" s="131"/>
      <c r="F98" s="131"/>
      <c r="G98" s="131"/>
      <c r="H98" s="131"/>
      <c r="I98" s="131"/>
      <c r="J98" s="131"/>
      <c r="K98" s="131"/>
      <c r="L98" s="131"/>
      <c r="M98" s="131"/>
      <c r="N98" s="131"/>
      <c r="O98" s="131"/>
      <c r="P98" s="131"/>
      <c r="Q98" s="131"/>
      <c r="R98" s="131"/>
      <c r="S98" s="131"/>
      <c r="T98" s="131"/>
      <c r="U98" s="131"/>
      <c r="V98" s="131"/>
      <c r="W98" s="131"/>
      <c r="X98" s="131"/>
      <c r="Y98" s="131"/>
      <c r="Z98" s="131"/>
      <c r="AA98" s="131"/>
      <c r="AB98" s="131"/>
    </row>
    <row r="99" spans="1:29" s="107" customFormat="1" ht="25.5" x14ac:dyDescent="0.25">
      <c r="A99" s="215" t="s">
        <v>204</v>
      </c>
      <c r="B99" s="216" t="s">
        <v>55</v>
      </c>
      <c r="C99" s="217"/>
      <c r="D99" s="218"/>
      <c r="E99" s="218"/>
      <c r="F99" s="218"/>
      <c r="G99" s="218">
        <f>G97*(365/$D$77)*1.03/1000/1000</f>
        <v>3.0976289733053699</v>
      </c>
      <c r="H99" s="218">
        <f t="shared" ref="H99:AB99" si="42">((G97*($D$77-365)/$D$77)+(H97*365/$D$77))*1.03/1000/1000</f>
        <v>11.714303463534137</v>
      </c>
      <c r="I99" s="218">
        <f t="shared" si="42"/>
        <v>30.474879549124342</v>
      </c>
      <c r="J99" s="218">
        <f t="shared" si="42"/>
        <v>61.895487155878534</v>
      </c>
      <c r="K99" s="218">
        <f t="shared" si="42"/>
        <v>110.41726586450589</v>
      </c>
      <c r="L99" s="218">
        <f t="shared" si="42"/>
        <v>172.85124763815691</v>
      </c>
      <c r="M99" s="218">
        <f t="shared" si="42"/>
        <v>236.8740684122605</v>
      </c>
      <c r="N99" s="218">
        <f t="shared" si="42"/>
        <v>297.82159164774947</v>
      </c>
      <c r="O99" s="218">
        <f t="shared" si="42"/>
        <v>353.24807204598545</v>
      </c>
      <c r="P99" s="218">
        <f t="shared" si="42"/>
        <v>398.78375991309855</v>
      </c>
      <c r="Q99" s="218">
        <f t="shared" si="42"/>
        <v>434.59209809834027</v>
      </c>
      <c r="R99" s="218">
        <f t="shared" si="42"/>
        <v>470.64785894622833</v>
      </c>
      <c r="S99" s="218">
        <f t="shared" si="42"/>
        <v>507.06387598919241</v>
      </c>
      <c r="T99" s="218">
        <f t="shared" si="42"/>
        <v>543.84405320258588</v>
      </c>
      <c r="U99" s="218">
        <f t="shared" si="42"/>
        <v>580.99203218811328</v>
      </c>
      <c r="V99" s="218">
        <f t="shared" si="42"/>
        <v>618.51149096349593</v>
      </c>
      <c r="W99" s="218">
        <f t="shared" si="42"/>
        <v>656.40614432663244</v>
      </c>
      <c r="X99" s="218">
        <f t="shared" si="42"/>
        <v>694.67974422340035</v>
      </c>
      <c r="Y99" s="218">
        <f t="shared" si="42"/>
        <v>733.33608011913611</v>
      </c>
      <c r="Z99" s="218">
        <f t="shared" si="42"/>
        <v>772.378979373829</v>
      </c>
      <c r="AA99" s="218">
        <f t="shared" si="42"/>
        <v>811.81230762106884</v>
      </c>
      <c r="AB99" s="218">
        <f t="shared" si="42"/>
        <v>851.63996915078133</v>
      </c>
      <c r="AC99" s="138"/>
    </row>
    <row r="100" spans="1:29" x14ac:dyDescent="0.25">
      <c r="A100" s="103"/>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c r="AA100" s="103"/>
      <c r="AB100" s="103"/>
    </row>
    <row r="101" spans="1:29" s="146" customFormat="1" ht="74.25" customHeight="1" x14ac:dyDescent="0.25">
      <c r="A101" s="142" t="s">
        <v>203</v>
      </c>
      <c r="B101" s="143" t="s">
        <v>55</v>
      </c>
      <c r="C101" s="145">
        <f t="shared" ref="C101:AB101" si="43">C99+C83</f>
        <v>0</v>
      </c>
      <c r="D101" s="145">
        <f t="shared" si="43"/>
        <v>6.3376880390411214</v>
      </c>
      <c r="E101" s="145">
        <f t="shared" si="43"/>
        <v>14.542767760882619</v>
      </c>
      <c r="F101" s="145">
        <f t="shared" si="43"/>
        <v>26.926873180629695</v>
      </c>
      <c r="G101" s="145">
        <f t="shared" si="43"/>
        <v>42.263403794208784</v>
      </c>
      <c r="H101" s="145">
        <f t="shared" si="43"/>
        <v>65.119491995546326</v>
      </c>
      <c r="I101" s="145">
        <f t="shared" si="43"/>
        <v>94.960994965386462</v>
      </c>
      <c r="J101" s="145">
        <f t="shared" si="43"/>
        <v>126.43856713178019</v>
      </c>
      <c r="K101" s="145">
        <f t="shared" si="43"/>
        <v>174.96034584040757</v>
      </c>
      <c r="L101" s="145">
        <f t="shared" si="43"/>
        <v>237.39432761405857</v>
      </c>
      <c r="M101" s="145">
        <f t="shared" si="43"/>
        <v>301.41714838816216</v>
      </c>
      <c r="N101" s="145">
        <f t="shared" si="43"/>
        <v>362.36467162365113</v>
      </c>
      <c r="O101" s="145">
        <f t="shared" si="43"/>
        <v>417.79115202188711</v>
      </c>
      <c r="P101" s="145">
        <f t="shared" si="43"/>
        <v>463.32683988900021</v>
      </c>
      <c r="Q101" s="145">
        <f t="shared" si="43"/>
        <v>499.13517807424194</v>
      </c>
      <c r="R101" s="145">
        <f t="shared" si="43"/>
        <v>535.19093892213004</v>
      </c>
      <c r="S101" s="145">
        <f t="shared" si="43"/>
        <v>571.60695596509413</v>
      </c>
      <c r="T101" s="145">
        <f t="shared" si="43"/>
        <v>608.3871331784876</v>
      </c>
      <c r="U101" s="145">
        <f t="shared" si="43"/>
        <v>645.53511216401489</v>
      </c>
      <c r="V101" s="145">
        <f t="shared" si="43"/>
        <v>683.05457093939754</v>
      </c>
      <c r="W101" s="145">
        <f t="shared" si="43"/>
        <v>720.94922430253405</v>
      </c>
      <c r="X101" s="145">
        <f t="shared" si="43"/>
        <v>759.22282419930207</v>
      </c>
      <c r="Y101" s="145">
        <f t="shared" si="43"/>
        <v>797.87916009503783</v>
      </c>
      <c r="Z101" s="145">
        <f t="shared" si="43"/>
        <v>836.92205934973072</v>
      </c>
      <c r="AA101" s="145">
        <f t="shared" si="43"/>
        <v>876.35538759697056</v>
      </c>
      <c r="AB101" s="145">
        <f t="shared" si="43"/>
        <v>916.18304912668304</v>
      </c>
    </row>
    <row r="104" spans="1:29" x14ac:dyDescent="0.25">
      <c r="A104" s="219" t="s">
        <v>143</v>
      </c>
      <c r="B104" s="103"/>
      <c r="C104" s="127"/>
      <c r="D104" s="104"/>
      <c r="E104" s="104"/>
      <c r="F104" s="130"/>
      <c r="G104" s="130"/>
      <c r="H104" s="130"/>
      <c r="I104" s="132"/>
      <c r="J104" s="103"/>
      <c r="K104" s="103"/>
      <c r="L104" s="103"/>
      <c r="M104" s="103"/>
      <c r="N104" s="103"/>
      <c r="O104" s="103"/>
      <c r="P104" s="103"/>
      <c r="Q104" s="103"/>
      <c r="R104" s="103"/>
    </row>
    <row r="105" spans="1:29" x14ac:dyDescent="0.25">
      <c r="A105" s="133" t="s">
        <v>138</v>
      </c>
      <c r="B105" s="103" t="s">
        <v>128</v>
      </c>
      <c r="C105" s="120">
        <f>C26*$E$17</f>
        <v>114000</v>
      </c>
      <c r="D105" s="120">
        <f t="shared" ref="D105:AB105" si="44">D26*$E$17</f>
        <v>260999.99999999994</v>
      </c>
      <c r="E105" s="120">
        <f t="shared" si="44"/>
        <v>483000.00000000006</v>
      </c>
      <c r="F105" s="120">
        <f t="shared" si="44"/>
        <v>702000</v>
      </c>
      <c r="G105" s="120">
        <f t="shared" si="44"/>
        <v>957000</v>
      </c>
      <c r="H105" s="120">
        <f t="shared" si="44"/>
        <v>1155000</v>
      </c>
      <c r="I105" s="120">
        <f t="shared" si="44"/>
        <v>1155000</v>
      </c>
      <c r="J105" s="120">
        <f t="shared" si="44"/>
        <v>1155000</v>
      </c>
      <c r="K105" s="120">
        <f t="shared" si="44"/>
        <v>1155000</v>
      </c>
      <c r="L105" s="120">
        <f t="shared" si="44"/>
        <v>1155000</v>
      </c>
      <c r="M105" s="120">
        <f t="shared" si="44"/>
        <v>1155000</v>
      </c>
      <c r="N105" s="120">
        <f t="shared" si="44"/>
        <v>1155000</v>
      </c>
      <c r="O105" s="120">
        <f t="shared" si="44"/>
        <v>1155000</v>
      </c>
      <c r="P105" s="120">
        <f t="shared" si="44"/>
        <v>1155000</v>
      </c>
      <c r="Q105" s="120">
        <f t="shared" si="44"/>
        <v>1155000</v>
      </c>
      <c r="R105" s="120">
        <f t="shared" si="44"/>
        <v>1155000</v>
      </c>
      <c r="S105" s="120">
        <f t="shared" si="44"/>
        <v>1155000</v>
      </c>
      <c r="T105" s="120">
        <f t="shared" si="44"/>
        <v>1155000</v>
      </c>
      <c r="U105" s="120">
        <f t="shared" si="44"/>
        <v>1155000</v>
      </c>
      <c r="V105" s="120">
        <f t="shared" si="44"/>
        <v>1155000</v>
      </c>
      <c r="W105" s="120">
        <f t="shared" si="44"/>
        <v>1155000</v>
      </c>
      <c r="X105" s="120">
        <f t="shared" si="44"/>
        <v>1155000</v>
      </c>
      <c r="Y105" s="120">
        <f t="shared" si="44"/>
        <v>1155000</v>
      </c>
      <c r="Z105" s="120">
        <f t="shared" si="44"/>
        <v>1155000</v>
      </c>
      <c r="AA105" s="120">
        <f t="shared" si="44"/>
        <v>1155000</v>
      </c>
      <c r="AB105" s="120">
        <f t="shared" si="44"/>
        <v>1155000</v>
      </c>
    </row>
    <row r="106" spans="1:29" x14ac:dyDescent="0.25">
      <c r="A106" s="103" t="s">
        <v>44</v>
      </c>
      <c r="B106" s="147"/>
      <c r="C106" s="135">
        <f>310+60+((1/C20)-1)*22</f>
        <v>410.85714285714289</v>
      </c>
      <c r="D106" s="135">
        <f>310+60+((1/D20)-1)*22</f>
        <v>396.88888888888891</v>
      </c>
      <c r="E106" s="135">
        <f>C106-D106</f>
        <v>13.968253968253975</v>
      </c>
      <c r="F106" s="130"/>
      <c r="G106" s="130"/>
      <c r="H106" s="130"/>
      <c r="I106" s="132"/>
      <c r="J106" s="103"/>
      <c r="K106" s="103"/>
      <c r="L106" s="103"/>
      <c r="M106" s="103"/>
      <c r="N106" s="103"/>
      <c r="O106" s="103"/>
      <c r="P106" s="103"/>
      <c r="Q106" s="103"/>
      <c r="R106" s="103"/>
    </row>
    <row r="107" spans="1:29" x14ac:dyDescent="0.25">
      <c r="A107" s="103"/>
      <c r="B107" s="147"/>
      <c r="C107" s="133"/>
      <c r="D107" s="135"/>
      <c r="E107" s="135"/>
      <c r="F107" s="130"/>
      <c r="G107" s="130"/>
      <c r="H107" s="130"/>
      <c r="I107" s="132"/>
      <c r="J107" s="103"/>
      <c r="K107" s="103"/>
      <c r="L107" s="103"/>
      <c r="M107" s="103"/>
      <c r="N107" s="103"/>
      <c r="O107" s="103"/>
      <c r="P107" s="103"/>
      <c r="Q107" s="103"/>
      <c r="R107" s="103"/>
    </row>
    <row r="108" spans="1:29" x14ac:dyDescent="0.25">
      <c r="A108" s="220" t="s">
        <v>139</v>
      </c>
      <c r="B108" s="147"/>
      <c r="C108" s="133"/>
      <c r="D108" s="130"/>
      <c r="E108" s="130"/>
      <c r="F108" s="130"/>
      <c r="G108" s="130"/>
      <c r="H108" s="130"/>
      <c r="I108" s="130"/>
      <c r="J108" s="130"/>
      <c r="K108" s="130"/>
      <c r="L108" s="130"/>
      <c r="M108" s="130"/>
      <c r="N108" s="130"/>
      <c r="O108" s="130"/>
      <c r="P108" s="130"/>
      <c r="Q108" s="130"/>
      <c r="R108" s="130"/>
    </row>
    <row r="109" spans="1:29" x14ac:dyDescent="0.25">
      <c r="A109" s="123" t="s">
        <v>198</v>
      </c>
      <c r="B109" s="103" t="s">
        <v>51</v>
      </c>
      <c r="C109" s="103">
        <f>E11/E22</f>
        <v>5.470213114754098</v>
      </c>
      <c r="D109" s="103"/>
      <c r="E109" s="103"/>
      <c r="F109" s="103"/>
      <c r="G109" s="103"/>
      <c r="H109" s="103"/>
      <c r="I109" s="103"/>
      <c r="J109" s="103"/>
      <c r="K109" s="103"/>
      <c r="L109" s="103"/>
      <c r="M109" s="103"/>
      <c r="N109" s="103"/>
      <c r="O109" s="103"/>
      <c r="P109" s="103"/>
      <c r="Q109" s="103"/>
      <c r="R109" s="103"/>
    </row>
    <row r="110" spans="1:29" ht="31.5" customHeight="1" x14ac:dyDescent="0.25">
      <c r="A110" s="123" t="s">
        <v>199</v>
      </c>
      <c r="B110" s="103" t="s">
        <v>51</v>
      </c>
      <c r="C110" s="103">
        <f>C109*E106</f>
        <v>76.409326047358874</v>
      </c>
      <c r="D110" s="103"/>
      <c r="E110" s="103"/>
      <c r="F110" s="103"/>
      <c r="G110" s="103"/>
      <c r="H110" s="103"/>
      <c r="I110" s="103"/>
      <c r="J110" s="103"/>
      <c r="K110" s="103"/>
      <c r="L110" s="103"/>
      <c r="M110" s="103"/>
      <c r="N110" s="103"/>
      <c r="O110" s="103"/>
      <c r="P110" s="103"/>
      <c r="Q110" s="103"/>
      <c r="R110" s="103"/>
    </row>
    <row r="111" spans="1:29" x14ac:dyDescent="0.25">
      <c r="A111" s="120" t="s">
        <v>80</v>
      </c>
      <c r="B111" s="103" t="s">
        <v>54</v>
      </c>
      <c r="C111" s="103"/>
      <c r="D111" s="130">
        <f>C105*$D$20*$E$15*365/$D$106</f>
        <v>42460.372340425529</v>
      </c>
      <c r="E111" s="130">
        <f t="shared" ref="E111:AB111" si="45">((D105*$D$20*$E$15*(365/$D$106))+(C105*$D$20*$E$15*($D$106-365)/$D$106))</f>
        <v>100921.5327547592</v>
      </c>
      <c r="F111" s="130">
        <f t="shared" si="45"/>
        <v>188390.98824188131</v>
      </c>
      <c r="G111" s="130">
        <f t="shared" si="45"/>
        <v>277183.61002239643</v>
      </c>
      <c r="H111" s="130">
        <f t="shared" si="45"/>
        <v>379287.14865621499</v>
      </c>
      <c r="I111" s="130">
        <f t="shared" si="45"/>
        <v>461331.96248600224</v>
      </c>
      <c r="J111" s="130">
        <f t="shared" si="45"/>
        <v>467775</v>
      </c>
      <c r="K111" s="130">
        <f t="shared" si="45"/>
        <v>467775</v>
      </c>
      <c r="L111" s="130">
        <f t="shared" si="45"/>
        <v>467775</v>
      </c>
      <c r="M111" s="130">
        <f t="shared" si="45"/>
        <v>467775</v>
      </c>
      <c r="N111" s="130">
        <f t="shared" si="45"/>
        <v>467775</v>
      </c>
      <c r="O111" s="130">
        <f t="shared" si="45"/>
        <v>467775</v>
      </c>
      <c r="P111" s="130">
        <f t="shared" si="45"/>
        <v>467775</v>
      </c>
      <c r="Q111" s="130">
        <f t="shared" si="45"/>
        <v>467775</v>
      </c>
      <c r="R111" s="130">
        <f t="shared" si="45"/>
        <v>467775</v>
      </c>
      <c r="S111" s="130">
        <f t="shared" si="45"/>
        <v>467775</v>
      </c>
      <c r="T111" s="130">
        <f t="shared" si="45"/>
        <v>467775</v>
      </c>
      <c r="U111" s="130">
        <f t="shared" si="45"/>
        <v>467775</v>
      </c>
      <c r="V111" s="130">
        <f t="shared" si="45"/>
        <v>467775</v>
      </c>
      <c r="W111" s="130">
        <f t="shared" si="45"/>
        <v>467775</v>
      </c>
      <c r="X111" s="130">
        <f t="shared" si="45"/>
        <v>467775</v>
      </c>
      <c r="Y111" s="130">
        <f t="shared" si="45"/>
        <v>467775</v>
      </c>
      <c r="Z111" s="130">
        <f t="shared" si="45"/>
        <v>467775</v>
      </c>
      <c r="AA111" s="130">
        <f t="shared" si="45"/>
        <v>467775</v>
      </c>
      <c r="AB111" s="130">
        <f t="shared" si="45"/>
        <v>467775</v>
      </c>
    </row>
    <row r="112" spans="1:29" ht="38.25" x14ac:dyDescent="0.25">
      <c r="A112" s="222" t="s">
        <v>200</v>
      </c>
      <c r="B112" s="137" t="s">
        <v>201</v>
      </c>
      <c r="C112" s="104"/>
      <c r="D112" s="138">
        <f>D111*$C$110*1.03/1000/1000</f>
        <v>3.3416994872793877</v>
      </c>
      <c r="E112" s="138">
        <f t="shared" ref="E112:AB112" si="46">E111*$C$110*1.03/1000/1000</f>
        <v>7.9426866905013318</v>
      </c>
      <c r="F112" s="138">
        <f t="shared" si="46"/>
        <v>14.826673298306803</v>
      </c>
      <c r="G112" s="138">
        <f t="shared" si="46"/>
        <v>21.814795218180819</v>
      </c>
      <c r="H112" s="138">
        <f t="shared" si="46"/>
        <v>29.850507669463184</v>
      </c>
      <c r="I112" s="138">
        <f t="shared" si="46"/>
        <v>36.307566267790705</v>
      </c>
      <c r="J112" s="138">
        <f t="shared" si="46"/>
        <v>36.814643666557394</v>
      </c>
      <c r="K112" s="138">
        <f t="shared" si="46"/>
        <v>36.814643666557394</v>
      </c>
      <c r="L112" s="138">
        <f t="shared" si="46"/>
        <v>36.814643666557394</v>
      </c>
      <c r="M112" s="138">
        <f t="shared" si="46"/>
        <v>36.814643666557394</v>
      </c>
      <c r="N112" s="138">
        <f t="shared" si="46"/>
        <v>36.814643666557394</v>
      </c>
      <c r="O112" s="138">
        <f t="shared" si="46"/>
        <v>36.814643666557394</v>
      </c>
      <c r="P112" s="138">
        <f t="shared" si="46"/>
        <v>36.814643666557394</v>
      </c>
      <c r="Q112" s="138">
        <f t="shared" si="46"/>
        <v>36.814643666557394</v>
      </c>
      <c r="R112" s="138">
        <f t="shared" si="46"/>
        <v>36.814643666557394</v>
      </c>
      <c r="S112" s="138">
        <f t="shared" si="46"/>
        <v>36.814643666557394</v>
      </c>
      <c r="T112" s="138">
        <f t="shared" si="46"/>
        <v>36.814643666557394</v>
      </c>
      <c r="U112" s="138">
        <f t="shared" si="46"/>
        <v>36.814643666557394</v>
      </c>
      <c r="V112" s="138">
        <f t="shared" si="46"/>
        <v>36.814643666557394</v>
      </c>
      <c r="W112" s="138">
        <f t="shared" si="46"/>
        <v>36.814643666557394</v>
      </c>
      <c r="X112" s="138">
        <f t="shared" si="46"/>
        <v>36.814643666557394</v>
      </c>
      <c r="Y112" s="138">
        <f t="shared" si="46"/>
        <v>36.814643666557394</v>
      </c>
      <c r="Z112" s="138">
        <f t="shared" si="46"/>
        <v>36.814643666557394</v>
      </c>
      <c r="AA112" s="138">
        <f t="shared" si="46"/>
        <v>36.814643666557394</v>
      </c>
      <c r="AB112" s="138">
        <f t="shared" si="46"/>
        <v>36.814643666557394</v>
      </c>
    </row>
    <row r="113" spans="1:28" x14ac:dyDescent="0.25">
      <c r="A113" s="120"/>
      <c r="B113" s="103"/>
      <c r="C113" s="103"/>
      <c r="D113" s="103"/>
      <c r="E113" s="103"/>
      <c r="F113" s="103"/>
      <c r="G113" s="103"/>
      <c r="H113" s="103"/>
      <c r="I113" s="103"/>
      <c r="J113" s="103"/>
      <c r="K113" s="103"/>
      <c r="L113" s="103"/>
      <c r="M113" s="103"/>
      <c r="N113" s="103"/>
      <c r="O113" s="103"/>
      <c r="P113" s="103"/>
      <c r="Q113" s="103"/>
      <c r="R113" s="103"/>
    </row>
    <row r="114" spans="1:28" x14ac:dyDescent="0.25">
      <c r="A114" s="221" t="s">
        <v>140</v>
      </c>
      <c r="B114" s="103"/>
      <c r="C114" s="103"/>
      <c r="D114" s="103"/>
      <c r="E114" s="103"/>
      <c r="F114" s="103"/>
      <c r="G114" s="103"/>
      <c r="H114" s="131"/>
      <c r="I114" s="131"/>
      <c r="J114" s="131"/>
      <c r="K114" s="131"/>
      <c r="L114" s="131"/>
      <c r="M114" s="131"/>
      <c r="N114" s="131"/>
      <c r="O114" s="131"/>
      <c r="P114" s="131"/>
      <c r="Q114" s="131"/>
      <c r="R114" s="131"/>
      <c r="S114" s="131"/>
      <c r="T114" s="131"/>
      <c r="U114" s="131"/>
      <c r="V114" s="131"/>
      <c r="W114" s="131"/>
      <c r="X114" s="131"/>
    </row>
    <row r="115" spans="1:28" x14ac:dyDescent="0.25">
      <c r="A115" s="120" t="s">
        <v>120</v>
      </c>
      <c r="B115" s="103" t="s">
        <v>56</v>
      </c>
      <c r="C115" s="103"/>
      <c r="D115" s="131">
        <f>D111/2/100000*$E$16</f>
        <v>0.19107167553191487</v>
      </c>
      <c r="E115" s="131">
        <f t="shared" ref="E115:AB115" si="47">E111/2/100000*$E$16</f>
        <v>0.45414689739641645</v>
      </c>
      <c r="F115" s="131">
        <f t="shared" si="47"/>
        <v>0.84775944708846585</v>
      </c>
      <c r="G115" s="131">
        <f t="shared" si="47"/>
        <v>1.2473262451007838</v>
      </c>
      <c r="H115" s="131">
        <f t="shared" si="47"/>
        <v>1.7067921689529675</v>
      </c>
      <c r="I115" s="131">
        <f t="shared" si="47"/>
        <v>2.0759938311870099</v>
      </c>
      <c r="J115" s="131">
        <f t="shared" si="47"/>
        <v>2.1049875</v>
      </c>
      <c r="K115" s="131">
        <f t="shared" si="47"/>
        <v>2.1049875</v>
      </c>
      <c r="L115" s="131">
        <f t="shared" si="47"/>
        <v>2.1049875</v>
      </c>
      <c r="M115" s="131">
        <f t="shared" si="47"/>
        <v>2.1049875</v>
      </c>
      <c r="N115" s="131">
        <f t="shared" si="47"/>
        <v>2.1049875</v>
      </c>
      <c r="O115" s="131">
        <f t="shared" si="47"/>
        <v>2.1049875</v>
      </c>
      <c r="P115" s="131">
        <f t="shared" si="47"/>
        <v>2.1049875</v>
      </c>
      <c r="Q115" s="131">
        <f t="shared" si="47"/>
        <v>2.1049875</v>
      </c>
      <c r="R115" s="131">
        <f t="shared" si="47"/>
        <v>2.1049875</v>
      </c>
      <c r="S115" s="131">
        <f t="shared" si="47"/>
        <v>2.1049875</v>
      </c>
      <c r="T115" s="131">
        <f t="shared" si="47"/>
        <v>2.1049875</v>
      </c>
      <c r="U115" s="131">
        <f t="shared" si="47"/>
        <v>2.1049875</v>
      </c>
      <c r="V115" s="131">
        <f t="shared" si="47"/>
        <v>2.1049875</v>
      </c>
      <c r="W115" s="131">
        <f t="shared" si="47"/>
        <v>2.1049875</v>
      </c>
      <c r="X115" s="131">
        <f t="shared" si="47"/>
        <v>2.1049875</v>
      </c>
      <c r="Y115" s="131">
        <f t="shared" si="47"/>
        <v>2.1049875</v>
      </c>
      <c r="Z115" s="131">
        <f t="shared" si="47"/>
        <v>2.1049875</v>
      </c>
      <c r="AA115" s="131">
        <f t="shared" si="47"/>
        <v>2.1049875</v>
      </c>
      <c r="AB115" s="131">
        <f t="shared" si="47"/>
        <v>2.1049875</v>
      </c>
    </row>
    <row r="116" spans="1:28" x14ac:dyDescent="0.25">
      <c r="A116" s="120" t="s">
        <v>193</v>
      </c>
      <c r="B116" s="103" t="s">
        <v>56</v>
      </c>
      <c r="C116" s="103"/>
      <c r="D116" s="131"/>
      <c r="E116" s="131"/>
      <c r="F116" s="131"/>
      <c r="G116" s="131"/>
      <c r="H116" s="131">
        <f>D115</f>
        <v>0.19107167553191487</v>
      </c>
      <c r="I116" s="131">
        <f>SUM(D115:E115)</f>
        <v>0.64521857292833129</v>
      </c>
      <c r="J116" s="131">
        <f>SUM(D115:F115)</f>
        <v>1.492978020016797</v>
      </c>
      <c r="K116" s="131">
        <f>SUM(D115:G115)</f>
        <v>2.7403042651175809</v>
      </c>
      <c r="L116" s="131">
        <f t="shared" ref="L116:AB116" si="48">SUM(D115:H115)</f>
        <v>4.4470964340705486</v>
      </c>
      <c r="M116" s="131">
        <f t="shared" si="48"/>
        <v>6.332018589725644</v>
      </c>
      <c r="N116" s="131">
        <f t="shared" si="48"/>
        <v>7.9828591923292276</v>
      </c>
      <c r="O116" s="131">
        <f t="shared" si="48"/>
        <v>9.2400872452407619</v>
      </c>
      <c r="P116" s="131">
        <f t="shared" si="48"/>
        <v>10.097748500139978</v>
      </c>
      <c r="Q116" s="131">
        <f t="shared" si="48"/>
        <v>10.495943831187009</v>
      </c>
      <c r="R116" s="131">
        <f t="shared" si="48"/>
        <v>10.5249375</v>
      </c>
      <c r="S116" s="131">
        <f t="shared" si="48"/>
        <v>10.5249375</v>
      </c>
      <c r="T116" s="131">
        <f t="shared" si="48"/>
        <v>10.5249375</v>
      </c>
      <c r="U116" s="131">
        <f t="shared" si="48"/>
        <v>10.5249375</v>
      </c>
      <c r="V116" s="131">
        <f t="shared" si="48"/>
        <v>10.5249375</v>
      </c>
      <c r="W116" s="131">
        <f t="shared" si="48"/>
        <v>10.5249375</v>
      </c>
      <c r="X116" s="131">
        <f t="shared" si="48"/>
        <v>10.5249375</v>
      </c>
      <c r="Y116" s="131">
        <f t="shared" si="48"/>
        <v>10.5249375</v>
      </c>
      <c r="Z116" s="131">
        <f t="shared" si="48"/>
        <v>10.5249375</v>
      </c>
      <c r="AA116" s="131">
        <f t="shared" si="48"/>
        <v>10.5249375</v>
      </c>
      <c r="AB116" s="131">
        <f t="shared" si="48"/>
        <v>10.5249375</v>
      </c>
    </row>
    <row r="117" spans="1:28" x14ac:dyDescent="0.25">
      <c r="A117" s="120" t="s">
        <v>352</v>
      </c>
      <c r="B117" s="103"/>
      <c r="C117" s="103"/>
      <c r="D117" s="131"/>
      <c r="E117" s="131"/>
      <c r="F117" s="131"/>
      <c r="G117" s="131"/>
      <c r="H117" s="131"/>
      <c r="I117" s="131"/>
      <c r="J117" s="131"/>
      <c r="K117" s="131"/>
      <c r="L117" s="131"/>
      <c r="M117" s="131"/>
      <c r="N117" s="131"/>
      <c r="O117" s="131"/>
      <c r="P117" s="131"/>
      <c r="Q117" s="131"/>
      <c r="R117" s="131"/>
      <c r="S117" s="131"/>
      <c r="T117" s="131"/>
      <c r="U117" s="131"/>
      <c r="V117" s="131"/>
      <c r="W117" s="131"/>
      <c r="X117" s="131"/>
      <c r="Y117" s="131"/>
      <c r="Z117" s="131"/>
      <c r="AA117" s="131"/>
      <c r="AB117" s="131"/>
    </row>
    <row r="118" spans="1:28" ht="30" x14ac:dyDescent="0.25">
      <c r="A118" s="120" t="s">
        <v>190</v>
      </c>
      <c r="B118" s="103" t="s">
        <v>51</v>
      </c>
      <c r="C118" s="103"/>
      <c r="D118" s="131"/>
      <c r="E118" s="131"/>
      <c r="F118" s="131"/>
      <c r="G118" s="131"/>
      <c r="H118" s="131">
        <f>(1+$E$14*5)*E11</f>
        <v>1751.83575</v>
      </c>
      <c r="I118" s="131">
        <f>(1+$E$14)*H118</f>
        <v>1769.3541075000001</v>
      </c>
      <c r="J118" s="131">
        <f t="shared" ref="J118:AB118" si="49">(1+$E$14)*I118</f>
        <v>1787.047648575</v>
      </c>
      <c r="K118" s="131">
        <f t="shared" si="49"/>
        <v>1804.9181250607501</v>
      </c>
      <c r="L118" s="131">
        <f t="shared" si="49"/>
        <v>1822.9673063113576</v>
      </c>
      <c r="M118" s="131">
        <f t="shared" si="49"/>
        <v>1841.1969793744711</v>
      </c>
      <c r="N118" s="131">
        <f t="shared" si="49"/>
        <v>1859.6089491682158</v>
      </c>
      <c r="O118" s="131">
        <f t="shared" si="49"/>
        <v>1878.205038659898</v>
      </c>
      <c r="P118" s="131">
        <f t="shared" si="49"/>
        <v>1896.987089046497</v>
      </c>
      <c r="Q118" s="131">
        <f t="shared" si="49"/>
        <v>1915.956959936962</v>
      </c>
      <c r="R118" s="131">
        <f t="shared" si="49"/>
        <v>1935.1165295363317</v>
      </c>
      <c r="S118" s="131">
        <f t="shared" si="49"/>
        <v>1954.4676948316951</v>
      </c>
      <c r="T118" s="131">
        <f t="shared" si="49"/>
        <v>1974.012371780012</v>
      </c>
      <c r="U118" s="131">
        <f t="shared" si="49"/>
        <v>1993.7524954978121</v>
      </c>
      <c r="V118" s="131">
        <f t="shared" si="49"/>
        <v>2013.6900204527903</v>
      </c>
      <c r="W118" s="131">
        <f t="shared" si="49"/>
        <v>2033.8269206573182</v>
      </c>
      <c r="X118" s="131">
        <f t="shared" si="49"/>
        <v>2054.1651898638916</v>
      </c>
      <c r="Y118" s="131">
        <f t="shared" si="49"/>
        <v>2074.7068417625305</v>
      </c>
      <c r="Z118" s="131">
        <f t="shared" si="49"/>
        <v>2095.4539101801561</v>
      </c>
      <c r="AA118" s="131">
        <f t="shared" si="49"/>
        <v>2116.4084492819575</v>
      </c>
      <c r="AB118" s="131">
        <f t="shared" si="49"/>
        <v>2137.5725337747772</v>
      </c>
    </row>
    <row r="119" spans="1:28" ht="45" x14ac:dyDescent="0.25">
      <c r="A119" s="120" t="s">
        <v>191</v>
      </c>
      <c r="B119" s="103" t="s">
        <v>51</v>
      </c>
      <c r="C119" s="103"/>
      <c r="D119" s="131"/>
      <c r="E119" s="131"/>
      <c r="F119" s="131"/>
      <c r="G119" s="131"/>
      <c r="H119" s="131">
        <f>H118-$E$11</f>
        <v>83.420749999999998</v>
      </c>
      <c r="I119" s="131">
        <f>I118-$E$11</f>
        <v>100.93910750000009</v>
      </c>
      <c r="J119" s="131">
        <f t="shared" ref="J119:AB119" si="50">J118-$E$11</f>
        <v>118.63264857500008</v>
      </c>
      <c r="K119" s="131">
        <f t="shared" si="50"/>
        <v>136.50312506075011</v>
      </c>
      <c r="L119" s="131">
        <f t="shared" si="50"/>
        <v>154.5523063113576</v>
      </c>
      <c r="M119" s="131">
        <f t="shared" si="50"/>
        <v>172.78197937447112</v>
      </c>
      <c r="N119" s="131">
        <f t="shared" si="50"/>
        <v>191.19394916821579</v>
      </c>
      <c r="O119" s="131">
        <f t="shared" si="50"/>
        <v>209.79003865989807</v>
      </c>
      <c r="P119" s="131">
        <f t="shared" si="50"/>
        <v>228.57208904649701</v>
      </c>
      <c r="Q119" s="131">
        <f t="shared" si="50"/>
        <v>247.54195993696203</v>
      </c>
      <c r="R119" s="131">
        <f t="shared" si="50"/>
        <v>266.70152953633169</v>
      </c>
      <c r="S119" s="131">
        <f t="shared" si="50"/>
        <v>286.05269483169513</v>
      </c>
      <c r="T119" s="131">
        <f t="shared" si="50"/>
        <v>305.59737178001205</v>
      </c>
      <c r="U119" s="131">
        <f t="shared" si="50"/>
        <v>325.33749549781214</v>
      </c>
      <c r="V119" s="131">
        <f t="shared" si="50"/>
        <v>345.27502045279039</v>
      </c>
      <c r="W119" s="131">
        <f t="shared" si="50"/>
        <v>365.41192065731821</v>
      </c>
      <c r="X119" s="131">
        <f t="shared" si="50"/>
        <v>385.75018986389159</v>
      </c>
      <c r="Y119" s="131">
        <f t="shared" si="50"/>
        <v>406.29184176253057</v>
      </c>
      <c r="Z119" s="131">
        <f t="shared" si="50"/>
        <v>427.03891018015611</v>
      </c>
      <c r="AA119" s="131">
        <f t="shared" si="50"/>
        <v>447.99344928195751</v>
      </c>
      <c r="AB119" s="131">
        <f t="shared" si="50"/>
        <v>469.15753377477722</v>
      </c>
    </row>
    <row r="120" spans="1:28" x14ac:dyDescent="0.25">
      <c r="A120" s="103"/>
      <c r="B120" s="103"/>
      <c r="C120" s="103"/>
      <c r="D120" s="131"/>
      <c r="E120" s="131"/>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row>
    <row r="121" spans="1:28" x14ac:dyDescent="0.25">
      <c r="A121" s="103" t="s">
        <v>183</v>
      </c>
      <c r="B121" s="103"/>
      <c r="C121" s="103"/>
      <c r="D121" s="131"/>
      <c r="E121" s="131"/>
      <c r="F121" s="131"/>
      <c r="G121" s="131"/>
      <c r="H121" s="131"/>
      <c r="I121" s="131"/>
      <c r="J121" s="131"/>
      <c r="K121" s="131"/>
      <c r="L121" s="131"/>
      <c r="M121" s="131"/>
      <c r="N121" s="131"/>
      <c r="O121" s="131"/>
      <c r="P121" s="131"/>
      <c r="Q121" s="131"/>
      <c r="R121" s="131"/>
      <c r="S121" s="131"/>
      <c r="T121" s="131"/>
      <c r="U121" s="131"/>
      <c r="V121" s="131"/>
      <c r="W121" s="131"/>
      <c r="X121" s="131"/>
      <c r="Y121" s="131"/>
      <c r="Z121" s="131"/>
      <c r="AA121" s="131"/>
      <c r="AB121" s="131"/>
    </row>
    <row r="122" spans="1:28" x14ac:dyDescent="0.25">
      <c r="A122" s="103" t="s">
        <v>184</v>
      </c>
      <c r="B122" s="103" t="s">
        <v>51</v>
      </c>
      <c r="C122" s="103"/>
      <c r="D122" s="131"/>
      <c r="E122" s="131"/>
      <c r="F122" s="131"/>
      <c r="G122" s="131"/>
      <c r="H122" s="130">
        <f t="shared" ref="H122:AB122" si="51">H119*D115*100000</f>
        <v>1593934.2476628986</v>
      </c>
      <c r="I122" s="130">
        <f t="shared" si="51"/>
        <v>4584118.2497088388</v>
      </c>
      <c r="J122" s="130">
        <f t="shared" si="51"/>
        <v>10057194.856258234</v>
      </c>
      <c r="K122" s="130">
        <f t="shared" si="51"/>
        <v>17026393.042654816</v>
      </c>
      <c r="L122" s="130">
        <f t="shared" si="51"/>
        <v>26378866.610584542</v>
      </c>
      <c r="M122" s="130">
        <f t="shared" si="51"/>
        <v>35869432.332168318</v>
      </c>
      <c r="N122" s="130">
        <f t="shared" si="51"/>
        <v>40246087.307472967</v>
      </c>
      <c r="O122" s="130">
        <f t="shared" si="51"/>
        <v>44160540.900360219</v>
      </c>
      <c r="P122" s="130">
        <f t="shared" si="51"/>
        <v>48114139.02917631</v>
      </c>
      <c r="Q122" s="130">
        <f t="shared" si="51"/>
        <v>52107273.139280587</v>
      </c>
      <c r="R122" s="130">
        <f t="shared" si="51"/>
        <v>56140338.590485893</v>
      </c>
      <c r="S122" s="130">
        <f t="shared" si="51"/>
        <v>60213734.696203291</v>
      </c>
      <c r="T122" s="130">
        <f t="shared" si="51"/>
        <v>64327864.762977809</v>
      </c>
      <c r="U122" s="130">
        <f t="shared" si="51"/>
        <v>68483136.130420089</v>
      </c>
      <c r="V122" s="130">
        <f t="shared" si="51"/>
        <v>72679960.21153681</v>
      </c>
      <c r="W122" s="130">
        <f t="shared" si="51"/>
        <v>76918752.533464655</v>
      </c>
      <c r="X122" s="130">
        <f t="shared" si="51"/>
        <v>81199932.778611854</v>
      </c>
      <c r="Y122" s="130">
        <f t="shared" si="51"/>
        <v>85523924.826210484</v>
      </c>
      <c r="Z122" s="130">
        <f t="shared" si="51"/>
        <v>89891156.794285133</v>
      </c>
      <c r="AA122" s="130">
        <f t="shared" si="51"/>
        <v>94302061.082040444</v>
      </c>
      <c r="AB122" s="130">
        <f t="shared" si="51"/>
        <v>98757074.412673384</v>
      </c>
    </row>
    <row r="123" spans="1:28" x14ac:dyDescent="0.25">
      <c r="A123" s="103" t="s">
        <v>185</v>
      </c>
      <c r="B123" s="103" t="s">
        <v>51</v>
      </c>
      <c r="C123" s="103"/>
      <c r="D123" s="131"/>
      <c r="E123" s="131"/>
      <c r="F123" s="131"/>
      <c r="G123" s="131"/>
      <c r="H123" s="130"/>
      <c r="I123" s="130">
        <f t="shared" ref="I123:AB123" si="52">H119*D115*100000</f>
        <v>1593934.2476628986</v>
      </c>
      <c r="J123" s="130">
        <f t="shared" si="52"/>
        <v>4584118.2497088388</v>
      </c>
      <c r="K123" s="130">
        <f t="shared" si="52"/>
        <v>10057194.856258234</v>
      </c>
      <c r="L123" s="130">
        <f t="shared" si="52"/>
        <v>17026393.042654816</v>
      </c>
      <c r="M123" s="130">
        <f t="shared" si="52"/>
        <v>26378866.610584542</v>
      </c>
      <c r="N123" s="130">
        <f t="shared" si="52"/>
        <v>35869432.332168318</v>
      </c>
      <c r="O123" s="130">
        <f t="shared" si="52"/>
        <v>40246087.307472967</v>
      </c>
      <c r="P123" s="130">
        <f t="shared" si="52"/>
        <v>44160540.900360219</v>
      </c>
      <c r="Q123" s="130">
        <f t="shared" si="52"/>
        <v>48114139.02917631</v>
      </c>
      <c r="R123" s="130">
        <f t="shared" si="52"/>
        <v>52107273.139280587</v>
      </c>
      <c r="S123" s="130">
        <f t="shared" si="52"/>
        <v>56140338.590485893</v>
      </c>
      <c r="T123" s="130">
        <f t="shared" si="52"/>
        <v>60213734.696203291</v>
      </c>
      <c r="U123" s="130">
        <f t="shared" si="52"/>
        <v>64327864.762977809</v>
      </c>
      <c r="V123" s="130">
        <f t="shared" si="52"/>
        <v>68483136.130420089</v>
      </c>
      <c r="W123" s="130">
        <f t="shared" si="52"/>
        <v>72679960.21153681</v>
      </c>
      <c r="X123" s="130">
        <f t="shared" si="52"/>
        <v>76918752.533464655</v>
      </c>
      <c r="Y123" s="130">
        <f t="shared" si="52"/>
        <v>81199932.778611854</v>
      </c>
      <c r="Z123" s="130">
        <f t="shared" si="52"/>
        <v>85523924.826210484</v>
      </c>
      <c r="AA123" s="130">
        <f t="shared" si="52"/>
        <v>89891156.794285133</v>
      </c>
      <c r="AB123" s="130">
        <f t="shared" si="52"/>
        <v>94302061.082040444</v>
      </c>
    </row>
    <row r="124" spans="1:28" x14ac:dyDescent="0.25">
      <c r="A124" s="103" t="s">
        <v>186</v>
      </c>
      <c r="B124" s="103" t="s">
        <v>51</v>
      </c>
      <c r="C124" s="103"/>
      <c r="D124" s="131"/>
      <c r="E124" s="131"/>
      <c r="F124" s="131"/>
      <c r="G124" s="131"/>
      <c r="H124" s="130"/>
      <c r="I124" s="130"/>
      <c r="J124" s="130">
        <f t="shared" ref="J124:AB124" si="53">H119*D115*100000</f>
        <v>1593934.2476628986</v>
      </c>
      <c r="K124" s="130">
        <f t="shared" si="53"/>
        <v>4584118.2497088388</v>
      </c>
      <c r="L124" s="130">
        <f t="shared" si="53"/>
        <v>10057194.856258234</v>
      </c>
      <c r="M124" s="130">
        <f t="shared" si="53"/>
        <v>17026393.042654816</v>
      </c>
      <c r="N124" s="130">
        <f t="shared" si="53"/>
        <v>26378866.610584542</v>
      </c>
      <c r="O124" s="130">
        <f t="shared" si="53"/>
        <v>35869432.332168318</v>
      </c>
      <c r="P124" s="130">
        <f t="shared" si="53"/>
        <v>40246087.307472967</v>
      </c>
      <c r="Q124" s="130">
        <f t="shared" si="53"/>
        <v>44160540.900360219</v>
      </c>
      <c r="R124" s="130">
        <f t="shared" si="53"/>
        <v>48114139.02917631</v>
      </c>
      <c r="S124" s="130">
        <f t="shared" si="53"/>
        <v>52107273.139280587</v>
      </c>
      <c r="T124" s="130">
        <f t="shared" si="53"/>
        <v>56140338.590485893</v>
      </c>
      <c r="U124" s="130">
        <f t="shared" si="53"/>
        <v>60213734.696203291</v>
      </c>
      <c r="V124" s="130">
        <f t="shared" si="53"/>
        <v>64327864.762977809</v>
      </c>
      <c r="W124" s="130">
        <f t="shared" si="53"/>
        <v>68483136.130420089</v>
      </c>
      <c r="X124" s="130">
        <f t="shared" si="53"/>
        <v>72679960.21153681</v>
      </c>
      <c r="Y124" s="130">
        <f t="shared" si="53"/>
        <v>76918752.533464655</v>
      </c>
      <c r="Z124" s="130">
        <f t="shared" si="53"/>
        <v>81199932.778611854</v>
      </c>
      <c r="AA124" s="130">
        <f t="shared" si="53"/>
        <v>85523924.826210484</v>
      </c>
      <c r="AB124" s="130">
        <f t="shared" si="53"/>
        <v>89891156.794285133</v>
      </c>
    </row>
    <row r="125" spans="1:28" x14ac:dyDescent="0.25">
      <c r="A125" s="103" t="s">
        <v>187</v>
      </c>
      <c r="B125" s="103" t="s">
        <v>51</v>
      </c>
      <c r="C125" s="103"/>
      <c r="D125" s="131"/>
      <c r="E125" s="131"/>
      <c r="F125" s="131"/>
      <c r="G125" s="131"/>
      <c r="H125" s="130"/>
      <c r="I125" s="130"/>
      <c r="J125" s="130"/>
      <c r="K125" s="130">
        <f t="shared" ref="K125:AB125" si="54">H119*D115*100000</f>
        <v>1593934.2476628986</v>
      </c>
      <c r="L125" s="130">
        <f t="shared" si="54"/>
        <v>4584118.2497088388</v>
      </c>
      <c r="M125" s="130">
        <f t="shared" si="54"/>
        <v>10057194.856258234</v>
      </c>
      <c r="N125" s="130">
        <f t="shared" si="54"/>
        <v>17026393.042654816</v>
      </c>
      <c r="O125" s="130">
        <f t="shared" si="54"/>
        <v>26378866.610584542</v>
      </c>
      <c r="P125" s="130">
        <f t="shared" si="54"/>
        <v>35869432.332168318</v>
      </c>
      <c r="Q125" s="130">
        <f t="shared" si="54"/>
        <v>40246087.307472967</v>
      </c>
      <c r="R125" s="130">
        <f t="shared" si="54"/>
        <v>44160540.900360219</v>
      </c>
      <c r="S125" s="130">
        <f t="shared" si="54"/>
        <v>48114139.02917631</v>
      </c>
      <c r="T125" s="130">
        <f t="shared" si="54"/>
        <v>52107273.139280587</v>
      </c>
      <c r="U125" s="130">
        <f t="shared" si="54"/>
        <v>56140338.590485893</v>
      </c>
      <c r="V125" s="130">
        <f t="shared" si="54"/>
        <v>60213734.696203291</v>
      </c>
      <c r="W125" s="130">
        <f t="shared" si="54"/>
        <v>64327864.762977809</v>
      </c>
      <c r="X125" s="130">
        <f t="shared" si="54"/>
        <v>68483136.130420089</v>
      </c>
      <c r="Y125" s="130">
        <f t="shared" si="54"/>
        <v>72679960.21153681</v>
      </c>
      <c r="Z125" s="130">
        <f t="shared" si="54"/>
        <v>76918752.533464655</v>
      </c>
      <c r="AA125" s="130">
        <f t="shared" si="54"/>
        <v>81199932.778611854</v>
      </c>
      <c r="AB125" s="130">
        <f t="shared" si="54"/>
        <v>85523924.826210484</v>
      </c>
    </row>
    <row r="126" spans="1:28" x14ac:dyDescent="0.25">
      <c r="A126" s="103" t="s">
        <v>188</v>
      </c>
      <c r="B126" s="103" t="s">
        <v>51</v>
      </c>
      <c r="C126" s="103"/>
      <c r="D126" s="131"/>
      <c r="E126" s="131"/>
      <c r="F126" s="131"/>
      <c r="G126" s="131"/>
      <c r="H126" s="130"/>
      <c r="I126" s="130"/>
      <c r="J126" s="130"/>
      <c r="K126" s="130"/>
      <c r="L126" s="130">
        <f>H119*D115*100000</f>
        <v>1593934.2476628986</v>
      </c>
      <c r="M126" s="130">
        <f>I119*E115*100000</f>
        <v>4584118.2497088388</v>
      </c>
      <c r="N126" s="130">
        <f t="shared" ref="N126:AB126" si="55">J119*F115*100000</f>
        <v>10057194.856258234</v>
      </c>
      <c r="O126" s="130">
        <f t="shared" si="55"/>
        <v>17026393.042654816</v>
      </c>
      <c r="P126" s="130">
        <f t="shared" si="55"/>
        <v>26378866.610584542</v>
      </c>
      <c r="Q126" s="130">
        <f t="shared" si="55"/>
        <v>35869432.332168318</v>
      </c>
      <c r="R126" s="130">
        <f t="shared" si="55"/>
        <v>40246087.307472967</v>
      </c>
      <c r="S126" s="130">
        <f t="shared" si="55"/>
        <v>44160540.900360219</v>
      </c>
      <c r="T126" s="130">
        <f t="shared" si="55"/>
        <v>48114139.02917631</v>
      </c>
      <c r="U126" s="130">
        <f t="shared" si="55"/>
        <v>52107273.139280587</v>
      </c>
      <c r="V126" s="130">
        <f t="shared" si="55"/>
        <v>56140338.590485893</v>
      </c>
      <c r="W126" s="130">
        <f t="shared" si="55"/>
        <v>60213734.696203291</v>
      </c>
      <c r="X126" s="130">
        <f t="shared" si="55"/>
        <v>64327864.762977809</v>
      </c>
      <c r="Y126" s="130">
        <f t="shared" si="55"/>
        <v>68483136.130420089</v>
      </c>
      <c r="Z126" s="130">
        <f t="shared" si="55"/>
        <v>72679960.21153681</v>
      </c>
      <c r="AA126" s="130">
        <f t="shared" si="55"/>
        <v>76918752.533464655</v>
      </c>
      <c r="AB126" s="130">
        <f t="shared" si="55"/>
        <v>81199932.778611854</v>
      </c>
    </row>
    <row r="127" spans="1:28" x14ac:dyDescent="0.25">
      <c r="A127" s="104" t="s">
        <v>31</v>
      </c>
      <c r="B127" s="104" t="s">
        <v>51</v>
      </c>
      <c r="C127" s="103"/>
      <c r="D127" s="131"/>
      <c r="E127" s="131"/>
      <c r="F127" s="131"/>
      <c r="G127" s="131"/>
      <c r="H127" s="141">
        <f t="shared" ref="H127:AB127" si="56">SUM(H122:H126)</f>
        <v>1593934.2476628986</v>
      </c>
      <c r="I127" s="141">
        <f t="shared" si="56"/>
        <v>6178052.4973717369</v>
      </c>
      <c r="J127" s="141">
        <f t="shared" si="56"/>
        <v>16235247.353629971</v>
      </c>
      <c r="K127" s="141">
        <f t="shared" si="56"/>
        <v>33261640.396284785</v>
      </c>
      <c r="L127" s="141">
        <f t="shared" si="56"/>
        <v>59640507.006869331</v>
      </c>
      <c r="M127" s="141">
        <f t="shared" si="56"/>
        <v>93916005.091374755</v>
      </c>
      <c r="N127" s="141">
        <f t="shared" si="56"/>
        <v>129577974.14913887</v>
      </c>
      <c r="O127" s="141">
        <f t="shared" si="56"/>
        <v>163681320.19324088</v>
      </c>
      <c r="P127" s="141">
        <f t="shared" si="56"/>
        <v>194769066.17976236</v>
      </c>
      <c r="Q127" s="141">
        <f t="shared" si="56"/>
        <v>220497472.70845839</v>
      </c>
      <c r="R127" s="141">
        <f t="shared" si="56"/>
        <v>240768378.96677598</v>
      </c>
      <c r="S127" s="141">
        <f t="shared" si="56"/>
        <v>260736026.3555063</v>
      </c>
      <c r="T127" s="141">
        <f t="shared" si="56"/>
        <v>280903350.21812391</v>
      </c>
      <c r="U127" s="141">
        <f t="shared" si="56"/>
        <v>301272347.31936765</v>
      </c>
      <c r="V127" s="141">
        <f t="shared" si="56"/>
        <v>321845034.39162391</v>
      </c>
      <c r="W127" s="141">
        <f t="shared" si="56"/>
        <v>342623448.33460265</v>
      </c>
      <c r="X127" s="141">
        <f t="shared" si="56"/>
        <v>363609646.41701126</v>
      </c>
      <c r="Y127" s="141">
        <f t="shared" si="56"/>
        <v>384805706.48024392</v>
      </c>
      <c r="Z127" s="141">
        <f t="shared" si="56"/>
        <v>406213727.14410895</v>
      </c>
      <c r="AA127" s="141">
        <f t="shared" si="56"/>
        <v>427835828.01461256</v>
      </c>
      <c r="AB127" s="141">
        <f t="shared" si="56"/>
        <v>449674149.8938213</v>
      </c>
    </row>
    <row r="128" spans="1:28" x14ac:dyDescent="0.25">
      <c r="A128" s="120"/>
      <c r="B128" s="103"/>
      <c r="C128" s="103"/>
      <c r="D128" s="131"/>
      <c r="E128" s="131"/>
      <c r="F128" s="131"/>
      <c r="G128" s="131"/>
      <c r="H128" s="131"/>
      <c r="I128" s="131"/>
      <c r="J128" s="131"/>
      <c r="K128" s="131"/>
      <c r="L128" s="131"/>
      <c r="M128" s="131"/>
      <c r="N128" s="131"/>
      <c r="O128" s="131"/>
      <c r="P128" s="131"/>
      <c r="Q128" s="131"/>
      <c r="R128" s="131"/>
      <c r="S128" s="131"/>
      <c r="T128" s="131"/>
      <c r="U128" s="131"/>
      <c r="V128" s="131"/>
      <c r="W128" s="131"/>
      <c r="X128" s="131"/>
      <c r="Y128" s="131"/>
      <c r="Z128" s="131"/>
      <c r="AA128" s="131"/>
      <c r="AB128" s="131"/>
    </row>
    <row r="129" spans="1:30" s="107" customFormat="1" ht="25.5" x14ac:dyDescent="0.25">
      <c r="A129" s="215" t="s">
        <v>161</v>
      </c>
      <c r="B129" s="216" t="s">
        <v>55</v>
      </c>
      <c r="C129" s="217"/>
      <c r="D129" s="218"/>
      <c r="E129" s="218"/>
      <c r="F129" s="218"/>
      <c r="G129" s="218"/>
      <c r="H129" s="218">
        <f>(H127*365/$D$106)*1.03/1000/1000</f>
        <v>1.5098421678834828</v>
      </c>
      <c r="I129" s="218">
        <f>((H127*($D$106-365)/$D$106)+(I127*365/$D$106))*1.03/1000/1000</f>
        <v>5.9840236367395763</v>
      </c>
      <c r="J129" s="218">
        <f t="shared" ref="J129:AB129" si="57">((I127*($D$106-365)/$D$106)+(J127*365/$D$106))*1.03/1000/1000</f>
        <v>15.889995879653625</v>
      </c>
      <c r="K129" s="218">
        <f t="shared" si="57"/>
        <v>32.850426884954068</v>
      </c>
      <c r="L129" s="218">
        <f t="shared" si="57"/>
        <v>59.246671612720732</v>
      </c>
      <c r="M129" s="218">
        <f t="shared" si="57"/>
        <v>93.896928696310653</v>
      </c>
      <c r="N129" s="218">
        <f t="shared" si="57"/>
        <v>130.51401587272679</v>
      </c>
      <c r="O129" s="218">
        <f t="shared" si="57"/>
        <v>165.76945013383738</v>
      </c>
      <c r="P129" s="218">
        <f t="shared" si="57"/>
        <v>198.03939219900866</v>
      </c>
      <c r="Q129" s="218">
        <f t="shared" si="57"/>
        <v>224.98317677382531</v>
      </c>
      <c r="R129" s="218">
        <f t="shared" si="57"/>
        <v>246.31385961936792</v>
      </c>
      <c r="S129" s="218">
        <f t="shared" si="57"/>
        <v>266.90563339348876</v>
      </c>
      <c r="T129" s="218">
        <f t="shared" si="57"/>
        <v>287.66145223445812</v>
      </c>
      <c r="U129" s="218">
        <f t="shared" si="57"/>
        <v>308.624829263837</v>
      </c>
      <c r="V129" s="218">
        <f t="shared" si="57"/>
        <v>329.79784006350997</v>
      </c>
      <c r="W129" s="218">
        <f t="shared" si="57"/>
        <v>351.18258097117933</v>
      </c>
      <c r="X129" s="218">
        <f t="shared" si="57"/>
        <v>372.78116928792559</v>
      </c>
      <c r="Y129" s="218">
        <f t="shared" si="57"/>
        <v>394.59574348783934</v>
      </c>
      <c r="Z129" s="218">
        <f t="shared" si="57"/>
        <v>416.62846342975217</v>
      </c>
      <c r="AA129" s="218">
        <f t="shared" si="57"/>
        <v>438.88151057108416</v>
      </c>
      <c r="AB129" s="218">
        <f t="shared" si="57"/>
        <v>461.35708818382943</v>
      </c>
    </row>
    <row r="130" spans="1:30" x14ac:dyDescent="0.25">
      <c r="A130" s="103"/>
      <c r="B130" s="103"/>
      <c r="C130" s="103"/>
      <c r="D130" s="103"/>
      <c r="E130" s="103"/>
      <c r="F130" s="103"/>
      <c r="G130" s="103"/>
      <c r="H130" s="103"/>
      <c r="I130" s="103"/>
      <c r="J130" s="103"/>
      <c r="K130" s="103"/>
      <c r="L130" s="103"/>
      <c r="M130" s="103"/>
      <c r="N130" s="103"/>
      <c r="O130" s="103"/>
      <c r="P130" s="103"/>
      <c r="Q130" s="103"/>
      <c r="R130" s="103"/>
    </row>
    <row r="131" spans="1:30" s="146" customFormat="1" ht="74.25" customHeight="1" x14ac:dyDescent="0.25">
      <c r="A131" s="142" t="s">
        <v>205</v>
      </c>
      <c r="B131" s="143" t="s">
        <v>55</v>
      </c>
      <c r="C131" s="144"/>
      <c r="D131" s="145">
        <f t="shared" ref="D131:AB131" si="58">D129+D112</f>
        <v>3.3416994872793877</v>
      </c>
      <c r="E131" s="145">
        <f t="shared" si="58"/>
        <v>7.9426866905013318</v>
      </c>
      <c r="F131" s="145">
        <f t="shared" si="58"/>
        <v>14.826673298306803</v>
      </c>
      <c r="G131" s="145">
        <f t="shared" si="58"/>
        <v>21.814795218180819</v>
      </c>
      <c r="H131" s="145">
        <f t="shared" si="58"/>
        <v>31.360349837346668</v>
      </c>
      <c r="I131" s="145">
        <f t="shared" si="58"/>
        <v>42.291589904530284</v>
      </c>
      <c r="J131" s="145">
        <f t="shared" si="58"/>
        <v>52.70463954621102</v>
      </c>
      <c r="K131" s="145">
        <f t="shared" si="58"/>
        <v>69.665070551511462</v>
      </c>
      <c r="L131" s="145">
        <f t="shared" si="58"/>
        <v>96.061315279278119</v>
      </c>
      <c r="M131" s="145">
        <f t="shared" si="58"/>
        <v>130.71157236286805</v>
      </c>
      <c r="N131" s="145">
        <f t="shared" si="58"/>
        <v>167.32865953928419</v>
      </c>
      <c r="O131" s="145">
        <f t="shared" si="58"/>
        <v>202.58409380039478</v>
      </c>
      <c r="P131" s="145">
        <f t="shared" si="58"/>
        <v>234.85403586556606</v>
      </c>
      <c r="Q131" s="145">
        <f t="shared" si="58"/>
        <v>261.79782044038268</v>
      </c>
      <c r="R131" s="145">
        <f t="shared" si="58"/>
        <v>283.12850328592532</v>
      </c>
      <c r="S131" s="145">
        <f t="shared" si="58"/>
        <v>303.72027706004616</v>
      </c>
      <c r="T131" s="145">
        <f t="shared" si="58"/>
        <v>324.47609590101553</v>
      </c>
      <c r="U131" s="145">
        <f t="shared" si="58"/>
        <v>345.4394729303944</v>
      </c>
      <c r="V131" s="145">
        <f t="shared" si="58"/>
        <v>366.61248373006737</v>
      </c>
      <c r="W131" s="145">
        <f t="shared" si="58"/>
        <v>387.99722463773674</v>
      </c>
      <c r="X131" s="145">
        <f t="shared" si="58"/>
        <v>409.59581295448299</v>
      </c>
      <c r="Y131" s="145">
        <f t="shared" si="58"/>
        <v>431.41038715439674</v>
      </c>
      <c r="Z131" s="145">
        <f t="shared" si="58"/>
        <v>453.44310709630957</v>
      </c>
      <c r="AA131" s="145">
        <f t="shared" si="58"/>
        <v>475.69615423764157</v>
      </c>
      <c r="AB131" s="145">
        <f t="shared" si="58"/>
        <v>498.17173185038683</v>
      </c>
    </row>
    <row r="133" spans="1:30" x14ac:dyDescent="0.25">
      <c r="A133" s="107" t="s">
        <v>163</v>
      </c>
    </row>
    <row r="134" spans="1:30" x14ac:dyDescent="0.25">
      <c r="A134" s="120" t="s">
        <v>206</v>
      </c>
      <c r="B134" s="140" t="s">
        <v>55</v>
      </c>
      <c r="C134" s="130">
        <f t="shared" ref="C134:AB134" si="59">C37+C83+C112</f>
        <v>0</v>
      </c>
      <c r="D134" s="130">
        <f t="shared" si="59"/>
        <v>11.650169539916643</v>
      </c>
      <c r="E134" s="130">
        <f t="shared" si="59"/>
        <v>27.007706880739793</v>
      </c>
      <c r="F134" s="130">
        <f t="shared" si="59"/>
        <v>50.126788743287207</v>
      </c>
      <c r="G134" s="130">
        <f t="shared" si="59"/>
        <v>73.159649238014168</v>
      </c>
      <c r="H134" s="130">
        <f t="shared" si="59"/>
        <v>99.862696158438254</v>
      </c>
      <c r="I134" s="130">
        <f t="shared" si="59"/>
        <v>120.84643208864388</v>
      </c>
      <c r="J134" s="130">
        <f t="shared" si="59"/>
        <v>121.42818787721316</v>
      </c>
      <c r="K134" s="130">
        <f t="shared" si="59"/>
        <v>121.42818787721316</v>
      </c>
      <c r="L134" s="130">
        <f t="shared" si="59"/>
        <v>121.42818787721316</v>
      </c>
      <c r="M134" s="130">
        <f t="shared" si="59"/>
        <v>121.42818787721316</v>
      </c>
      <c r="N134" s="130">
        <f t="shared" si="59"/>
        <v>121.42818787721316</v>
      </c>
      <c r="O134" s="130">
        <f t="shared" si="59"/>
        <v>121.42818787721316</v>
      </c>
      <c r="P134" s="130">
        <f t="shared" si="59"/>
        <v>121.42818787721316</v>
      </c>
      <c r="Q134" s="130">
        <f t="shared" si="59"/>
        <v>121.42818787721316</v>
      </c>
      <c r="R134" s="130">
        <f t="shared" si="59"/>
        <v>121.42818787721316</v>
      </c>
      <c r="S134" s="130">
        <f t="shared" si="59"/>
        <v>121.42818787721316</v>
      </c>
      <c r="T134" s="130">
        <f t="shared" si="59"/>
        <v>121.42818787721316</v>
      </c>
      <c r="U134" s="130">
        <f t="shared" si="59"/>
        <v>121.42818787721316</v>
      </c>
      <c r="V134" s="130">
        <f t="shared" si="59"/>
        <v>121.42818787721316</v>
      </c>
      <c r="W134" s="130">
        <f t="shared" si="59"/>
        <v>121.42818787721316</v>
      </c>
      <c r="X134" s="130">
        <f t="shared" si="59"/>
        <v>121.42818787721316</v>
      </c>
      <c r="Y134" s="130">
        <f t="shared" si="59"/>
        <v>121.42818787721316</v>
      </c>
      <c r="Z134" s="130">
        <f t="shared" si="59"/>
        <v>121.42818787721316</v>
      </c>
      <c r="AA134" s="130">
        <f t="shared" si="59"/>
        <v>121.42818787721316</v>
      </c>
      <c r="AB134" s="130">
        <f t="shared" si="59"/>
        <v>121.42818787721316</v>
      </c>
    </row>
    <row r="135" spans="1:30" x14ac:dyDescent="0.25">
      <c r="A135" s="103" t="s">
        <v>144</v>
      </c>
      <c r="B135" s="140" t="s">
        <v>55</v>
      </c>
      <c r="C135" s="130">
        <f t="shared" ref="C135:AB135" si="60">C71+C99+C129</f>
        <v>0</v>
      </c>
      <c r="D135" s="130">
        <f t="shared" si="60"/>
        <v>0</v>
      </c>
      <c r="E135" s="130">
        <f t="shared" si="60"/>
        <v>0</v>
      </c>
      <c r="F135" s="130">
        <f t="shared" si="60"/>
        <v>0</v>
      </c>
      <c r="G135" s="130">
        <f t="shared" si="60"/>
        <v>24.441460580022969</v>
      </c>
      <c r="H135" s="130">
        <f t="shared" si="60"/>
        <v>84.040326628459283</v>
      </c>
      <c r="I135" s="130">
        <f t="shared" si="60"/>
        <v>199.2854211037795</v>
      </c>
      <c r="J135" s="130">
        <f t="shared" si="60"/>
        <v>375.32312394609414</v>
      </c>
      <c r="K135" s="130">
        <f t="shared" si="60"/>
        <v>625.26956164422597</v>
      </c>
      <c r="L135" s="130">
        <f t="shared" si="60"/>
        <v>916.93044174226736</v>
      </c>
      <c r="M135" s="130">
        <f t="shared" si="60"/>
        <v>1192.8282008469218</v>
      </c>
      <c r="N135" s="130">
        <f t="shared" si="60"/>
        <v>1425.9811398527813</v>
      </c>
      <c r="O135" s="130">
        <f t="shared" si="60"/>
        <v>1610.4480410779354</v>
      </c>
      <c r="P135" s="130">
        <f t="shared" si="60"/>
        <v>1733.1935459713729</v>
      </c>
      <c r="Q135" s="130">
        <f t="shared" si="60"/>
        <v>1802.0939756723269</v>
      </c>
      <c r="R135" s="130">
        <f t="shared" si="60"/>
        <v>1864.0356760734408</v>
      </c>
      <c r="S135" s="130">
        <f t="shared" si="60"/>
        <v>1925.637501221488</v>
      </c>
      <c r="T135" s="130">
        <f t="shared" si="60"/>
        <v>1987.8215297817974</v>
      </c>
      <c r="U135" s="130">
        <f t="shared" si="60"/>
        <v>2050.6355104005079</v>
      </c>
      <c r="V135" s="130">
        <f t="shared" si="60"/>
        <v>2114.0857588217486</v>
      </c>
      <c r="W135" s="130">
        <f t="shared" si="60"/>
        <v>2178.1786539795385</v>
      </c>
      <c r="X135" s="130">
        <f t="shared" si="60"/>
        <v>2242.9206386297465</v>
      </c>
      <c r="Y135" s="130">
        <f t="shared" si="60"/>
        <v>2308.318219988379</v>
      </c>
      <c r="Z135" s="130">
        <f t="shared" si="60"/>
        <v>2374.3779703762448</v>
      </c>
      <c r="AA135" s="130">
        <f t="shared" si="60"/>
        <v>2441.1065278700662</v>
      </c>
      <c r="AB135" s="130">
        <f t="shared" si="60"/>
        <v>2508.5105969601077</v>
      </c>
    </row>
    <row r="136" spans="1:30" x14ac:dyDescent="0.25">
      <c r="A136" s="104" t="s">
        <v>145</v>
      </c>
      <c r="B136" s="137" t="s">
        <v>55</v>
      </c>
      <c r="C136" s="141">
        <f>SUM(C134:C135)</f>
        <v>0</v>
      </c>
      <c r="D136" s="141">
        <f t="shared" ref="D136:AB136" si="61">SUM(D134:D135)</f>
        <v>11.650169539916643</v>
      </c>
      <c r="E136" s="141">
        <f t="shared" si="61"/>
        <v>27.007706880739793</v>
      </c>
      <c r="F136" s="141">
        <f t="shared" si="61"/>
        <v>50.126788743287207</v>
      </c>
      <c r="G136" s="141">
        <f t="shared" si="61"/>
        <v>97.601109818037145</v>
      </c>
      <c r="H136" s="141">
        <f t="shared" si="61"/>
        <v>183.90302278689754</v>
      </c>
      <c r="I136" s="141">
        <f t="shared" si="61"/>
        <v>320.13185319242336</v>
      </c>
      <c r="J136" s="141">
        <f t="shared" si="61"/>
        <v>496.75131182330733</v>
      </c>
      <c r="K136" s="141">
        <f t="shared" si="61"/>
        <v>746.69774952143916</v>
      </c>
      <c r="L136" s="141">
        <f t="shared" si="61"/>
        <v>1038.3586296194806</v>
      </c>
      <c r="M136" s="141">
        <f t="shared" si="61"/>
        <v>1314.2563887241349</v>
      </c>
      <c r="N136" s="141">
        <f t="shared" si="61"/>
        <v>1547.4093277299944</v>
      </c>
      <c r="O136" s="141">
        <f t="shared" si="61"/>
        <v>1731.8762289551485</v>
      </c>
      <c r="P136" s="141">
        <f t="shared" si="61"/>
        <v>1854.621733848586</v>
      </c>
      <c r="Q136" s="141">
        <f t="shared" si="61"/>
        <v>1923.52216354954</v>
      </c>
      <c r="R136" s="141">
        <f t="shared" si="61"/>
        <v>1985.4638639506538</v>
      </c>
      <c r="S136" s="141">
        <f t="shared" si="61"/>
        <v>2047.0656890987011</v>
      </c>
      <c r="T136" s="141">
        <f t="shared" si="61"/>
        <v>2109.2497176590105</v>
      </c>
      <c r="U136" s="141">
        <f t="shared" si="61"/>
        <v>2172.063698277721</v>
      </c>
      <c r="V136" s="141">
        <f t="shared" si="61"/>
        <v>2235.5139466989617</v>
      </c>
      <c r="W136" s="141">
        <f t="shared" si="61"/>
        <v>2299.6068418567515</v>
      </c>
      <c r="X136" s="141">
        <f t="shared" si="61"/>
        <v>2364.3488265069595</v>
      </c>
      <c r="Y136" s="141">
        <f t="shared" si="61"/>
        <v>2429.7464078655921</v>
      </c>
      <c r="Z136" s="141">
        <f t="shared" si="61"/>
        <v>2495.8061582534579</v>
      </c>
      <c r="AA136" s="141">
        <f t="shared" si="61"/>
        <v>2562.5347157472793</v>
      </c>
      <c r="AB136" s="141">
        <f t="shared" si="61"/>
        <v>2629.9387848373208</v>
      </c>
    </row>
    <row r="137" spans="1:30" x14ac:dyDescent="0.25">
      <c r="A137" s="107"/>
      <c r="B137" s="149"/>
      <c r="C137" s="148"/>
      <c r="D137" s="148"/>
      <c r="E137" s="148"/>
      <c r="F137" s="148"/>
      <c r="G137" s="148"/>
      <c r="H137" s="148"/>
      <c r="I137" s="148"/>
      <c r="J137" s="148"/>
      <c r="K137" s="148"/>
      <c r="L137" s="148"/>
      <c r="M137" s="148"/>
      <c r="N137" s="148"/>
      <c r="O137" s="148"/>
      <c r="P137" s="148"/>
      <c r="Q137" s="148"/>
      <c r="R137" s="148"/>
      <c r="S137" s="148"/>
      <c r="T137" s="148"/>
      <c r="U137" s="148"/>
      <c r="V137" s="148"/>
      <c r="W137" s="148"/>
      <c r="X137" s="148"/>
      <c r="Y137" s="148"/>
      <c r="Z137" s="148"/>
      <c r="AA137" s="148"/>
      <c r="AB137" s="148"/>
    </row>
    <row r="138" spans="1:30" x14ac:dyDescent="0.25">
      <c r="A138" s="301" t="s">
        <v>384</v>
      </c>
      <c r="B138" s="187" t="s">
        <v>385</v>
      </c>
    </row>
    <row r="139" spans="1:30" x14ac:dyDescent="0.25">
      <c r="B139" s="112">
        <v>3326.1378836711847</v>
      </c>
      <c r="D139" s="150"/>
      <c r="E139" s="150"/>
      <c r="F139" s="150"/>
    </row>
    <row r="140" spans="1:30" x14ac:dyDescent="0.25">
      <c r="A140" s="187" t="s">
        <v>388</v>
      </c>
      <c r="B140" s="150">
        <f>+E77</f>
        <v>13.968253968253975</v>
      </c>
    </row>
    <row r="141" spans="1:30" x14ac:dyDescent="0.25">
      <c r="A141" s="187" t="s">
        <v>379</v>
      </c>
      <c r="B141" s="187" t="s">
        <v>381</v>
      </c>
      <c r="C141" s="103" t="s">
        <v>442</v>
      </c>
      <c r="D141" s="103" t="s">
        <v>443</v>
      </c>
      <c r="E141" s="103" t="s">
        <v>444</v>
      </c>
      <c r="F141" s="103" t="s">
        <v>445</v>
      </c>
      <c r="G141" s="103" t="s">
        <v>446</v>
      </c>
      <c r="H141" s="103" t="s">
        <v>438</v>
      </c>
      <c r="I141" s="103" t="s">
        <v>439</v>
      </c>
      <c r="J141" s="103" t="s">
        <v>440</v>
      </c>
      <c r="K141" s="103" t="s">
        <v>447</v>
      </c>
      <c r="L141" s="103" t="s">
        <v>448</v>
      </c>
      <c r="M141" s="103" t="s">
        <v>449</v>
      </c>
      <c r="N141" s="103" t="s">
        <v>450</v>
      </c>
      <c r="O141" s="103" t="s">
        <v>451</v>
      </c>
      <c r="P141" s="103" t="s">
        <v>452</v>
      </c>
      <c r="Q141" s="103" t="s">
        <v>453</v>
      </c>
      <c r="R141" s="103" t="s">
        <v>454</v>
      </c>
      <c r="S141" s="103" t="s">
        <v>455</v>
      </c>
      <c r="T141" s="103" t="s">
        <v>456</v>
      </c>
      <c r="U141" s="103" t="s">
        <v>457</v>
      </c>
      <c r="V141" s="103" t="s">
        <v>441</v>
      </c>
      <c r="W141" s="103" t="s">
        <v>462</v>
      </c>
      <c r="X141" s="103" t="s">
        <v>463</v>
      </c>
      <c r="Y141" s="103" t="s">
        <v>464</v>
      </c>
      <c r="Z141" s="103" t="s">
        <v>465</v>
      </c>
      <c r="AA141" s="103" t="s">
        <v>466</v>
      </c>
      <c r="AB141" s="103" t="s">
        <v>467</v>
      </c>
    </row>
    <row r="142" spans="1:30" x14ac:dyDescent="0.25">
      <c r="A142" s="302" t="s">
        <v>11</v>
      </c>
      <c r="B142" s="131">
        <f>+C34</f>
        <v>2.5561967213114758</v>
      </c>
      <c r="C142" s="103"/>
      <c r="D142" s="130">
        <f>+D36</f>
        <v>53587.681708055723</v>
      </c>
      <c r="E142" s="130">
        <f t="shared" ref="E142:AB142" si="62">+E36</f>
        <v>122964.90536038761</v>
      </c>
      <c r="F142" s="130">
        <f t="shared" si="62"/>
        <v>227677.45911568747</v>
      </c>
      <c r="G142" s="130">
        <f t="shared" si="62"/>
        <v>331162.25696547545</v>
      </c>
      <c r="H142" s="130">
        <f t="shared" si="62"/>
        <v>451562.18276801938</v>
      </c>
      <c r="I142" s="130">
        <f t="shared" si="62"/>
        <v>545255.84191399161</v>
      </c>
      <c r="J142" s="130">
        <f t="shared" si="62"/>
        <v>545737.5</v>
      </c>
      <c r="K142" s="130">
        <f t="shared" si="62"/>
        <v>545737.5</v>
      </c>
      <c r="L142" s="130">
        <f t="shared" si="62"/>
        <v>545737.5</v>
      </c>
      <c r="M142" s="130">
        <f t="shared" si="62"/>
        <v>545737.5</v>
      </c>
      <c r="N142" s="130">
        <f t="shared" si="62"/>
        <v>545737.5</v>
      </c>
      <c r="O142" s="130">
        <f t="shared" si="62"/>
        <v>545737.5</v>
      </c>
      <c r="P142" s="130">
        <f t="shared" si="62"/>
        <v>545737.5</v>
      </c>
      <c r="Q142" s="130">
        <f t="shared" si="62"/>
        <v>545737.5</v>
      </c>
      <c r="R142" s="130">
        <f t="shared" si="62"/>
        <v>545737.5</v>
      </c>
      <c r="S142" s="130">
        <f t="shared" si="62"/>
        <v>545737.5</v>
      </c>
      <c r="T142" s="130">
        <f t="shared" si="62"/>
        <v>545737.5</v>
      </c>
      <c r="U142" s="130">
        <f t="shared" si="62"/>
        <v>545737.5</v>
      </c>
      <c r="V142" s="130">
        <f t="shared" si="62"/>
        <v>545737.5</v>
      </c>
      <c r="W142" s="130">
        <f t="shared" si="62"/>
        <v>545737.5</v>
      </c>
      <c r="X142" s="130">
        <f t="shared" si="62"/>
        <v>545737.5</v>
      </c>
      <c r="Y142" s="130">
        <f t="shared" si="62"/>
        <v>545737.5</v>
      </c>
      <c r="Z142" s="130">
        <f t="shared" si="62"/>
        <v>545737.5</v>
      </c>
      <c r="AA142" s="130">
        <f t="shared" si="62"/>
        <v>545737.5</v>
      </c>
      <c r="AB142" s="130">
        <f t="shared" si="62"/>
        <v>545737.5</v>
      </c>
      <c r="AD142" s="299">
        <f>+AB142/$AB$145</f>
        <v>0.35</v>
      </c>
    </row>
    <row r="143" spans="1:30" x14ac:dyDescent="0.25">
      <c r="A143" s="302" t="s">
        <v>380</v>
      </c>
      <c r="B143" s="131">
        <f>+C80</f>
        <v>8.2202786885245906</v>
      </c>
      <c r="C143" s="103"/>
      <c r="D143" s="130">
        <f>+D82</f>
        <v>53587.681708055723</v>
      </c>
      <c r="E143" s="130">
        <f t="shared" ref="E143:AB143" si="63">+E82</f>
        <v>122964.90536038759</v>
      </c>
      <c r="F143" s="130">
        <f t="shared" si="63"/>
        <v>227677.45911568744</v>
      </c>
      <c r="G143" s="130">
        <f t="shared" si="63"/>
        <v>331162.25696547545</v>
      </c>
      <c r="H143" s="130">
        <f t="shared" si="63"/>
        <v>451562.18276801932</v>
      </c>
      <c r="I143" s="130">
        <f t="shared" si="63"/>
        <v>545255.84191399149</v>
      </c>
      <c r="J143" s="130">
        <f t="shared" si="63"/>
        <v>545737.49999999988</v>
      </c>
      <c r="K143" s="130">
        <f t="shared" si="63"/>
        <v>545737.49999999988</v>
      </c>
      <c r="L143" s="130">
        <f t="shared" si="63"/>
        <v>545737.49999999988</v>
      </c>
      <c r="M143" s="130">
        <f t="shared" si="63"/>
        <v>545737.49999999988</v>
      </c>
      <c r="N143" s="130">
        <f t="shared" si="63"/>
        <v>545737.49999999988</v>
      </c>
      <c r="O143" s="130">
        <f t="shared" si="63"/>
        <v>545737.49999999988</v>
      </c>
      <c r="P143" s="130">
        <f t="shared" si="63"/>
        <v>545737.49999999988</v>
      </c>
      <c r="Q143" s="130">
        <f t="shared" si="63"/>
        <v>545737.49999999988</v>
      </c>
      <c r="R143" s="130">
        <f t="shared" si="63"/>
        <v>545737.49999999988</v>
      </c>
      <c r="S143" s="130">
        <f t="shared" si="63"/>
        <v>545737.49999999988</v>
      </c>
      <c r="T143" s="130">
        <f t="shared" si="63"/>
        <v>545737.49999999988</v>
      </c>
      <c r="U143" s="130">
        <f t="shared" si="63"/>
        <v>545737.49999999988</v>
      </c>
      <c r="V143" s="130">
        <f t="shared" si="63"/>
        <v>545737.49999999988</v>
      </c>
      <c r="W143" s="130">
        <f t="shared" si="63"/>
        <v>545737.49999999988</v>
      </c>
      <c r="X143" s="130">
        <f t="shared" si="63"/>
        <v>545737.49999999988</v>
      </c>
      <c r="Y143" s="130">
        <f t="shared" si="63"/>
        <v>545737.49999999988</v>
      </c>
      <c r="Z143" s="130">
        <f t="shared" si="63"/>
        <v>545737.49999999988</v>
      </c>
      <c r="AA143" s="130">
        <f t="shared" si="63"/>
        <v>545737.49999999988</v>
      </c>
      <c r="AB143" s="130">
        <f t="shared" si="63"/>
        <v>545737.49999999988</v>
      </c>
      <c r="AD143" s="299">
        <f t="shared" ref="AD143:AD144" si="64">+AB143/$AB$145</f>
        <v>0.34999999999999992</v>
      </c>
    </row>
    <row r="144" spans="1:30" x14ac:dyDescent="0.25">
      <c r="A144" s="302" t="s">
        <v>14</v>
      </c>
      <c r="B144" s="131">
        <f>+C109</f>
        <v>5.470213114754098</v>
      </c>
      <c r="C144" s="103"/>
      <c r="D144" s="130">
        <f>+D111</f>
        <v>42460.372340425529</v>
      </c>
      <c r="E144" s="130">
        <f t="shared" ref="E144:AB144" si="65">+E111</f>
        <v>100921.5327547592</v>
      </c>
      <c r="F144" s="130">
        <f t="shared" si="65"/>
        <v>188390.98824188131</v>
      </c>
      <c r="G144" s="130">
        <f t="shared" si="65"/>
        <v>277183.61002239643</v>
      </c>
      <c r="H144" s="130">
        <f t="shared" si="65"/>
        <v>379287.14865621499</v>
      </c>
      <c r="I144" s="130">
        <f t="shared" si="65"/>
        <v>461331.96248600224</v>
      </c>
      <c r="J144" s="130">
        <f t="shared" si="65"/>
        <v>467775</v>
      </c>
      <c r="K144" s="130">
        <f t="shared" si="65"/>
        <v>467775</v>
      </c>
      <c r="L144" s="130">
        <f t="shared" si="65"/>
        <v>467775</v>
      </c>
      <c r="M144" s="130">
        <f t="shared" si="65"/>
        <v>467775</v>
      </c>
      <c r="N144" s="130">
        <f t="shared" si="65"/>
        <v>467775</v>
      </c>
      <c r="O144" s="130">
        <f t="shared" si="65"/>
        <v>467775</v>
      </c>
      <c r="P144" s="130">
        <f t="shared" si="65"/>
        <v>467775</v>
      </c>
      <c r="Q144" s="130">
        <f t="shared" si="65"/>
        <v>467775</v>
      </c>
      <c r="R144" s="130">
        <f t="shared" si="65"/>
        <v>467775</v>
      </c>
      <c r="S144" s="130">
        <f t="shared" si="65"/>
        <v>467775</v>
      </c>
      <c r="T144" s="130">
        <f t="shared" si="65"/>
        <v>467775</v>
      </c>
      <c r="U144" s="130">
        <f t="shared" si="65"/>
        <v>467775</v>
      </c>
      <c r="V144" s="130">
        <f t="shared" si="65"/>
        <v>467775</v>
      </c>
      <c r="W144" s="130">
        <f t="shared" si="65"/>
        <v>467775</v>
      </c>
      <c r="X144" s="130">
        <f t="shared" si="65"/>
        <v>467775</v>
      </c>
      <c r="Y144" s="130">
        <f t="shared" si="65"/>
        <v>467775</v>
      </c>
      <c r="Z144" s="130">
        <f t="shared" si="65"/>
        <v>467775</v>
      </c>
      <c r="AA144" s="130">
        <f t="shared" si="65"/>
        <v>467775</v>
      </c>
      <c r="AB144" s="130">
        <f t="shared" si="65"/>
        <v>467775</v>
      </c>
      <c r="AD144" s="299">
        <f t="shared" si="64"/>
        <v>0.3</v>
      </c>
    </row>
    <row r="145" spans="1:28" x14ac:dyDescent="0.25">
      <c r="A145" s="302" t="s">
        <v>386</v>
      </c>
      <c r="B145" s="131">
        <f>+SUMPRODUCT(B142:B144,AB142:AB144)/SUM(AB142:AB144)</f>
        <v>5.4128303278688525</v>
      </c>
      <c r="C145" s="103"/>
      <c r="D145" s="130">
        <f>+SUM(D142:D144)</f>
        <v>149635.73575653697</v>
      </c>
      <c r="E145" s="130">
        <f t="shared" ref="E145:AB145" si="66">+SUM(E142:E144)</f>
        <v>346851.34347553441</v>
      </c>
      <c r="F145" s="130">
        <f t="shared" si="66"/>
        <v>643745.90647325618</v>
      </c>
      <c r="G145" s="130">
        <f t="shared" si="66"/>
        <v>939508.12395334733</v>
      </c>
      <c r="H145" s="130">
        <f t="shared" si="66"/>
        <v>1282411.5141922538</v>
      </c>
      <c r="I145" s="130">
        <f t="shared" si="66"/>
        <v>1551843.6463139853</v>
      </c>
      <c r="J145" s="130">
        <f t="shared" si="66"/>
        <v>1559250</v>
      </c>
      <c r="K145" s="130">
        <f t="shared" si="66"/>
        <v>1559250</v>
      </c>
      <c r="L145" s="130">
        <f t="shared" si="66"/>
        <v>1559250</v>
      </c>
      <c r="M145" s="130">
        <f t="shared" si="66"/>
        <v>1559250</v>
      </c>
      <c r="N145" s="130">
        <f t="shared" si="66"/>
        <v>1559250</v>
      </c>
      <c r="O145" s="130">
        <f t="shared" si="66"/>
        <v>1559250</v>
      </c>
      <c r="P145" s="130">
        <f t="shared" si="66"/>
        <v>1559250</v>
      </c>
      <c r="Q145" s="130">
        <f t="shared" si="66"/>
        <v>1559250</v>
      </c>
      <c r="R145" s="130">
        <f t="shared" si="66"/>
        <v>1559250</v>
      </c>
      <c r="S145" s="130">
        <f t="shared" si="66"/>
        <v>1559250</v>
      </c>
      <c r="T145" s="130">
        <f t="shared" si="66"/>
        <v>1559250</v>
      </c>
      <c r="U145" s="130">
        <f t="shared" si="66"/>
        <v>1559250</v>
      </c>
      <c r="V145" s="130">
        <f t="shared" si="66"/>
        <v>1559250</v>
      </c>
      <c r="W145" s="130">
        <f t="shared" si="66"/>
        <v>1559250</v>
      </c>
      <c r="X145" s="130">
        <f t="shared" si="66"/>
        <v>1559250</v>
      </c>
      <c r="Y145" s="130">
        <f t="shared" si="66"/>
        <v>1559250</v>
      </c>
      <c r="Z145" s="130">
        <f t="shared" si="66"/>
        <v>1559250</v>
      </c>
      <c r="AA145" s="130">
        <f t="shared" si="66"/>
        <v>1559250</v>
      </c>
      <c r="AB145" s="130">
        <f t="shared" si="66"/>
        <v>1559250</v>
      </c>
    </row>
    <row r="146" spans="1:28" x14ac:dyDescent="0.25">
      <c r="A146" s="302" t="s">
        <v>387</v>
      </c>
      <c r="B146" s="131">
        <f>+B145*1.03</f>
        <v>5.575215237704918</v>
      </c>
      <c r="C146" s="103">
        <f>+B146*B140</f>
        <v>77.876022367941758</v>
      </c>
      <c r="D146" s="130"/>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c r="AA146" s="130"/>
      <c r="AB146" s="130"/>
    </row>
    <row r="147" spans="1:28" x14ac:dyDescent="0.25">
      <c r="A147" s="103" t="s">
        <v>382</v>
      </c>
      <c r="B147" s="140" t="s">
        <v>383</v>
      </c>
      <c r="C147" s="103"/>
      <c r="D147" s="131">
        <f>+$B$140*SUMPRODUCT($B$142:$B$144,D142:D144)*1.03/1000000</f>
        <v>11.650169539916641</v>
      </c>
      <c r="E147" s="294">
        <f t="shared" ref="E147:AB147" si="67">+$B$140*SUMPRODUCT($B$142:$B$144,E142:E144)*1.03/1000000</f>
        <v>27.007706880739789</v>
      </c>
      <c r="F147" s="294">
        <f t="shared" si="67"/>
        <v>50.126788743287207</v>
      </c>
      <c r="G147" s="294">
        <f t="shared" si="67"/>
        <v>73.159649238014183</v>
      </c>
      <c r="H147" s="294">
        <f t="shared" si="67"/>
        <v>99.862696158438254</v>
      </c>
      <c r="I147" s="294">
        <f t="shared" si="67"/>
        <v>120.84643208864388</v>
      </c>
      <c r="J147" s="294">
        <f t="shared" si="67"/>
        <v>121.42818787721318</v>
      </c>
      <c r="K147" s="294">
        <f t="shared" si="67"/>
        <v>121.42818787721318</v>
      </c>
      <c r="L147" s="294">
        <f t="shared" si="67"/>
        <v>121.42818787721318</v>
      </c>
      <c r="M147" s="294">
        <f t="shared" si="67"/>
        <v>121.42818787721318</v>
      </c>
      <c r="N147" s="294">
        <f t="shared" si="67"/>
        <v>121.42818787721318</v>
      </c>
      <c r="O147" s="294">
        <f t="shared" si="67"/>
        <v>121.42818787721318</v>
      </c>
      <c r="P147" s="294">
        <f t="shared" si="67"/>
        <v>121.42818787721318</v>
      </c>
      <c r="Q147" s="294">
        <f t="shared" si="67"/>
        <v>121.42818787721318</v>
      </c>
      <c r="R147" s="294">
        <f t="shared" si="67"/>
        <v>121.42818787721318</v>
      </c>
      <c r="S147" s="294">
        <f t="shared" si="67"/>
        <v>121.42818787721318</v>
      </c>
      <c r="T147" s="294">
        <f t="shared" si="67"/>
        <v>121.42818787721318</v>
      </c>
      <c r="U147" s="294">
        <f t="shared" si="67"/>
        <v>121.42818787721318</v>
      </c>
      <c r="V147" s="294">
        <f t="shared" si="67"/>
        <v>121.42818787721318</v>
      </c>
      <c r="W147" s="294">
        <f t="shared" si="67"/>
        <v>121.42818787721318</v>
      </c>
      <c r="X147" s="294">
        <f t="shared" si="67"/>
        <v>121.42818787721318</v>
      </c>
      <c r="Y147" s="294">
        <f t="shared" si="67"/>
        <v>121.42818787721318</v>
      </c>
      <c r="Z147" s="294">
        <f t="shared" si="67"/>
        <v>121.42818787721318</v>
      </c>
      <c r="AA147" s="294">
        <f t="shared" si="67"/>
        <v>121.42818787721318</v>
      </c>
      <c r="AB147" s="294">
        <f t="shared" si="67"/>
        <v>121.42818787721318</v>
      </c>
    </row>
    <row r="148" spans="1:28" x14ac:dyDescent="0.25">
      <c r="A148" s="103" t="s">
        <v>382</v>
      </c>
      <c r="B148" s="103" t="s">
        <v>345</v>
      </c>
      <c r="C148" s="103"/>
      <c r="D148" s="294">
        <f>+D147*$B$139/1000</f>
        <v>38.750070257908838</v>
      </c>
      <c r="E148" s="294">
        <f t="shared" ref="E148:AB148" si="68">+E147*$B$139/1000</f>
        <v>89.831357007115543</v>
      </c>
      <c r="F148" s="294">
        <f t="shared" si="68"/>
        <v>166.72861102582988</v>
      </c>
      <c r="G148" s="294">
        <f t="shared" si="68"/>
        <v>243.3390808866547</v>
      </c>
      <c r="H148" s="294">
        <f t="shared" si="68"/>
        <v>332.15709685812635</v>
      </c>
      <c r="I148" s="294">
        <f t="shared" si="68"/>
        <v>401.9518958765355</v>
      </c>
      <c r="J148" s="294">
        <f t="shared" si="68"/>
        <v>403.88689584394086</v>
      </c>
      <c r="K148" s="294">
        <f t="shared" si="68"/>
        <v>403.88689584394086</v>
      </c>
      <c r="L148" s="294">
        <f t="shared" si="68"/>
        <v>403.88689584394086</v>
      </c>
      <c r="M148" s="294">
        <f t="shared" si="68"/>
        <v>403.88689584394086</v>
      </c>
      <c r="N148" s="294">
        <f t="shared" si="68"/>
        <v>403.88689584394086</v>
      </c>
      <c r="O148" s="294">
        <f t="shared" si="68"/>
        <v>403.88689584394086</v>
      </c>
      <c r="P148" s="294">
        <f t="shared" si="68"/>
        <v>403.88689584394086</v>
      </c>
      <c r="Q148" s="294">
        <f t="shared" si="68"/>
        <v>403.88689584394086</v>
      </c>
      <c r="R148" s="294">
        <f t="shared" si="68"/>
        <v>403.88689584394086</v>
      </c>
      <c r="S148" s="294">
        <f t="shared" si="68"/>
        <v>403.88689584394086</v>
      </c>
      <c r="T148" s="294">
        <f t="shared" si="68"/>
        <v>403.88689584394086</v>
      </c>
      <c r="U148" s="294">
        <f t="shared" si="68"/>
        <v>403.88689584394086</v>
      </c>
      <c r="V148" s="294">
        <f t="shared" si="68"/>
        <v>403.88689584394086</v>
      </c>
      <c r="W148" s="294">
        <f t="shared" si="68"/>
        <v>403.88689584394086</v>
      </c>
      <c r="X148" s="294">
        <f t="shared" si="68"/>
        <v>403.88689584394086</v>
      </c>
      <c r="Y148" s="294">
        <f t="shared" si="68"/>
        <v>403.88689584394086</v>
      </c>
      <c r="Z148" s="294">
        <f t="shared" si="68"/>
        <v>403.88689584394086</v>
      </c>
      <c r="AA148" s="294">
        <f t="shared" si="68"/>
        <v>403.88689584394086</v>
      </c>
      <c r="AB148" s="294">
        <f t="shared" si="68"/>
        <v>403.88689584394086</v>
      </c>
    </row>
    <row r="150" spans="1:28" x14ac:dyDescent="0.25">
      <c r="A150" s="350"/>
      <c r="B150" s="350"/>
      <c r="C150" s="350"/>
      <c r="D150" s="350"/>
    </row>
    <row r="151" spans="1:28" x14ac:dyDescent="0.25">
      <c r="A151" s="107" t="s">
        <v>389</v>
      </c>
    </row>
    <row r="152" spans="1:28" x14ac:dyDescent="0.25">
      <c r="A152" s="187" t="s">
        <v>379</v>
      </c>
      <c r="B152" s="187" t="s">
        <v>391</v>
      </c>
    </row>
    <row r="153" spans="1:28" x14ac:dyDescent="0.25">
      <c r="A153" s="302" t="s">
        <v>11</v>
      </c>
      <c r="B153" s="187" t="s">
        <v>390</v>
      </c>
      <c r="C153" s="139">
        <f t="shared" ref="C153:AB153" si="69">+C43</f>
        <v>0</v>
      </c>
      <c r="D153" s="139">
        <f t="shared" si="69"/>
        <v>0</v>
      </c>
      <c r="E153" s="139">
        <f t="shared" si="69"/>
        <v>0</v>
      </c>
      <c r="F153" s="139">
        <f t="shared" si="69"/>
        <v>0</v>
      </c>
      <c r="G153" s="139">
        <f t="shared" si="69"/>
        <v>0</v>
      </c>
      <c r="H153" s="139">
        <f t="shared" si="69"/>
        <v>0.12057228384312538</v>
      </c>
      <c r="I153" s="139">
        <f t="shared" si="69"/>
        <v>0.3972433209039975</v>
      </c>
      <c r="J153" s="139">
        <f t="shared" si="69"/>
        <v>0.90951760391429426</v>
      </c>
      <c r="K153" s="139">
        <f t="shared" si="69"/>
        <v>1.654632682086614</v>
      </c>
      <c r="L153" s="139">
        <f t="shared" si="69"/>
        <v>2.6706475933146576</v>
      </c>
      <c r="M153" s="139">
        <f t="shared" si="69"/>
        <v>3.7769009537780134</v>
      </c>
      <c r="N153" s="139">
        <f t="shared" si="69"/>
        <v>4.7281392917171416</v>
      </c>
      <c r="O153" s="139">
        <f t="shared" si="69"/>
        <v>5.4437743837068453</v>
      </c>
      <c r="P153" s="139">
        <f t="shared" si="69"/>
        <v>5.9265686805345252</v>
      </c>
      <c r="Q153" s="139">
        <f t="shared" si="69"/>
        <v>6.1384631443064821</v>
      </c>
      <c r="R153" s="139">
        <f t="shared" si="69"/>
        <v>6.1395468750000006</v>
      </c>
      <c r="S153" s="139">
        <f t="shared" si="69"/>
        <v>6.1395468750000006</v>
      </c>
      <c r="T153" s="139">
        <f t="shared" si="69"/>
        <v>6.1395468750000006</v>
      </c>
      <c r="U153" s="139">
        <f t="shared" si="69"/>
        <v>6.1395468750000006</v>
      </c>
      <c r="V153" s="139">
        <f t="shared" si="69"/>
        <v>6.1395468750000006</v>
      </c>
      <c r="W153" s="139">
        <f t="shared" si="69"/>
        <v>6.1395468750000006</v>
      </c>
      <c r="X153" s="139">
        <f t="shared" si="69"/>
        <v>6.1395468750000006</v>
      </c>
      <c r="Y153" s="139">
        <f t="shared" si="69"/>
        <v>6.1395468750000006</v>
      </c>
      <c r="Z153" s="139">
        <f t="shared" si="69"/>
        <v>6.1395468750000006</v>
      </c>
      <c r="AA153" s="139">
        <f t="shared" si="69"/>
        <v>6.1395468750000006</v>
      </c>
      <c r="AB153" s="139">
        <f t="shared" si="69"/>
        <v>6.1395468750000006</v>
      </c>
    </row>
    <row r="154" spans="1:28" x14ac:dyDescent="0.25">
      <c r="A154" s="302" t="s">
        <v>11</v>
      </c>
      <c r="B154" s="187" t="s">
        <v>390</v>
      </c>
      <c r="C154" s="139">
        <f t="shared" ref="C154:AB154" si="70">+C57</f>
        <v>0</v>
      </c>
      <c r="D154" s="139">
        <f t="shared" si="70"/>
        <v>0</v>
      </c>
      <c r="E154" s="139">
        <f t="shared" si="70"/>
        <v>0</v>
      </c>
      <c r="F154" s="139">
        <f t="shared" si="70"/>
        <v>0</v>
      </c>
      <c r="G154" s="139">
        <f t="shared" si="70"/>
        <v>0.12057228384312538</v>
      </c>
      <c r="H154" s="139">
        <f t="shared" si="70"/>
        <v>0.3972433209039975</v>
      </c>
      <c r="I154" s="139">
        <f t="shared" si="70"/>
        <v>0.90951760391429426</v>
      </c>
      <c r="J154" s="139">
        <f t="shared" si="70"/>
        <v>1.654632682086614</v>
      </c>
      <c r="K154" s="139">
        <f t="shared" si="70"/>
        <v>2.6706475933146576</v>
      </c>
      <c r="L154" s="139">
        <f t="shared" si="70"/>
        <v>3.7769009537780134</v>
      </c>
      <c r="M154" s="139">
        <f t="shared" si="70"/>
        <v>4.7281392917171416</v>
      </c>
      <c r="N154" s="139">
        <f t="shared" si="70"/>
        <v>5.4437743837068453</v>
      </c>
      <c r="O154" s="139">
        <f t="shared" si="70"/>
        <v>5.9265686805345252</v>
      </c>
      <c r="P154" s="139">
        <f t="shared" si="70"/>
        <v>6.1384631443064821</v>
      </c>
      <c r="Q154" s="139">
        <f t="shared" si="70"/>
        <v>6.1395468750000006</v>
      </c>
      <c r="R154" s="139">
        <f t="shared" si="70"/>
        <v>6.1395468750000006</v>
      </c>
      <c r="S154" s="139">
        <f t="shared" si="70"/>
        <v>6.1395468750000006</v>
      </c>
      <c r="T154" s="139">
        <f t="shared" si="70"/>
        <v>6.1395468750000006</v>
      </c>
      <c r="U154" s="139">
        <f t="shared" si="70"/>
        <v>6.1395468750000006</v>
      </c>
      <c r="V154" s="139">
        <f t="shared" si="70"/>
        <v>6.1395468750000006</v>
      </c>
      <c r="W154" s="139">
        <f t="shared" si="70"/>
        <v>6.1395468750000006</v>
      </c>
      <c r="X154" s="139">
        <f t="shared" si="70"/>
        <v>6.1395468750000006</v>
      </c>
      <c r="Y154" s="139">
        <f t="shared" si="70"/>
        <v>6.1395468750000006</v>
      </c>
      <c r="Z154" s="139">
        <f t="shared" si="70"/>
        <v>6.1395468750000006</v>
      </c>
      <c r="AA154" s="139">
        <f t="shared" si="70"/>
        <v>6.1395468750000006</v>
      </c>
      <c r="AB154" s="139">
        <f t="shared" si="70"/>
        <v>6.1395468750000006</v>
      </c>
    </row>
    <row r="155" spans="1:28" x14ac:dyDescent="0.25">
      <c r="A155" s="302" t="s">
        <v>380</v>
      </c>
      <c r="B155" s="187" t="s">
        <v>390</v>
      </c>
      <c r="C155" s="139">
        <f t="shared" ref="C155:AB155" si="71">+C87</f>
        <v>0</v>
      </c>
      <c r="D155" s="139">
        <f t="shared" si="71"/>
        <v>0</v>
      </c>
      <c r="E155" s="139">
        <f t="shared" si="71"/>
        <v>0</v>
      </c>
      <c r="F155" s="139">
        <f t="shared" si="71"/>
        <v>0</v>
      </c>
      <c r="G155" s="139">
        <f t="shared" si="71"/>
        <v>0.24114456768625075</v>
      </c>
      <c r="H155" s="139">
        <f t="shared" si="71"/>
        <v>0.794486641807995</v>
      </c>
      <c r="I155" s="139">
        <f t="shared" si="71"/>
        <v>1.8190352078285885</v>
      </c>
      <c r="J155" s="139">
        <f t="shared" si="71"/>
        <v>3.3092653641732279</v>
      </c>
      <c r="K155" s="139">
        <f t="shared" si="71"/>
        <v>5.3412951866293152</v>
      </c>
      <c r="L155" s="139">
        <f t="shared" si="71"/>
        <v>7.5538019075560259</v>
      </c>
      <c r="M155" s="139">
        <f t="shared" si="71"/>
        <v>9.4562785834342815</v>
      </c>
      <c r="N155" s="139">
        <f t="shared" si="71"/>
        <v>10.887548767413687</v>
      </c>
      <c r="O155" s="139">
        <f t="shared" si="71"/>
        <v>11.853137361069049</v>
      </c>
      <c r="P155" s="139">
        <f t="shared" si="71"/>
        <v>12.276926288612959</v>
      </c>
      <c r="Q155" s="139">
        <f t="shared" si="71"/>
        <v>12.279093749999998</v>
      </c>
      <c r="R155" s="139">
        <f t="shared" si="71"/>
        <v>12.279093749999998</v>
      </c>
      <c r="S155" s="139">
        <f t="shared" si="71"/>
        <v>12.279093749999998</v>
      </c>
      <c r="T155" s="139">
        <f t="shared" si="71"/>
        <v>12.279093749999998</v>
      </c>
      <c r="U155" s="139">
        <f t="shared" si="71"/>
        <v>12.279093749999998</v>
      </c>
      <c r="V155" s="139">
        <f t="shared" si="71"/>
        <v>12.279093749999998</v>
      </c>
      <c r="W155" s="139">
        <f t="shared" si="71"/>
        <v>12.279093749999998</v>
      </c>
      <c r="X155" s="139">
        <f t="shared" si="71"/>
        <v>12.279093749999998</v>
      </c>
      <c r="Y155" s="139">
        <f t="shared" si="71"/>
        <v>12.279093749999998</v>
      </c>
      <c r="Z155" s="139">
        <f t="shared" si="71"/>
        <v>12.279093749999998</v>
      </c>
      <c r="AA155" s="139">
        <f t="shared" si="71"/>
        <v>12.279093749999998</v>
      </c>
      <c r="AB155" s="139">
        <f t="shared" si="71"/>
        <v>12.279093749999998</v>
      </c>
    </row>
    <row r="156" spans="1:28" x14ac:dyDescent="0.25">
      <c r="A156" s="302" t="s">
        <v>14</v>
      </c>
      <c r="B156" s="187" t="s">
        <v>390</v>
      </c>
      <c r="C156" s="139">
        <f t="shared" ref="C156:AB156" si="72">+C116</f>
        <v>0</v>
      </c>
      <c r="D156" s="139">
        <f t="shared" si="72"/>
        <v>0</v>
      </c>
      <c r="E156" s="139">
        <f t="shared" si="72"/>
        <v>0</v>
      </c>
      <c r="F156" s="139">
        <f t="shared" si="72"/>
        <v>0</v>
      </c>
      <c r="G156" s="139">
        <f t="shared" si="72"/>
        <v>0</v>
      </c>
      <c r="H156" s="139">
        <f t="shared" si="72"/>
        <v>0.19107167553191487</v>
      </c>
      <c r="I156" s="139">
        <f t="shared" si="72"/>
        <v>0.64521857292833129</v>
      </c>
      <c r="J156" s="139">
        <f t="shared" si="72"/>
        <v>1.492978020016797</v>
      </c>
      <c r="K156" s="139">
        <f t="shared" si="72"/>
        <v>2.7403042651175809</v>
      </c>
      <c r="L156" s="139">
        <f t="shared" si="72"/>
        <v>4.4470964340705486</v>
      </c>
      <c r="M156" s="139">
        <f t="shared" si="72"/>
        <v>6.332018589725644</v>
      </c>
      <c r="N156" s="139">
        <f t="shared" si="72"/>
        <v>7.9828591923292276</v>
      </c>
      <c r="O156" s="139">
        <f t="shared" si="72"/>
        <v>9.2400872452407619</v>
      </c>
      <c r="P156" s="139">
        <f t="shared" si="72"/>
        <v>10.097748500139978</v>
      </c>
      <c r="Q156" s="139">
        <f t="shared" si="72"/>
        <v>10.495943831187009</v>
      </c>
      <c r="R156" s="139">
        <f t="shared" si="72"/>
        <v>10.5249375</v>
      </c>
      <c r="S156" s="139">
        <f t="shared" si="72"/>
        <v>10.5249375</v>
      </c>
      <c r="T156" s="139">
        <f t="shared" si="72"/>
        <v>10.5249375</v>
      </c>
      <c r="U156" s="139">
        <f t="shared" si="72"/>
        <v>10.5249375</v>
      </c>
      <c r="V156" s="139">
        <f t="shared" si="72"/>
        <v>10.5249375</v>
      </c>
      <c r="W156" s="139">
        <f t="shared" si="72"/>
        <v>10.5249375</v>
      </c>
      <c r="X156" s="139">
        <f t="shared" si="72"/>
        <v>10.5249375</v>
      </c>
      <c r="Y156" s="139">
        <f t="shared" si="72"/>
        <v>10.5249375</v>
      </c>
      <c r="Z156" s="139">
        <f t="shared" si="72"/>
        <v>10.5249375</v>
      </c>
      <c r="AA156" s="139">
        <f t="shared" si="72"/>
        <v>10.5249375</v>
      </c>
      <c r="AB156" s="139">
        <f t="shared" si="72"/>
        <v>10.5249375</v>
      </c>
    </row>
    <row r="157" spans="1:28" x14ac:dyDescent="0.25">
      <c r="A157" s="187" t="s">
        <v>31</v>
      </c>
      <c r="B157" s="187" t="s">
        <v>390</v>
      </c>
      <c r="C157" s="139">
        <f>+SUM(C153:C156)</f>
        <v>0</v>
      </c>
      <c r="D157" s="139">
        <f t="shared" ref="D157:AB157" si="73">+SUM(D153:D156)</f>
        <v>0</v>
      </c>
      <c r="E157" s="139">
        <f t="shared" si="73"/>
        <v>0</v>
      </c>
      <c r="F157" s="139">
        <f t="shared" si="73"/>
        <v>0</v>
      </c>
      <c r="G157" s="139">
        <f t="shared" si="73"/>
        <v>0.36171685152937616</v>
      </c>
      <c r="H157" s="139">
        <f t="shared" si="73"/>
        <v>1.5033739220870328</v>
      </c>
      <c r="I157" s="139">
        <f t="shared" si="73"/>
        <v>3.7710147055752117</v>
      </c>
      <c r="J157" s="139">
        <f t="shared" si="73"/>
        <v>7.3663936701909334</v>
      </c>
      <c r="K157" s="139">
        <f t="shared" si="73"/>
        <v>12.406879727148167</v>
      </c>
      <c r="L157" s="139">
        <f t="shared" si="73"/>
        <v>18.448446888719246</v>
      </c>
      <c r="M157" s="139">
        <f t="shared" si="73"/>
        <v>24.293337418655078</v>
      </c>
      <c r="N157" s="139">
        <f t="shared" si="73"/>
        <v>29.0423216351669</v>
      </c>
      <c r="O157" s="139">
        <f t="shared" si="73"/>
        <v>32.463567670551186</v>
      </c>
      <c r="P157" s="139">
        <f t="shared" si="73"/>
        <v>34.439706613593941</v>
      </c>
      <c r="Q157" s="139">
        <f t="shared" si="73"/>
        <v>35.053047600493485</v>
      </c>
      <c r="R157" s="139">
        <f t="shared" si="73"/>
        <v>35.083124999999995</v>
      </c>
      <c r="S157" s="139">
        <f t="shared" si="73"/>
        <v>35.083124999999995</v>
      </c>
      <c r="T157" s="139">
        <f t="shared" si="73"/>
        <v>35.083124999999995</v>
      </c>
      <c r="U157" s="139">
        <f t="shared" si="73"/>
        <v>35.083124999999995</v>
      </c>
      <c r="V157" s="139">
        <f t="shared" si="73"/>
        <v>35.083124999999995</v>
      </c>
      <c r="W157" s="139">
        <f t="shared" si="73"/>
        <v>35.083124999999995</v>
      </c>
      <c r="X157" s="139">
        <f t="shared" si="73"/>
        <v>35.083124999999995</v>
      </c>
      <c r="Y157" s="139">
        <f t="shared" si="73"/>
        <v>35.083124999999995</v>
      </c>
      <c r="Z157" s="139">
        <f t="shared" si="73"/>
        <v>35.083124999999995</v>
      </c>
      <c r="AA157" s="139">
        <f t="shared" si="73"/>
        <v>35.083124999999995</v>
      </c>
      <c r="AB157" s="139">
        <f t="shared" si="73"/>
        <v>35.083124999999995</v>
      </c>
    </row>
    <row r="158" spans="1:28" x14ac:dyDescent="0.25">
      <c r="B158" s="187" t="s">
        <v>397</v>
      </c>
      <c r="C158" s="139">
        <f>+C157/10</f>
        <v>0</v>
      </c>
      <c r="D158" s="139">
        <f t="shared" ref="D158:AB158" si="74">+D157/10</f>
        <v>0</v>
      </c>
      <c r="E158" s="139">
        <f t="shared" si="74"/>
        <v>0</v>
      </c>
      <c r="F158" s="139">
        <f t="shared" si="74"/>
        <v>0</v>
      </c>
      <c r="G158" s="139">
        <f t="shared" si="74"/>
        <v>3.6171685152937616E-2</v>
      </c>
      <c r="H158" s="139">
        <f t="shared" si="74"/>
        <v>0.15033739220870329</v>
      </c>
      <c r="I158" s="139">
        <f t="shared" si="74"/>
        <v>0.37710147055752119</v>
      </c>
      <c r="J158" s="139">
        <f t="shared" si="74"/>
        <v>0.73663936701909338</v>
      </c>
      <c r="K158" s="139">
        <f t="shared" si="74"/>
        <v>1.2406879727148168</v>
      </c>
      <c r="L158" s="139">
        <f t="shared" si="74"/>
        <v>1.8448446888719245</v>
      </c>
      <c r="M158" s="139">
        <f t="shared" si="74"/>
        <v>2.4293337418655079</v>
      </c>
      <c r="N158" s="139">
        <f t="shared" si="74"/>
        <v>2.9042321635166899</v>
      </c>
      <c r="O158" s="139">
        <f t="shared" si="74"/>
        <v>3.2463567670551186</v>
      </c>
      <c r="P158" s="139">
        <f t="shared" si="74"/>
        <v>3.4439706613593941</v>
      </c>
      <c r="Q158" s="139">
        <f t="shared" si="74"/>
        <v>3.5053047600493485</v>
      </c>
      <c r="R158" s="139">
        <f t="shared" si="74"/>
        <v>3.5083124999999997</v>
      </c>
      <c r="S158" s="139">
        <f t="shared" si="74"/>
        <v>3.5083124999999997</v>
      </c>
      <c r="T158" s="139">
        <f t="shared" si="74"/>
        <v>3.5083124999999997</v>
      </c>
      <c r="U158" s="139">
        <f t="shared" si="74"/>
        <v>3.5083124999999997</v>
      </c>
      <c r="V158" s="139">
        <f t="shared" si="74"/>
        <v>3.5083124999999997</v>
      </c>
      <c r="W158" s="139">
        <f t="shared" si="74"/>
        <v>3.5083124999999997</v>
      </c>
      <c r="X158" s="139">
        <f t="shared" si="74"/>
        <v>3.5083124999999997</v>
      </c>
      <c r="Y158" s="139">
        <f t="shared" si="74"/>
        <v>3.5083124999999997</v>
      </c>
      <c r="Z158" s="139">
        <f t="shared" si="74"/>
        <v>3.5083124999999997</v>
      </c>
      <c r="AA158" s="139">
        <f t="shared" si="74"/>
        <v>3.5083124999999997</v>
      </c>
      <c r="AB158" s="139">
        <f t="shared" si="74"/>
        <v>3.5083124999999997</v>
      </c>
    </row>
    <row r="159" spans="1:28" x14ac:dyDescent="0.25">
      <c r="A159" s="187" t="s">
        <v>392</v>
      </c>
      <c r="B159" s="187" t="s">
        <v>391</v>
      </c>
    </row>
    <row r="160" spans="1:28" x14ac:dyDescent="0.25">
      <c r="A160" s="302" t="s">
        <v>11</v>
      </c>
      <c r="B160" s="300" t="s">
        <v>393</v>
      </c>
      <c r="C160" s="112">
        <f>+C55</f>
        <v>0</v>
      </c>
      <c r="D160" s="112">
        <f t="shared" ref="D160:AB160" si="75">+D55</f>
        <v>0</v>
      </c>
      <c r="E160" s="112">
        <f t="shared" si="75"/>
        <v>0</v>
      </c>
      <c r="F160" s="112">
        <f t="shared" si="75"/>
        <v>0</v>
      </c>
      <c r="G160" s="112">
        <f t="shared" si="75"/>
        <v>0</v>
      </c>
      <c r="H160" s="112">
        <f t="shared" si="75"/>
        <v>0.38529832505344463</v>
      </c>
      <c r="I160" s="112">
        <f t="shared" si="75"/>
        <v>1.4588509213865757</v>
      </c>
      <c r="J160" s="112">
        <f t="shared" si="75"/>
        <v>3.7996349319287361</v>
      </c>
      <c r="K160" s="112">
        <f t="shared" si="75"/>
        <v>7.7252492965164716</v>
      </c>
      <c r="L160" s="112">
        <f t="shared" si="75"/>
        <v>13.795015946927915</v>
      </c>
      <c r="M160" s="112">
        <f t="shared" si="75"/>
        <v>21.617064827564256</v>
      </c>
      <c r="N160" s="112">
        <f t="shared" si="75"/>
        <v>29.651501518918717</v>
      </c>
      <c r="O160" s="112">
        <f t="shared" si="75"/>
        <v>37.31615083968974</v>
      </c>
      <c r="P160" s="112">
        <f t="shared" si="75"/>
        <v>44.303963193318559</v>
      </c>
      <c r="Q160" s="112">
        <f t="shared" si="75"/>
        <v>50.066312460003225</v>
      </c>
      <c r="R160" s="112">
        <f t="shared" si="75"/>
        <v>54.620576372141343</v>
      </c>
      <c r="S160" s="112">
        <f t="shared" si="75"/>
        <v>59.214610703103865</v>
      </c>
      <c r="T160" s="112">
        <f t="shared" si="75"/>
        <v>63.862643209050525</v>
      </c>
      <c r="U160" s="112">
        <f t="shared" si="75"/>
        <v>68.565267812854486</v>
      </c>
      <c r="V160" s="112">
        <f t="shared" si="75"/>
        <v>73.323046659039917</v>
      </c>
      <c r="W160" s="112">
        <f t="shared" si="75"/>
        <v>78.136547546023323</v>
      </c>
      <c r="X160" s="112">
        <f t="shared" si="75"/>
        <v>83.00634398271734</v>
      </c>
      <c r="Y160" s="112">
        <f t="shared" si="75"/>
        <v>87.933015245700744</v>
      </c>
      <c r="Z160" s="112">
        <f t="shared" si="75"/>
        <v>92.917146436960294</v>
      </c>
      <c r="AA160" s="112">
        <f t="shared" si="75"/>
        <v>97.959328542210073</v>
      </c>
      <c r="AB160" s="112">
        <f t="shared" si="75"/>
        <v>103.06015848979412</v>
      </c>
    </row>
    <row r="161" spans="1:28" x14ac:dyDescent="0.25">
      <c r="A161" s="302" t="s">
        <v>11</v>
      </c>
      <c r="B161" s="300" t="s">
        <v>393</v>
      </c>
      <c r="C161" s="112">
        <f>+C69</f>
        <v>0</v>
      </c>
      <c r="D161" s="112">
        <f t="shared" ref="D161:AB161" si="76">+D69</f>
        <v>0</v>
      </c>
      <c r="E161" s="112">
        <f t="shared" si="76"/>
        <v>0</v>
      </c>
      <c r="F161" s="112">
        <f t="shared" si="76"/>
        <v>0</v>
      </c>
      <c r="G161" s="362">
        <f t="shared" si="76"/>
        <v>21.3438316067176</v>
      </c>
      <c r="H161" s="112">
        <f t="shared" si="76"/>
        <v>70.430882671988229</v>
      </c>
      <c r="I161" s="112">
        <f t="shared" si="76"/>
        <v>161.36766699652898</v>
      </c>
      <c r="J161" s="112">
        <f t="shared" si="76"/>
        <v>293.73800597863328</v>
      </c>
      <c r="K161" s="112">
        <f t="shared" si="76"/>
        <v>474.27661959824951</v>
      </c>
      <c r="L161" s="112">
        <f t="shared" si="76"/>
        <v>671.03750654446173</v>
      </c>
      <c r="M161" s="112">
        <f t="shared" si="76"/>
        <v>840.44013891078646</v>
      </c>
      <c r="N161" s="112">
        <f t="shared" si="76"/>
        <v>967.99403081338642</v>
      </c>
      <c r="O161" s="112">
        <f t="shared" si="76"/>
        <v>1054.1143680584228</v>
      </c>
      <c r="P161" s="112">
        <f t="shared" si="76"/>
        <v>1092.0664306659471</v>
      </c>
      <c r="Q161" s="112">
        <f t="shared" si="76"/>
        <v>1092.452388340158</v>
      </c>
      <c r="R161" s="112">
        <f t="shared" si="76"/>
        <v>1092.453381135703</v>
      </c>
      <c r="S161" s="112">
        <f t="shared" si="76"/>
        <v>1092.453381135703</v>
      </c>
      <c r="T161" s="362">
        <f t="shared" si="76"/>
        <v>1092.453381135703</v>
      </c>
      <c r="U161" s="112">
        <f t="shared" si="76"/>
        <v>1092.453381135703</v>
      </c>
      <c r="V161" s="112">
        <f t="shared" si="76"/>
        <v>1092.453381135703</v>
      </c>
      <c r="W161" s="112">
        <f t="shared" si="76"/>
        <v>1092.453381135703</v>
      </c>
      <c r="X161" s="112">
        <f t="shared" si="76"/>
        <v>1092.453381135703</v>
      </c>
      <c r="Y161" s="112">
        <f t="shared" si="76"/>
        <v>1092.453381135703</v>
      </c>
      <c r="Z161" s="112">
        <f t="shared" si="76"/>
        <v>1092.453381135703</v>
      </c>
      <c r="AA161" s="112">
        <f t="shared" si="76"/>
        <v>1092.453381135703</v>
      </c>
      <c r="AB161" s="112">
        <f t="shared" si="76"/>
        <v>1092.453381135703</v>
      </c>
    </row>
    <row r="162" spans="1:28" x14ac:dyDescent="0.25">
      <c r="A162" s="302" t="s">
        <v>380</v>
      </c>
      <c r="B162" s="300" t="s">
        <v>393</v>
      </c>
      <c r="C162" s="112">
        <f>+C99</f>
        <v>0</v>
      </c>
      <c r="D162" s="112">
        <f t="shared" ref="D162:AB162" si="77">+D99</f>
        <v>0</v>
      </c>
      <c r="E162" s="112">
        <f t="shared" si="77"/>
        <v>0</v>
      </c>
      <c r="F162" s="112">
        <f t="shared" si="77"/>
        <v>0</v>
      </c>
      <c r="G162" s="112">
        <f t="shared" si="77"/>
        <v>3.0976289733053699</v>
      </c>
      <c r="H162" s="112">
        <f t="shared" si="77"/>
        <v>11.714303463534137</v>
      </c>
      <c r="I162" s="112">
        <f t="shared" si="77"/>
        <v>30.474879549124342</v>
      </c>
      <c r="J162" s="112">
        <f t="shared" si="77"/>
        <v>61.895487155878534</v>
      </c>
      <c r="K162" s="112">
        <f t="shared" si="77"/>
        <v>110.41726586450589</v>
      </c>
      <c r="L162" s="112">
        <f t="shared" si="77"/>
        <v>172.85124763815691</v>
      </c>
      <c r="M162" s="112">
        <f t="shared" si="77"/>
        <v>236.8740684122605</v>
      </c>
      <c r="N162" s="112">
        <f t="shared" si="77"/>
        <v>297.82159164774947</v>
      </c>
      <c r="O162" s="112">
        <f t="shared" si="77"/>
        <v>353.24807204598545</v>
      </c>
      <c r="P162" s="112">
        <f t="shared" si="77"/>
        <v>398.78375991309855</v>
      </c>
      <c r="Q162" s="112">
        <f t="shared" si="77"/>
        <v>434.59209809834027</v>
      </c>
      <c r="R162" s="112">
        <f t="shared" si="77"/>
        <v>470.64785894622833</v>
      </c>
      <c r="S162" s="112">
        <f t="shared" si="77"/>
        <v>507.06387598919241</v>
      </c>
      <c r="T162" s="112">
        <f t="shared" si="77"/>
        <v>543.84405320258588</v>
      </c>
      <c r="U162" s="112">
        <f t="shared" si="77"/>
        <v>580.99203218811328</v>
      </c>
      <c r="V162" s="112">
        <f t="shared" si="77"/>
        <v>618.51149096349593</v>
      </c>
      <c r="W162" s="112">
        <f t="shared" si="77"/>
        <v>656.40614432663244</v>
      </c>
      <c r="X162" s="112">
        <f t="shared" si="77"/>
        <v>694.67974422340035</v>
      </c>
      <c r="Y162" s="112">
        <f t="shared" si="77"/>
        <v>733.33608011913611</v>
      </c>
      <c r="Z162" s="112">
        <f t="shared" si="77"/>
        <v>772.378979373829</v>
      </c>
      <c r="AA162" s="112">
        <f t="shared" si="77"/>
        <v>811.81230762106884</v>
      </c>
      <c r="AB162" s="112">
        <f t="shared" si="77"/>
        <v>851.63996915078133</v>
      </c>
    </row>
    <row r="163" spans="1:28" x14ac:dyDescent="0.25">
      <c r="A163" s="302" t="s">
        <v>14</v>
      </c>
      <c r="B163" s="300" t="s">
        <v>393</v>
      </c>
      <c r="C163" s="112">
        <f>+C129</f>
        <v>0</v>
      </c>
      <c r="D163" s="112">
        <f t="shared" ref="D163:AB163" si="78">+D129</f>
        <v>0</v>
      </c>
      <c r="E163" s="112">
        <f t="shared" si="78"/>
        <v>0</v>
      </c>
      <c r="F163" s="112">
        <f t="shared" si="78"/>
        <v>0</v>
      </c>
      <c r="G163" s="112">
        <f t="shared" si="78"/>
        <v>0</v>
      </c>
      <c r="H163" s="112">
        <f t="shared" si="78"/>
        <v>1.5098421678834828</v>
      </c>
      <c r="I163" s="112">
        <f t="shared" si="78"/>
        <v>5.9840236367395763</v>
      </c>
      <c r="J163" s="112">
        <f t="shared" si="78"/>
        <v>15.889995879653625</v>
      </c>
      <c r="K163" s="112">
        <f t="shared" si="78"/>
        <v>32.850426884954068</v>
      </c>
      <c r="L163" s="112">
        <f t="shared" si="78"/>
        <v>59.246671612720732</v>
      </c>
      <c r="M163" s="112">
        <f t="shared" si="78"/>
        <v>93.896928696310653</v>
      </c>
      <c r="N163" s="112">
        <f t="shared" si="78"/>
        <v>130.51401587272679</v>
      </c>
      <c r="O163" s="112">
        <f t="shared" si="78"/>
        <v>165.76945013383738</v>
      </c>
      <c r="P163" s="112">
        <f t="shared" si="78"/>
        <v>198.03939219900866</v>
      </c>
      <c r="Q163" s="112">
        <f t="shared" si="78"/>
        <v>224.98317677382531</v>
      </c>
      <c r="R163" s="112">
        <f t="shared" si="78"/>
        <v>246.31385961936792</v>
      </c>
      <c r="S163" s="112">
        <f t="shared" si="78"/>
        <v>266.90563339348876</v>
      </c>
      <c r="T163" s="112">
        <f t="shared" si="78"/>
        <v>287.66145223445812</v>
      </c>
      <c r="U163" s="112">
        <f t="shared" si="78"/>
        <v>308.624829263837</v>
      </c>
      <c r="V163" s="112">
        <f t="shared" si="78"/>
        <v>329.79784006350997</v>
      </c>
      <c r="W163" s="112">
        <f t="shared" si="78"/>
        <v>351.18258097117933</v>
      </c>
      <c r="X163" s="112">
        <f t="shared" si="78"/>
        <v>372.78116928792559</v>
      </c>
      <c r="Y163" s="112">
        <f t="shared" si="78"/>
        <v>394.59574348783934</v>
      </c>
      <c r="Z163" s="112">
        <f t="shared" si="78"/>
        <v>416.62846342975217</v>
      </c>
      <c r="AA163" s="112">
        <f t="shared" si="78"/>
        <v>438.88151057108416</v>
      </c>
      <c r="AB163" s="112">
        <f t="shared" si="78"/>
        <v>461.35708818382943</v>
      </c>
    </row>
    <row r="164" spans="1:28" x14ac:dyDescent="0.25">
      <c r="A164" s="187" t="s">
        <v>31</v>
      </c>
      <c r="B164" s="300" t="s">
        <v>393</v>
      </c>
      <c r="C164" s="112">
        <f>+SUM(C160:C163)</f>
        <v>0</v>
      </c>
      <c r="D164" s="112">
        <f t="shared" ref="D164:AB164" si="79">+SUM(D160:D163)</f>
        <v>0</v>
      </c>
      <c r="E164" s="112">
        <f t="shared" si="79"/>
        <v>0</v>
      </c>
      <c r="F164" s="112">
        <f t="shared" si="79"/>
        <v>0</v>
      </c>
      <c r="G164" s="364">
        <f t="shared" si="79"/>
        <v>24.441460580022969</v>
      </c>
      <c r="H164" s="112">
        <f t="shared" si="79"/>
        <v>84.040326628459283</v>
      </c>
      <c r="I164" s="112">
        <f t="shared" si="79"/>
        <v>199.2854211037795</v>
      </c>
      <c r="J164" s="112">
        <f t="shared" si="79"/>
        <v>375.32312394609414</v>
      </c>
      <c r="K164" s="112">
        <f t="shared" si="79"/>
        <v>625.26956164422597</v>
      </c>
      <c r="L164" s="112">
        <f t="shared" si="79"/>
        <v>916.93044174226736</v>
      </c>
      <c r="M164" s="112">
        <f t="shared" si="79"/>
        <v>1192.8282008469218</v>
      </c>
      <c r="N164" s="112">
        <f t="shared" si="79"/>
        <v>1425.9811398527813</v>
      </c>
      <c r="O164" s="112">
        <f t="shared" si="79"/>
        <v>1610.4480410779354</v>
      </c>
      <c r="P164" s="112">
        <f t="shared" si="79"/>
        <v>1733.1935459713729</v>
      </c>
      <c r="Q164" s="112">
        <f t="shared" si="79"/>
        <v>1802.0939756723269</v>
      </c>
      <c r="R164" s="112">
        <f t="shared" si="79"/>
        <v>1864.0356760734408</v>
      </c>
      <c r="S164" s="112">
        <f t="shared" si="79"/>
        <v>1925.637501221488</v>
      </c>
      <c r="T164" s="362">
        <f t="shared" si="79"/>
        <v>1987.8215297817974</v>
      </c>
      <c r="U164" s="112">
        <f t="shared" si="79"/>
        <v>2050.6355104005079</v>
      </c>
      <c r="V164" s="112">
        <f t="shared" si="79"/>
        <v>2114.0857588217486</v>
      </c>
      <c r="W164" s="112">
        <f t="shared" si="79"/>
        <v>2178.1786539795385</v>
      </c>
      <c r="X164" s="112">
        <f t="shared" si="79"/>
        <v>2242.9206386297465</v>
      </c>
      <c r="Y164" s="112">
        <f t="shared" si="79"/>
        <v>2308.318219988379</v>
      </c>
      <c r="Z164" s="112">
        <f t="shared" si="79"/>
        <v>2374.3779703762448</v>
      </c>
      <c r="AA164" s="112">
        <f t="shared" si="79"/>
        <v>2441.1065278700662</v>
      </c>
      <c r="AB164" s="112">
        <f t="shared" si="79"/>
        <v>2508.5105969601077</v>
      </c>
    </row>
    <row r="165" spans="1:28" x14ac:dyDescent="0.25">
      <c r="C165" s="187" t="e">
        <f>+C164/C158*1000</f>
        <v>#DIV/0!</v>
      </c>
      <c r="D165" s="187" t="e">
        <f>+D164/D158*1000</f>
        <v>#DIV/0!</v>
      </c>
      <c r="E165" s="187" t="e">
        <f>+E164/E158*1000</f>
        <v>#DIV/0!</v>
      </c>
      <c r="F165" s="187" t="e">
        <f>+F164/F158*1000</f>
        <v>#DIV/0!</v>
      </c>
      <c r="G165" s="112">
        <f>+(G164/(G158*1000))*1000</f>
        <v>675.70699226983629</v>
      </c>
    </row>
    <row r="166" spans="1:28" x14ac:dyDescent="0.25">
      <c r="A166" s="187" t="s">
        <v>394</v>
      </c>
      <c r="B166" s="187" t="s">
        <v>391</v>
      </c>
      <c r="C166" s="187" t="s">
        <v>353</v>
      </c>
      <c r="D166" s="187" t="s">
        <v>354</v>
      </c>
      <c r="E166" s="187" t="s">
        <v>355</v>
      </c>
      <c r="F166" s="187" t="s">
        <v>356</v>
      </c>
      <c r="G166" s="187" t="s">
        <v>357</v>
      </c>
      <c r="H166" s="187" t="s">
        <v>358</v>
      </c>
      <c r="I166" s="187" t="s">
        <v>359</v>
      </c>
      <c r="J166" s="187" t="s">
        <v>360</v>
      </c>
      <c r="K166" s="187" t="s">
        <v>361</v>
      </c>
      <c r="L166" s="187" t="s">
        <v>362</v>
      </c>
      <c r="M166" s="187" t="s">
        <v>363</v>
      </c>
      <c r="N166" s="187" t="s">
        <v>364</v>
      </c>
      <c r="O166" s="187" t="s">
        <v>365</v>
      </c>
      <c r="P166" s="187" t="s">
        <v>366</v>
      </c>
      <c r="Q166" s="187" t="s">
        <v>367</v>
      </c>
      <c r="R166" s="187" t="s">
        <v>368</v>
      </c>
      <c r="S166" s="187" t="s">
        <v>369</v>
      </c>
      <c r="T166" s="187" t="s">
        <v>370</v>
      </c>
      <c r="U166" s="187" t="s">
        <v>371</v>
      </c>
      <c r="V166" s="187" t="s">
        <v>372</v>
      </c>
      <c r="W166" s="187" t="s">
        <v>373</v>
      </c>
      <c r="X166" s="187" t="s">
        <v>374</v>
      </c>
      <c r="Y166" s="187" t="s">
        <v>375</v>
      </c>
      <c r="Z166" s="187" t="s">
        <v>376</v>
      </c>
      <c r="AA166" s="187" t="s">
        <v>377</v>
      </c>
      <c r="AB166" s="187" t="s">
        <v>396</v>
      </c>
    </row>
    <row r="167" spans="1:28" x14ac:dyDescent="0.25">
      <c r="A167" s="302" t="s">
        <v>11</v>
      </c>
      <c r="B167" s="300"/>
      <c r="G167" s="112">
        <f>+G160*$B$169/1000</f>
        <v>0</v>
      </c>
      <c r="H167" s="112">
        <f t="shared" ref="H167:AB167" si="80">+H160*$B$169/1000</f>
        <v>1.2815553554753165</v>
      </c>
      <c r="I167" s="112">
        <f t="shared" si="80"/>
        <v>4.852339316252503</v>
      </c>
      <c r="J167" s="112">
        <f t="shared" si="80"/>
        <v>12.638109691208552</v>
      </c>
      <c r="K167" s="112">
        <f t="shared" si="80"/>
        <v>25.695244345947604</v>
      </c>
      <c r="L167" s="112">
        <f t="shared" si="80"/>
        <v>45.884125146925058</v>
      </c>
      <c r="M167" s="112">
        <f t="shared" si="80"/>
        <v>71.901338256737375</v>
      </c>
      <c r="N167" s="112">
        <f t="shared" si="80"/>
        <v>98.624982509809229</v>
      </c>
      <c r="O167" s="112">
        <f t="shared" si="80"/>
        <v>124.11866298068034</v>
      </c>
      <c r="P167" s="112">
        <f t="shared" si="80"/>
        <v>147.36109037407067</v>
      </c>
      <c r="Q167" s="112">
        <f t="shared" si="80"/>
        <v>166.5274585689354</v>
      </c>
      <c r="R167" s="112">
        <f t="shared" si="80"/>
        <v>181.67556829933451</v>
      </c>
      <c r="S167" s="112">
        <f t="shared" si="80"/>
        <v>196.95595992643496</v>
      </c>
      <c r="T167" s="112">
        <f t="shared" si="80"/>
        <v>212.41595692899929</v>
      </c>
      <c r="U167" s="112">
        <f t="shared" si="80"/>
        <v>228.05753477639584</v>
      </c>
      <c r="V167" s="112">
        <f t="shared" si="80"/>
        <v>243.88256323882257</v>
      </c>
      <c r="W167" s="112">
        <f t="shared" si="80"/>
        <v>259.89293089210292</v>
      </c>
      <c r="X167" s="112">
        <f t="shared" si="80"/>
        <v>276.09054530595785</v>
      </c>
      <c r="Y167" s="112">
        <f t="shared" si="80"/>
        <v>292.47733323416111</v>
      </c>
      <c r="Z167" s="112">
        <f t="shared" si="80"/>
        <v>309.05524080659666</v>
      </c>
      <c r="AA167" s="112">
        <f t="shared" si="80"/>
        <v>325.8262337232369</v>
      </c>
      <c r="AB167" s="112">
        <f t="shared" si="80"/>
        <v>342.79229745006069</v>
      </c>
    </row>
    <row r="168" spans="1:28" x14ac:dyDescent="0.25">
      <c r="A168" s="302" t="s">
        <v>11</v>
      </c>
      <c r="B168" s="187" t="s">
        <v>395</v>
      </c>
      <c r="G168" s="362">
        <f>+G161*$B$169/1000</f>
        <v>70.992526889801823</v>
      </c>
      <c r="H168" s="112">
        <f t="shared" ref="H168:AB168" si="81">+H161*$B$169/1000</f>
        <v>234.26282703570044</v>
      </c>
      <c r="I168" s="112">
        <f t="shared" si="81"/>
        <v>536.73111039679134</v>
      </c>
      <c r="J168" s="112">
        <f t="shared" si="81"/>
        <v>977.01310955956512</v>
      </c>
      <c r="K168" s="112">
        <f t="shared" si="81"/>
        <v>1577.5094317852452</v>
      </c>
      <c r="L168" s="112">
        <f t="shared" si="81"/>
        <v>2231.9632718817847</v>
      </c>
      <c r="M168" s="112">
        <f t="shared" si="81"/>
        <v>2795.4197849890397</v>
      </c>
      <c r="N168" s="112">
        <f t="shared" si="81"/>
        <v>3219.6816170559769</v>
      </c>
      <c r="O168" s="112">
        <f t="shared" si="81"/>
        <v>3506.1297333212306</v>
      </c>
      <c r="P168" s="112">
        <f t="shared" si="81"/>
        <v>3632.363526523578</v>
      </c>
      <c r="Q168" s="112">
        <f t="shared" si="81"/>
        <v>3633.6472749652644</v>
      </c>
      <c r="R168" s="112">
        <f t="shared" si="81"/>
        <v>3633.6505771401376</v>
      </c>
      <c r="S168" s="112">
        <f t="shared" si="81"/>
        <v>3633.6505771401376</v>
      </c>
      <c r="T168" s="362">
        <f t="shared" si="81"/>
        <v>3633.6505771401376</v>
      </c>
      <c r="U168" s="112">
        <f t="shared" si="81"/>
        <v>3633.6505771401376</v>
      </c>
      <c r="V168" s="112">
        <f t="shared" si="81"/>
        <v>3633.6505771401376</v>
      </c>
      <c r="W168" s="112">
        <f t="shared" si="81"/>
        <v>3633.6505771401376</v>
      </c>
      <c r="X168" s="112">
        <f t="shared" si="81"/>
        <v>3633.6505771401376</v>
      </c>
      <c r="Y168" s="112">
        <f t="shared" si="81"/>
        <v>3633.6505771401376</v>
      </c>
      <c r="Z168" s="112">
        <f t="shared" si="81"/>
        <v>3633.6505771401376</v>
      </c>
      <c r="AA168" s="112">
        <f t="shared" si="81"/>
        <v>3633.6505771401376</v>
      </c>
      <c r="AB168" s="112">
        <f t="shared" si="81"/>
        <v>3633.6505771401376</v>
      </c>
    </row>
    <row r="169" spans="1:28" x14ac:dyDescent="0.25">
      <c r="A169" s="302" t="s">
        <v>380</v>
      </c>
      <c r="B169" s="303">
        <f>+B139</f>
        <v>3326.1378836711847</v>
      </c>
      <c r="G169" s="112">
        <f>+G162*$B$169/1000</f>
        <v>10.303141077668467</v>
      </c>
      <c r="H169" s="112">
        <f t="shared" ref="H169:AB169" si="82">+H162*$B$169/1000</f>
        <v>38.963388530881467</v>
      </c>
      <c r="I169" s="112">
        <f t="shared" si="82"/>
        <v>101.36365136865869</v>
      </c>
      <c r="J169" s="112">
        <f t="shared" si="82"/>
        <v>205.87292465745082</v>
      </c>
      <c r="K169" s="112">
        <f t="shared" si="82"/>
        <v>367.26305100332621</v>
      </c>
      <c r="L169" s="112">
        <f t="shared" si="82"/>
        <v>574.92708300910306</v>
      </c>
      <c r="M169" s="112">
        <f t="shared" si="82"/>
        <v>787.87581260533955</v>
      </c>
      <c r="N169" s="112">
        <f t="shared" si="82"/>
        <v>990.59567855482919</v>
      </c>
      <c r="O169" s="112">
        <f t="shared" si="82"/>
        <v>1174.9517947659601</v>
      </c>
      <c r="P169" s="112">
        <f t="shared" si="82"/>
        <v>1326.4097712397916</v>
      </c>
      <c r="Q169" s="112">
        <f t="shared" si="82"/>
        <v>1445.5132414290335</v>
      </c>
      <c r="R169" s="112">
        <f t="shared" si="82"/>
        <v>1565.4396735097821</v>
      </c>
      <c r="S169" s="112">
        <f t="shared" si="82"/>
        <v>1686.5643673688005</v>
      </c>
      <c r="T169" s="112">
        <f t="shared" si="82"/>
        <v>1808.9003081664082</v>
      </c>
      <c r="U169" s="112">
        <f t="shared" si="82"/>
        <v>1932.4596083719919</v>
      </c>
      <c r="V169" s="112">
        <f t="shared" si="82"/>
        <v>2057.2545015796313</v>
      </c>
      <c r="W169" s="112">
        <f t="shared" si="82"/>
        <v>2183.2973437193473</v>
      </c>
      <c r="X169" s="112">
        <f t="shared" si="82"/>
        <v>2310.6006142804608</v>
      </c>
      <c r="Y169" s="112">
        <f t="shared" si="82"/>
        <v>2439.1769175471859</v>
      </c>
      <c r="Z169" s="112">
        <f t="shared" si="82"/>
        <v>2569.0389838465771</v>
      </c>
      <c r="AA169" s="112">
        <f t="shared" si="82"/>
        <v>2700.1996708089628</v>
      </c>
      <c r="AB169" s="112">
        <f t="shared" si="82"/>
        <v>2832.6719646409729</v>
      </c>
    </row>
    <row r="170" spans="1:28" x14ac:dyDescent="0.25">
      <c r="A170" s="302" t="s">
        <v>14</v>
      </c>
      <c r="B170" s="300"/>
      <c r="G170" s="112">
        <f>+G163*$B$169/1000</f>
        <v>0</v>
      </c>
      <c r="H170" s="112">
        <f t="shared" ref="H170:AB170" si="83">+H163*$B$169/1000</f>
        <v>5.0219432329614815</v>
      </c>
      <c r="I170" s="112">
        <f t="shared" si="83"/>
        <v>19.90368771494332</v>
      </c>
      <c r="J170" s="112">
        <f t="shared" si="83"/>
        <v>52.852317266694953</v>
      </c>
      <c r="K170" s="112">
        <f t="shared" si="83"/>
        <v>109.26504935681612</v>
      </c>
      <c r="L170" s="112">
        <f t="shared" si="83"/>
        <v>197.0625989324966</v>
      </c>
      <c r="M170" s="112">
        <f t="shared" si="83"/>
        <v>312.31413169717086</v>
      </c>
      <c r="N170" s="112">
        <f t="shared" si="83"/>
        <v>434.10761254433885</v>
      </c>
      <c r="O170" s="112">
        <f t="shared" si="83"/>
        <v>551.37204804549788</v>
      </c>
      <c r="P170" s="112">
        <f t="shared" si="83"/>
        <v>658.70632485233841</v>
      </c>
      <c r="Q170" s="112">
        <f t="shared" si="83"/>
        <v>748.32506745611136</v>
      </c>
      <c r="R170" s="112">
        <f t="shared" si="83"/>
        <v>819.27385975324569</v>
      </c>
      <c r="S170" s="112">
        <f t="shared" si="83"/>
        <v>887.76493859533582</v>
      </c>
      <c r="T170" s="112">
        <f t="shared" si="83"/>
        <v>956.80165394890014</v>
      </c>
      <c r="U170" s="112">
        <f t="shared" si="83"/>
        <v>1026.5287364559995</v>
      </c>
      <c r="V170" s="112">
        <f t="shared" si="83"/>
        <v>1096.9530897881709</v>
      </c>
      <c r="W170" s="112">
        <f t="shared" si="83"/>
        <v>1168.0816866536629</v>
      </c>
      <c r="X170" s="112">
        <f t="shared" si="83"/>
        <v>1239.9215694878103</v>
      </c>
      <c r="Y170" s="112">
        <f t="shared" si="83"/>
        <v>1312.4798511502997</v>
      </c>
      <c r="Z170" s="112">
        <f t="shared" si="83"/>
        <v>1385.7637156294136</v>
      </c>
      <c r="AA170" s="112">
        <f t="shared" si="83"/>
        <v>1459.7804187533186</v>
      </c>
      <c r="AB170" s="112">
        <f t="shared" si="83"/>
        <v>1534.5372889084624</v>
      </c>
    </row>
    <row r="171" spans="1:28" x14ac:dyDescent="0.25">
      <c r="A171" s="187" t="s">
        <v>31</v>
      </c>
      <c r="B171" s="187" t="s">
        <v>345</v>
      </c>
      <c r="C171" s="112">
        <f>+C164*$B$169/1000</f>
        <v>0</v>
      </c>
      <c r="D171" s="112">
        <f t="shared" ref="D171:AB171" si="84">+D164*$B$169/1000</f>
        <v>0</v>
      </c>
      <c r="E171" s="112">
        <f t="shared" si="84"/>
        <v>0</v>
      </c>
      <c r="F171" s="112">
        <f t="shared" si="84"/>
        <v>0</v>
      </c>
      <c r="G171" s="362">
        <f>+G164*$B$169/1000</f>
        <v>81.295667967470294</v>
      </c>
      <c r="H171" s="112">
        <f t="shared" si="84"/>
        <v>279.52971415501867</v>
      </c>
      <c r="I171" s="112">
        <f t="shared" si="84"/>
        <v>662.85078879664593</v>
      </c>
      <c r="J171" s="112">
        <f t="shared" si="84"/>
        <v>1248.3764611749193</v>
      </c>
      <c r="K171" s="112">
        <f t="shared" si="84"/>
        <v>2079.7327764913352</v>
      </c>
      <c r="L171" s="112">
        <f t="shared" si="84"/>
        <v>3049.8370789703099</v>
      </c>
      <c r="M171" s="112">
        <f t="shared" si="84"/>
        <v>3967.5110675482874</v>
      </c>
      <c r="N171" s="112">
        <f t="shared" si="84"/>
        <v>4743.0098906649537</v>
      </c>
      <c r="O171" s="112">
        <f t="shared" si="84"/>
        <v>5356.5722391133686</v>
      </c>
      <c r="P171" s="112">
        <f t="shared" si="84"/>
        <v>5764.8407129897787</v>
      </c>
      <c r="Q171" s="112">
        <f t="shared" si="84"/>
        <v>5994.0130424193449</v>
      </c>
      <c r="R171" s="112">
        <f t="shared" si="84"/>
        <v>6200.0396787025002</v>
      </c>
      <c r="S171" s="112">
        <f t="shared" si="84"/>
        <v>6404.9358430307093</v>
      </c>
      <c r="T171" s="362">
        <f t="shared" si="84"/>
        <v>6611.7684961844443</v>
      </c>
      <c r="U171" s="112">
        <f t="shared" si="84"/>
        <v>6820.6964567445248</v>
      </c>
      <c r="V171" s="112">
        <f t="shared" si="84"/>
        <v>7031.7407317467614</v>
      </c>
      <c r="W171" s="112">
        <f t="shared" si="84"/>
        <v>7244.9225384052515</v>
      </c>
      <c r="X171" s="112">
        <f t="shared" si="84"/>
        <v>7460.2633062143668</v>
      </c>
      <c r="Y171" s="112">
        <f t="shared" si="84"/>
        <v>7677.7846790717831</v>
      </c>
      <c r="Z171" s="112">
        <f t="shared" si="84"/>
        <v>7897.5085174227252</v>
      </c>
      <c r="AA171" s="112">
        <f t="shared" si="84"/>
        <v>8119.4569004256555</v>
      </c>
      <c r="AB171" s="112">
        <f t="shared" si="84"/>
        <v>8343.6521281396326</v>
      </c>
    </row>
    <row r="174" spans="1:28" x14ac:dyDescent="0.25">
      <c r="A174" s="109" t="s">
        <v>398</v>
      </c>
      <c r="B174" s="187" t="s">
        <v>397</v>
      </c>
      <c r="C174" s="307" t="s">
        <v>353</v>
      </c>
      <c r="D174" s="307" t="s">
        <v>354</v>
      </c>
      <c r="E174" s="307" t="s">
        <v>355</v>
      </c>
      <c r="F174" s="307" t="s">
        <v>356</v>
      </c>
      <c r="G174" s="307" t="s">
        <v>357</v>
      </c>
      <c r="H174" s="307" t="s">
        <v>358</v>
      </c>
      <c r="I174" s="307" t="s">
        <v>359</v>
      </c>
      <c r="J174" s="307" t="s">
        <v>360</v>
      </c>
      <c r="K174" s="307" t="s">
        <v>361</v>
      </c>
      <c r="L174" s="307" t="s">
        <v>362</v>
      </c>
      <c r="M174" s="307" t="s">
        <v>363</v>
      </c>
      <c r="N174" s="307" t="s">
        <v>364</v>
      </c>
      <c r="O174" s="307" t="s">
        <v>365</v>
      </c>
      <c r="P174" s="307" t="s">
        <v>366</v>
      </c>
      <c r="Q174" s="307" t="s">
        <v>367</v>
      </c>
      <c r="R174" s="307" t="s">
        <v>368</v>
      </c>
      <c r="S174" s="307" t="s">
        <v>369</v>
      </c>
      <c r="T174" s="307" t="s">
        <v>370</v>
      </c>
      <c r="U174" s="307" t="s">
        <v>371</v>
      </c>
      <c r="V174" s="307" t="s">
        <v>372</v>
      </c>
      <c r="W174" s="307" t="s">
        <v>373</v>
      </c>
      <c r="X174" s="307" t="s">
        <v>374</v>
      </c>
      <c r="Y174" s="307" t="s">
        <v>375</v>
      </c>
      <c r="Z174" s="307" t="s">
        <v>376</v>
      </c>
      <c r="AA174" s="307" t="s">
        <v>377</v>
      </c>
      <c r="AB174" s="307"/>
    </row>
    <row r="175" spans="1:28" x14ac:dyDescent="0.25">
      <c r="A175" s="187" t="s">
        <v>399</v>
      </c>
    </row>
    <row r="176" spans="1:28" x14ac:dyDescent="0.25">
      <c r="A176" s="302" t="s">
        <v>11</v>
      </c>
      <c r="C176" s="187">
        <f>+C153/10</f>
        <v>0</v>
      </c>
      <c r="D176" s="112">
        <f t="shared" ref="D176:AA179" si="85">+D153/10</f>
        <v>0</v>
      </c>
      <c r="E176" s="112">
        <f t="shared" si="85"/>
        <v>0</v>
      </c>
      <c r="F176" s="112">
        <f t="shared" si="85"/>
        <v>0</v>
      </c>
      <c r="G176" s="359">
        <f t="shared" si="85"/>
        <v>0</v>
      </c>
      <c r="H176" s="112">
        <f t="shared" si="85"/>
        <v>1.2057228384312538E-2</v>
      </c>
      <c r="I176" s="112">
        <f t="shared" si="85"/>
        <v>3.9724332090399751E-2</v>
      </c>
      <c r="J176" s="112">
        <f t="shared" si="85"/>
        <v>9.0951760391429423E-2</v>
      </c>
      <c r="K176" s="112">
        <f t="shared" si="85"/>
        <v>0.16546326820866139</v>
      </c>
      <c r="L176" s="112">
        <f t="shared" si="85"/>
        <v>0.26706475933146578</v>
      </c>
      <c r="M176" s="112">
        <f t="shared" si="85"/>
        <v>0.37769009537780135</v>
      </c>
      <c r="N176" s="112">
        <f t="shared" si="85"/>
        <v>0.47281392917171416</v>
      </c>
      <c r="O176" s="112">
        <f t="shared" si="85"/>
        <v>0.54437743837068453</v>
      </c>
      <c r="P176" s="112">
        <f t="shared" si="85"/>
        <v>0.59265686805345252</v>
      </c>
      <c r="Q176" s="112">
        <f t="shared" si="85"/>
        <v>0.61384631443064819</v>
      </c>
      <c r="R176" s="112">
        <f t="shared" si="85"/>
        <v>0.61395468750000004</v>
      </c>
      <c r="S176" s="112">
        <f t="shared" si="85"/>
        <v>0.61395468750000004</v>
      </c>
      <c r="T176" s="112">
        <f t="shared" si="85"/>
        <v>0.61395468750000004</v>
      </c>
      <c r="U176" s="112">
        <f t="shared" si="85"/>
        <v>0.61395468750000004</v>
      </c>
      <c r="V176" s="112">
        <f t="shared" si="85"/>
        <v>0.61395468750000004</v>
      </c>
      <c r="W176" s="112">
        <f t="shared" si="85"/>
        <v>0.61395468750000004</v>
      </c>
      <c r="X176" s="112">
        <f t="shared" si="85"/>
        <v>0.61395468750000004</v>
      </c>
      <c r="Y176" s="112">
        <f t="shared" si="85"/>
        <v>0.61395468750000004</v>
      </c>
      <c r="Z176" s="112">
        <f t="shared" si="85"/>
        <v>0.61395468750000004</v>
      </c>
      <c r="AA176" s="112">
        <f t="shared" si="85"/>
        <v>0.61395468750000004</v>
      </c>
      <c r="AB176" s="112"/>
    </row>
    <row r="177" spans="1:41" x14ac:dyDescent="0.25">
      <c r="A177" s="302" t="s">
        <v>11</v>
      </c>
      <c r="C177" s="187">
        <f t="shared" ref="C177:R179" si="86">+C154/10</f>
        <v>0</v>
      </c>
      <c r="D177" s="112">
        <f t="shared" si="86"/>
        <v>0</v>
      </c>
      <c r="E177" s="112">
        <f t="shared" si="86"/>
        <v>0</v>
      </c>
      <c r="F177" s="112">
        <f t="shared" si="86"/>
        <v>0</v>
      </c>
      <c r="G177" s="359">
        <f t="shared" si="86"/>
        <v>1.2057228384312538E-2</v>
      </c>
      <c r="H177" s="112">
        <f t="shared" si="86"/>
        <v>3.9724332090399751E-2</v>
      </c>
      <c r="I177" s="112">
        <f t="shared" si="86"/>
        <v>9.0951760391429423E-2</v>
      </c>
      <c r="J177" s="112">
        <f t="shared" si="86"/>
        <v>0.16546326820866139</v>
      </c>
      <c r="K177" s="112">
        <f t="shared" si="86"/>
        <v>0.26706475933146578</v>
      </c>
      <c r="L177" s="112">
        <f t="shared" si="86"/>
        <v>0.37769009537780135</v>
      </c>
      <c r="M177" s="112">
        <f t="shared" si="86"/>
        <v>0.47281392917171416</v>
      </c>
      <c r="N177" s="112">
        <f t="shared" si="86"/>
        <v>0.54437743837068453</v>
      </c>
      <c r="O177" s="112">
        <f t="shared" si="86"/>
        <v>0.59265686805345252</v>
      </c>
      <c r="P177" s="112">
        <f t="shared" si="86"/>
        <v>0.61384631443064819</v>
      </c>
      <c r="Q177" s="112">
        <f t="shared" si="86"/>
        <v>0.61395468750000004</v>
      </c>
      <c r="R177" s="112">
        <f t="shared" si="86"/>
        <v>0.61395468750000004</v>
      </c>
      <c r="S177" s="112">
        <f t="shared" si="85"/>
        <v>0.61395468750000004</v>
      </c>
      <c r="T177" s="112">
        <f t="shared" si="85"/>
        <v>0.61395468750000004</v>
      </c>
      <c r="U177" s="112">
        <f t="shared" si="85"/>
        <v>0.61395468750000004</v>
      </c>
      <c r="V177" s="112">
        <f t="shared" si="85"/>
        <v>0.61395468750000004</v>
      </c>
      <c r="W177" s="112">
        <f t="shared" si="85"/>
        <v>0.61395468750000004</v>
      </c>
      <c r="X177" s="112">
        <f t="shared" si="85"/>
        <v>0.61395468750000004</v>
      </c>
      <c r="Y177" s="112">
        <f t="shared" si="85"/>
        <v>0.61395468750000004</v>
      </c>
      <c r="Z177" s="112">
        <f t="shared" si="85"/>
        <v>0.61395468750000004</v>
      </c>
      <c r="AA177" s="112">
        <f t="shared" si="85"/>
        <v>0.61395468750000004</v>
      </c>
      <c r="AB177" s="112"/>
    </row>
    <row r="178" spans="1:41" x14ac:dyDescent="0.25">
      <c r="A178" s="302" t="s">
        <v>380</v>
      </c>
      <c r="C178" s="187">
        <f t="shared" si="86"/>
        <v>0</v>
      </c>
      <c r="D178" s="112">
        <f t="shared" si="85"/>
        <v>0</v>
      </c>
      <c r="E178" s="112">
        <f t="shared" si="85"/>
        <v>0</v>
      </c>
      <c r="F178" s="112">
        <f t="shared" si="85"/>
        <v>0</v>
      </c>
      <c r="G178" s="359">
        <f t="shared" si="85"/>
        <v>2.4114456768625076E-2</v>
      </c>
      <c r="H178" s="112">
        <f t="shared" si="85"/>
        <v>7.9448664180799503E-2</v>
      </c>
      <c r="I178" s="112">
        <f t="shared" si="85"/>
        <v>0.18190352078285885</v>
      </c>
      <c r="J178" s="112">
        <f t="shared" si="85"/>
        <v>0.33092653641732278</v>
      </c>
      <c r="K178" s="112">
        <f t="shared" si="85"/>
        <v>0.53412951866293157</v>
      </c>
      <c r="L178" s="112">
        <f t="shared" si="85"/>
        <v>0.75538019075560259</v>
      </c>
      <c r="M178" s="112">
        <f t="shared" si="85"/>
        <v>0.94562785834342811</v>
      </c>
      <c r="N178" s="112">
        <f t="shared" si="85"/>
        <v>1.0887548767413686</v>
      </c>
      <c r="O178" s="112">
        <f t="shared" si="85"/>
        <v>1.1853137361069048</v>
      </c>
      <c r="P178" s="112">
        <f t="shared" si="85"/>
        <v>1.2276926288612959</v>
      </c>
      <c r="Q178" s="112">
        <f t="shared" si="85"/>
        <v>1.2279093749999999</v>
      </c>
      <c r="R178" s="112">
        <f t="shared" si="85"/>
        <v>1.2279093749999999</v>
      </c>
      <c r="S178" s="112">
        <f t="shared" si="85"/>
        <v>1.2279093749999999</v>
      </c>
      <c r="T178" s="112">
        <f t="shared" si="85"/>
        <v>1.2279093749999999</v>
      </c>
      <c r="U178" s="112">
        <f t="shared" si="85"/>
        <v>1.2279093749999999</v>
      </c>
      <c r="V178" s="112">
        <f t="shared" si="85"/>
        <v>1.2279093749999999</v>
      </c>
      <c r="W178" s="112">
        <f t="shared" si="85"/>
        <v>1.2279093749999999</v>
      </c>
      <c r="X178" s="112">
        <f t="shared" si="85"/>
        <v>1.2279093749999999</v>
      </c>
      <c r="Y178" s="112">
        <f t="shared" si="85"/>
        <v>1.2279093749999999</v>
      </c>
      <c r="Z178" s="112">
        <f t="shared" si="85"/>
        <v>1.2279093749999999</v>
      </c>
      <c r="AA178" s="112">
        <f t="shared" si="85"/>
        <v>1.2279093749999999</v>
      </c>
      <c r="AB178" s="112"/>
    </row>
    <row r="179" spans="1:41" x14ac:dyDescent="0.25">
      <c r="A179" s="302" t="s">
        <v>14</v>
      </c>
      <c r="C179" s="187">
        <f t="shared" si="86"/>
        <v>0</v>
      </c>
      <c r="D179" s="112">
        <f t="shared" si="85"/>
        <v>0</v>
      </c>
      <c r="E179" s="112">
        <f t="shared" si="85"/>
        <v>0</v>
      </c>
      <c r="F179" s="112">
        <f t="shared" si="85"/>
        <v>0</v>
      </c>
      <c r="G179" s="359">
        <f t="shared" si="85"/>
        <v>0</v>
      </c>
      <c r="H179" s="112">
        <f t="shared" si="85"/>
        <v>1.9107167553191487E-2</v>
      </c>
      <c r="I179" s="112">
        <f t="shared" si="85"/>
        <v>6.4521857292833135E-2</v>
      </c>
      <c r="J179" s="112">
        <f t="shared" si="85"/>
        <v>0.14929780200167969</v>
      </c>
      <c r="K179" s="112">
        <f t="shared" si="85"/>
        <v>0.27403042651175807</v>
      </c>
      <c r="L179" s="112">
        <f t="shared" si="85"/>
        <v>0.44470964340705488</v>
      </c>
      <c r="M179" s="112">
        <f t="shared" si="85"/>
        <v>0.63320185897256442</v>
      </c>
      <c r="N179" s="112">
        <f t="shared" si="85"/>
        <v>0.7982859192329228</v>
      </c>
      <c r="O179" s="112">
        <f t="shared" si="85"/>
        <v>0.92400872452407623</v>
      </c>
      <c r="P179" s="112">
        <f t="shared" si="85"/>
        <v>1.0097748500139978</v>
      </c>
      <c r="Q179" s="112">
        <f t="shared" si="85"/>
        <v>1.0495943831187009</v>
      </c>
      <c r="R179" s="112">
        <f t="shared" si="85"/>
        <v>1.05249375</v>
      </c>
      <c r="S179" s="112">
        <f t="shared" si="85"/>
        <v>1.05249375</v>
      </c>
      <c r="T179" s="112">
        <f t="shared" si="85"/>
        <v>1.05249375</v>
      </c>
      <c r="U179" s="112">
        <f t="shared" si="85"/>
        <v>1.05249375</v>
      </c>
      <c r="V179" s="112">
        <f t="shared" si="85"/>
        <v>1.05249375</v>
      </c>
      <c r="W179" s="112">
        <f t="shared" si="85"/>
        <v>1.05249375</v>
      </c>
      <c r="X179" s="112">
        <f t="shared" si="85"/>
        <v>1.05249375</v>
      </c>
      <c r="Y179" s="112">
        <f t="shared" si="85"/>
        <v>1.05249375</v>
      </c>
      <c r="Z179" s="112">
        <f t="shared" si="85"/>
        <v>1.05249375</v>
      </c>
      <c r="AA179" s="112">
        <f t="shared" si="85"/>
        <v>1.05249375</v>
      </c>
      <c r="AB179" s="112"/>
    </row>
    <row r="180" spans="1:41" x14ac:dyDescent="0.25">
      <c r="A180" s="187" t="s">
        <v>31</v>
      </c>
      <c r="C180" s="139">
        <f>+SUM(C176:C179)</f>
        <v>0</v>
      </c>
      <c r="D180" s="139">
        <f t="shared" ref="D180:AA180" si="87">+SUM(D176:D179)</f>
        <v>0</v>
      </c>
      <c r="E180" s="139">
        <f t="shared" si="87"/>
        <v>0</v>
      </c>
      <c r="F180" s="139">
        <f t="shared" si="87"/>
        <v>0</v>
      </c>
      <c r="G180" s="361">
        <f t="shared" si="87"/>
        <v>3.6171685152937616E-2</v>
      </c>
      <c r="H180" s="139">
        <f t="shared" si="87"/>
        <v>0.15033739220870329</v>
      </c>
      <c r="I180" s="139">
        <f t="shared" si="87"/>
        <v>0.37710147055752119</v>
      </c>
      <c r="J180" s="139">
        <f t="shared" si="87"/>
        <v>0.73663936701909338</v>
      </c>
      <c r="K180" s="139">
        <f t="shared" si="87"/>
        <v>1.2406879727148168</v>
      </c>
      <c r="L180" s="139">
        <f t="shared" si="87"/>
        <v>1.8448446888719245</v>
      </c>
      <c r="M180" s="139">
        <f t="shared" si="87"/>
        <v>2.4293337418655079</v>
      </c>
      <c r="N180" s="139">
        <f t="shared" si="87"/>
        <v>2.9042321635166903</v>
      </c>
      <c r="O180" s="139">
        <f t="shared" si="87"/>
        <v>3.2463567670551177</v>
      </c>
      <c r="P180" s="139">
        <f t="shared" si="87"/>
        <v>3.443970661359395</v>
      </c>
      <c r="Q180" s="139">
        <f t="shared" si="87"/>
        <v>3.5053047600493494</v>
      </c>
      <c r="R180" s="139">
        <f t="shared" si="87"/>
        <v>3.5083124999999997</v>
      </c>
      <c r="S180" s="139">
        <f t="shared" si="87"/>
        <v>3.5083124999999997</v>
      </c>
      <c r="T180" s="139">
        <f t="shared" si="87"/>
        <v>3.5083124999999997</v>
      </c>
      <c r="U180" s="139">
        <f t="shared" si="87"/>
        <v>3.5083124999999997</v>
      </c>
      <c r="V180" s="139">
        <f t="shared" si="87"/>
        <v>3.5083124999999997</v>
      </c>
      <c r="W180" s="139">
        <f t="shared" si="87"/>
        <v>3.5083124999999997</v>
      </c>
      <c r="X180" s="139">
        <f t="shared" si="87"/>
        <v>3.5083124999999997</v>
      </c>
      <c r="Y180" s="139">
        <f t="shared" si="87"/>
        <v>3.5083124999999997</v>
      </c>
      <c r="Z180" s="139">
        <f t="shared" si="87"/>
        <v>3.5083124999999997</v>
      </c>
      <c r="AA180" s="139">
        <f t="shared" si="87"/>
        <v>3.5083124999999997</v>
      </c>
      <c r="AB180" s="112"/>
    </row>
    <row r="181" spans="1:41" x14ac:dyDescent="0.25">
      <c r="D181" s="112"/>
      <c r="E181" s="112"/>
      <c r="F181" s="112"/>
      <c r="G181" s="112"/>
      <c r="H181" s="112"/>
      <c r="I181" s="112"/>
      <c r="J181" s="112"/>
      <c r="K181" s="112"/>
      <c r="L181" s="112"/>
      <c r="M181" s="112"/>
      <c r="N181" s="112"/>
      <c r="O181" s="112"/>
      <c r="P181" s="112"/>
      <c r="Q181" s="112"/>
      <c r="R181" s="112"/>
      <c r="S181" s="112"/>
      <c r="T181" s="112"/>
      <c r="U181" s="112"/>
      <c r="V181" s="112"/>
      <c r="W181" s="112"/>
      <c r="X181" s="112"/>
      <c r="Y181" s="112"/>
      <c r="Z181" s="112"/>
      <c r="AA181" s="112"/>
      <c r="AB181" s="112"/>
    </row>
    <row r="182" spans="1:41" ht="15.75" x14ac:dyDescent="0.25">
      <c r="A182" s="187" t="s">
        <v>400</v>
      </c>
      <c r="B182" s="187" t="s">
        <v>460</v>
      </c>
      <c r="D182" s="112"/>
      <c r="E182" s="112"/>
      <c r="F182" s="112"/>
      <c r="G182" s="112"/>
      <c r="H182" s="112"/>
      <c r="I182" s="112"/>
      <c r="J182" s="112"/>
      <c r="K182" s="112"/>
      <c r="L182" s="112"/>
      <c r="M182" s="112"/>
      <c r="N182" s="112"/>
      <c r="O182" s="112"/>
      <c r="P182" s="112"/>
      <c r="Q182" s="112"/>
      <c r="R182" s="112"/>
      <c r="S182" s="112"/>
      <c r="T182" s="112"/>
      <c r="U182" s="112"/>
      <c r="V182" s="112"/>
      <c r="W182" s="112"/>
      <c r="X182" s="112"/>
      <c r="Y182" s="112"/>
      <c r="Z182" s="112"/>
      <c r="AA182" s="112"/>
      <c r="AB182" s="112"/>
      <c r="AD182" s="342" t="s">
        <v>417</v>
      </c>
      <c r="AE182" s="342"/>
      <c r="AF182" s="342"/>
      <c r="AG182" s="342"/>
      <c r="AH182" s="341"/>
    </row>
    <row r="183" spans="1:41" x14ac:dyDescent="0.25">
      <c r="A183" s="302" t="s">
        <v>11</v>
      </c>
      <c r="C183" s="187">
        <f>+C160/1000</f>
        <v>0</v>
      </c>
      <c r="D183" s="187">
        <f t="shared" ref="D183:AA187" si="88">+D160/1000</f>
        <v>0</v>
      </c>
      <c r="E183" s="187">
        <f t="shared" si="88"/>
        <v>0</v>
      </c>
      <c r="F183" s="187">
        <f t="shared" si="88"/>
        <v>0</v>
      </c>
      <c r="G183" s="139">
        <f t="shared" si="88"/>
        <v>0</v>
      </c>
      <c r="H183" s="139">
        <f t="shared" si="88"/>
        <v>3.8529832505344462E-4</v>
      </c>
      <c r="I183" s="139">
        <f t="shared" si="88"/>
        <v>1.4588509213865756E-3</v>
      </c>
      <c r="J183" s="139">
        <f t="shared" si="88"/>
        <v>3.7996349319287361E-3</v>
      </c>
      <c r="K183" s="139">
        <f t="shared" si="88"/>
        <v>7.725249296516472E-3</v>
      </c>
      <c r="L183" s="139">
        <f t="shared" si="88"/>
        <v>1.3795015946927915E-2</v>
      </c>
      <c r="M183" s="139">
        <f t="shared" si="88"/>
        <v>2.1617064827564255E-2</v>
      </c>
      <c r="N183" s="139">
        <f t="shared" si="88"/>
        <v>2.9651501518918717E-2</v>
      </c>
      <c r="O183" s="139">
        <f t="shared" si="88"/>
        <v>3.7316150839689741E-2</v>
      </c>
      <c r="P183" s="139">
        <f t="shared" si="88"/>
        <v>4.4303963193318557E-2</v>
      </c>
      <c r="Q183" s="139">
        <f t="shared" si="88"/>
        <v>5.0066312460003225E-2</v>
      </c>
      <c r="R183" s="139">
        <f t="shared" si="88"/>
        <v>5.4620576372141343E-2</v>
      </c>
      <c r="S183" s="139">
        <f t="shared" si="88"/>
        <v>5.9214610703103868E-2</v>
      </c>
      <c r="T183" s="139">
        <f t="shared" si="88"/>
        <v>6.3862643209050524E-2</v>
      </c>
      <c r="U183" s="139">
        <f t="shared" si="88"/>
        <v>6.8565267812854491E-2</v>
      </c>
      <c r="V183" s="139">
        <f t="shared" si="88"/>
        <v>7.3323046659039923E-2</v>
      </c>
      <c r="W183" s="139">
        <f t="shared" si="88"/>
        <v>7.8136547546023324E-2</v>
      </c>
      <c r="X183" s="139">
        <f t="shared" si="88"/>
        <v>8.3006343982717334E-2</v>
      </c>
      <c r="Y183" s="139">
        <f t="shared" si="88"/>
        <v>8.7933015245700741E-2</v>
      </c>
      <c r="Z183" s="139">
        <f t="shared" si="88"/>
        <v>9.2917146436960293E-2</v>
      </c>
      <c r="AA183" s="139">
        <f t="shared" si="88"/>
        <v>9.7959328542210067E-2</v>
      </c>
      <c r="AB183" s="139"/>
    </row>
    <row r="184" spans="1:41" x14ac:dyDescent="0.25">
      <c r="A184" s="302" t="s">
        <v>11</v>
      </c>
      <c r="C184" s="187">
        <f t="shared" ref="C184:R187" si="89">+C161/1000</f>
        <v>0</v>
      </c>
      <c r="D184" s="187">
        <f t="shared" si="89"/>
        <v>0</v>
      </c>
      <c r="E184" s="187">
        <f t="shared" si="89"/>
        <v>0</v>
      </c>
      <c r="F184" s="187">
        <f t="shared" si="89"/>
        <v>0</v>
      </c>
      <c r="G184" s="360">
        <f t="shared" si="89"/>
        <v>2.13438316067176E-2</v>
      </c>
      <c r="H184" s="139">
        <f t="shared" si="89"/>
        <v>7.0430882671988229E-2</v>
      </c>
      <c r="I184" s="139">
        <f t="shared" si="89"/>
        <v>0.16136766699652899</v>
      </c>
      <c r="J184" s="139">
        <f t="shared" si="89"/>
        <v>0.29373800597863331</v>
      </c>
      <c r="K184" s="139">
        <f t="shared" si="89"/>
        <v>0.47427661959824952</v>
      </c>
      <c r="L184" s="139">
        <f t="shared" si="89"/>
        <v>0.6710375065444617</v>
      </c>
      <c r="M184" s="139">
        <f t="shared" si="89"/>
        <v>0.84044013891078651</v>
      </c>
      <c r="N184" s="139">
        <f t="shared" si="89"/>
        <v>0.96799403081338642</v>
      </c>
      <c r="O184" s="139">
        <f t="shared" si="89"/>
        <v>1.0541143680584228</v>
      </c>
      <c r="P184" s="139">
        <f t="shared" si="89"/>
        <v>1.0920664306659471</v>
      </c>
      <c r="Q184" s="139">
        <f t="shared" si="89"/>
        <v>1.092452388340158</v>
      </c>
      <c r="R184" s="139">
        <f t="shared" si="89"/>
        <v>1.0924533811357031</v>
      </c>
      <c r="S184" s="139">
        <f t="shared" si="88"/>
        <v>1.0924533811357031</v>
      </c>
      <c r="T184" s="139">
        <f t="shared" si="88"/>
        <v>1.0924533811357031</v>
      </c>
      <c r="U184" s="139">
        <f t="shared" si="88"/>
        <v>1.0924533811357031</v>
      </c>
      <c r="V184" s="139">
        <f t="shared" si="88"/>
        <v>1.0924533811357031</v>
      </c>
      <c r="W184" s="139">
        <f t="shared" si="88"/>
        <v>1.0924533811357031</v>
      </c>
      <c r="X184" s="139">
        <f t="shared" si="88"/>
        <v>1.0924533811357031</v>
      </c>
      <c r="Y184" s="139">
        <f t="shared" si="88"/>
        <v>1.0924533811357031</v>
      </c>
      <c r="Z184" s="139">
        <f t="shared" si="88"/>
        <v>1.0924533811357031</v>
      </c>
      <c r="AA184" s="139">
        <f t="shared" si="88"/>
        <v>1.0924533811357031</v>
      </c>
      <c r="AB184" s="139"/>
    </row>
    <row r="185" spans="1:41" x14ac:dyDescent="0.25">
      <c r="A185" s="302" t="s">
        <v>380</v>
      </c>
      <c r="C185" s="187">
        <f t="shared" si="89"/>
        <v>0</v>
      </c>
      <c r="D185" s="187">
        <f t="shared" si="88"/>
        <v>0</v>
      </c>
      <c r="E185" s="187">
        <f t="shared" si="88"/>
        <v>0</v>
      </c>
      <c r="F185" s="187">
        <f t="shared" si="88"/>
        <v>0</v>
      </c>
      <c r="G185" s="360">
        <f t="shared" si="88"/>
        <v>3.0976289733053697E-3</v>
      </c>
      <c r="H185" s="139">
        <f t="shared" si="88"/>
        <v>1.1714303463534137E-2</v>
      </c>
      <c r="I185" s="139">
        <f t="shared" si="88"/>
        <v>3.0474879549124343E-2</v>
      </c>
      <c r="J185" s="139">
        <f t="shared" si="88"/>
        <v>6.1895487155878531E-2</v>
      </c>
      <c r="K185" s="139">
        <f t="shared" si="88"/>
        <v>0.1104172658645059</v>
      </c>
      <c r="L185" s="139">
        <f t="shared" si="88"/>
        <v>0.1728512476381569</v>
      </c>
      <c r="M185" s="139">
        <f t="shared" si="88"/>
        <v>0.2368740684122605</v>
      </c>
      <c r="N185" s="139">
        <f t="shared" si="88"/>
        <v>0.29782159164774946</v>
      </c>
      <c r="O185" s="139">
        <f t="shared" si="88"/>
        <v>0.35324807204598546</v>
      </c>
      <c r="P185" s="139">
        <f t="shared" si="88"/>
        <v>0.39878375991309856</v>
      </c>
      <c r="Q185" s="139">
        <f t="shared" si="88"/>
        <v>0.43459209809834026</v>
      </c>
      <c r="R185" s="139">
        <f t="shared" si="88"/>
        <v>0.47064785894622835</v>
      </c>
      <c r="S185" s="139">
        <f t="shared" si="88"/>
        <v>0.50706387598919245</v>
      </c>
      <c r="T185" s="139">
        <f t="shared" si="88"/>
        <v>0.54384405320258589</v>
      </c>
      <c r="U185" s="139">
        <f t="shared" si="88"/>
        <v>0.58099203218811324</v>
      </c>
      <c r="V185" s="139">
        <f t="shared" si="88"/>
        <v>0.61851149096349589</v>
      </c>
      <c r="W185" s="139">
        <f t="shared" si="88"/>
        <v>0.65640614432663247</v>
      </c>
      <c r="X185" s="139">
        <f t="shared" si="88"/>
        <v>0.6946797442234004</v>
      </c>
      <c r="Y185" s="139">
        <f t="shared" si="88"/>
        <v>0.73333608011913609</v>
      </c>
      <c r="Z185" s="139">
        <f t="shared" si="88"/>
        <v>0.77237897937382904</v>
      </c>
      <c r="AA185" s="139">
        <f t="shared" si="88"/>
        <v>0.81181230762106882</v>
      </c>
      <c r="AB185" s="139"/>
      <c r="AD185" s="187" t="s">
        <v>399</v>
      </c>
      <c r="AH185" s="187" t="s">
        <v>411</v>
      </c>
      <c r="AM185" s="187" t="s">
        <v>412</v>
      </c>
    </row>
    <row r="186" spans="1:41" x14ac:dyDescent="0.25">
      <c r="A186" s="302" t="s">
        <v>14</v>
      </c>
      <c r="C186" s="187">
        <f t="shared" si="89"/>
        <v>0</v>
      </c>
      <c r="D186" s="187">
        <f t="shared" si="88"/>
        <v>0</v>
      </c>
      <c r="E186" s="187">
        <f t="shared" si="88"/>
        <v>0</v>
      </c>
      <c r="F186" s="187">
        <f t="shared" si="88"/>
        <v>0</v>
      </c>
      <c r="G186" s="139">
        <f t="shared" si="88"/>
        <v>0</v>
      </c>
      <c r="H186" s="139">
        <f t="shared" si="88"/>
        <v>1.5098421678834829E-3</v>
      </c>
      <c r="I186" s="139">
        <f t="shared" si="88"/>
        <v>5.9840236367395766E-3</v>
      </c>
      <c r="J186" s="139">
        <f t="shared" si="88"/>
        <v>1.5889995879653625E-2</v>
      </c>
      <c r="K186" s="139">
        <f t="shared" si="88"/>
        <v>3.285042688495407E-2</v>
      </c>
      <c r="L186" s="139">
        <f t="shared" si="88"/>
        <v>5.9246671612720729E-2</v>
      </c>
      <c r="M186" s="139">
        <f t="shared" si="88"/>
        <v>9.3896928696310653E-2</v>
      </c>
      <c r="N186" s="139">
        <f t="shared" si="88"/>
        <v>0.13051401587272679</v>
      </c>
      <c r="O186" s="139">
        <f t="shared" si="88"/>
        <v>0.16576945013383737</v>
      </c>
      <c r="P186" s="139">
        <f t="shared" si="88"/>
        <v>0.19803939219900865</v>
      </c>
      <c r="Q186" s="139">
        <f t="shared" si="88"/>
        <v>0.22498317677382532</v>
      </c>
      <c r="R186" s="139">
        <f t="shared" si="88"/>
        <v>0.24631385961936791</v>
      </c>
      <c r="S186" s="139">
        <f t="shared" si="88"/>
        <v>0.26690563339348877</v>
      </c>
      <c r="T186" s="139">
        <f t="shared" si="88"/>
        <v>0.2876614522344581</v>
      </c>
      <c r="U186" s="139">
        <f t="shared" si="88"/>
        <v>0.308624829263837</v>
      </c>
      <c r="V186" s="139">
        <f t="shared" si="88"/>
        <v>0.32979784006350998</v>
      </c>
      <c r="W186" s="139">
        <f t="shared" si="88"/>
        <v>0.35118258097117933</v>
      </c>
      <c r="X186" s="139">
        <f t="shared" si="88"/>
        <v>0.3727811692879256</v>
      </c>
      <c r="Y186" s="139">
        <f t="shared" si="88"/>
        <v>0.39459574348783932</v>
      </c>
      <c r="Z186" s="139">
        <f t="shared" si="88"/>
        <v>0.41662846342975218</v>
      </c>
      <c r="AA186" s="139">
        <f t="shared" si="88"/>
        <v>0.43888151057108415</v>
      </c>
      <c r="AB186" s="139"/>
      <c r="AD186" s="187" t="s">
        <v>408</v>
      </c>
      <c r="AH186" s="187" t="s">
        <v>410</v>
      </c>
      <c r="AJ186" s="187" t="s">
        <v>409</v>
      </c>
    </row>
    <row r="187" spans="1:41" x14ac:dyDescent="0.25">
      <c r="A187" s="187" t="s">
        <v>31</v>
      </c>
      <c r="C187" s="187">
        <f t="shared" si="89"/>
        <v>0</v>
      </c>
      <c r="D187" s="187">
        <f t="shared" si="88"/>
        <v>0</v>
      </c>
      <c r="E187" s="187">
        <f t="shared" si="88"/>
        <v>0</v>
      </c>
      <c r="F187" s="187">
        <f t="shared" si="88"/>
        <v>0</v>
      </c>
      <c r="G187" s="360">
        <f t="shared" si="88"/>
        <v>2.4441460580022969E-2</v>
      </c>
      <c r="H187" s="139">
        <f t="shared" si="88"/>
        <v>8.4040326628459283E-2</v>
      </c>
      <c r="I187" s="139">
        <f t="shared" si="88"/>
        <v>0.1992854211037795</v>
      </c>
      <c r="J187" s="139">
        <f t="shared" si="88"/>
        <v>0.37532312394609413</v>
      </c>
      <c r="K187" s="139">
        <f t="shared" si="88"/>
        <v>0.62526956164422598</v>
      </c>
      <c r="L187" s="139">
        <f t="shared" si="88"/>
        <v>0.91693044174226734</v>
      </c>
      <c r="M187" s="139">
        <f t="shared" si="88"/>
        <v>1.1928282008469218</v>
      </c>
      <c r="N187" s="139">
        <f t="shared" si="88"/>
        <v>1.4259811398527813</v>
      </c>
      <c r="O187" s="139">
        <f t="shared" si="88"/>
        <v>1.6104480410779354</v>
      </c>
      <c r="P187" s="139">
        <f t="shared" si="88"/>
        <v>1.733193545971373</v>
      </c>
      <c r="Q187" s="139">
        <f t="shared" si="88"/>
        <v>1.8020939756723269</v>
      </c>
      <c r="R187" s="139">
        <f t="shared" si="88"/>
        <v>1.8640356760734407</v>
      </c>
      <c r="S187" s="139">
        <f t="shared" si="88"/>
        <v>1.9256375012214881</v>
      </c>
      <c r="T187" s="139">
        <f t="shared" si="88"/>
        <v>1.9878215297817974</v>
      </c>
      <c r="U187" s="139">
        <f t="shared" si="88"/>
        <v>2.0506355104005078</v>
      </c>
      <c r="V187" s="139">
        <f t="shared" si="88"/>
        <v>2.1140857588217488</v>
      </c>
      <c r="W187" s="139">
        <f t="shared" si="88"/>
        <v>2.1781786539795385</v>
      </c>
      <c r="X187" s="139">
        <f t="shared" si="88"/>
        <v>2.2429206386297467</v>
      </c>
      <c r="Y187" s="139">
        <f t="shared" si="88"/>
        <v>2.3083182199883789</v>
      </c>
      <c r="Z187" s="139">
        <f t="shared" si="88"/>
        <v>2.3743779703762447</v>
      </c>
      <c r="AA187" s="139">
        <f t="shared" si="88"/>
        <v>2.4411065278700663</v>
      </c>
      <c r="AB187" s="139"/>
      <c r="AD187" s="107" t="s">
        <v>397</v>
      </c>
      <c r="AH187" s="187" t="s">
        <v>413</v>
      </c>
      <c r="AI187" s="306">
        <v>2E-3</v>
      </c>
      <c r="AJ187" s="187" t="s">
        <v>416</v>
      </c>
    </row>
    <row r="188" spans="1:41" ht="15.75" thickBot="1" x14ac:dyDescent="0.3">
      <c r="D188" s="112"/>
      <c r="E188" s="112"/>
      <c r="F188" s="112"/>
      <c r="G188" s="112"/>
      <c r="H188" s="112"/>
      <c r="I188" s="112"/>
      <c r="J188" s="112"/>
      <c r="K188" s="112"/>
      <c r="L188" s="112"/>
      <c r="M188" s="112"/>
      <c r="N188" s="112"/>
      <c r="O188" s="112"/>
      <c r="P188" s="112"/>
      <c r="Q188" s="112"/>
      <c r="R188" s="112"/>
      <c r="S188" s="112"/>
      <c r="T188" s="112"/>
      <c r="U188" s="112"/>
      <c r="V188" s="112"/>
      <c r="W188" s="112"/>
      <c r="X188" s="112"/>
      <c r="Y188" s="112"/>
      <c r="Z188" s="112"/>
      <c r="AA188" s="112"/>
      <c r="AB188" s="112"/>
      <c r="AD188" s="187" t="s">
        <v>399</v>
      </c>
      <c r="AF188" s="187" t="s">
        <v>358</v>
      </c>
      <c r="AG188" s="187" t="s">
        <v>377</v>
      </c>
      <c r="AJ188" s="187" t="s">
        <v>358</v>
      </c>
      <c r="AK188" s="187" t="s">
        <v>377</v>
      </c>
      <c r="AM188" s="187" t="s">
        <v>358</v>
      </c>
      <c r="AN188" s="187" t="s">
        <v>358</v>
      </c>
      <c r="AO188" s="187" t="s">
        <v>377</v>
      </c>
    </row>
    <row r="189" spans="1:41" x14ac:dyDescent="0.25">
      <c r="A189" s="187" t="s">
        <v>403</v>
      </c>
      <c r="B189" s="187" t="s">
        <v>402</v>
      </c>
      <c r="C189" s="187">
        <v>1</v>
      </c>
      <c r="D189" s="112">
        <v>1</v>
      </c>
      <c r="E189" s="112">
        <v>1</v>
      </c>
      <c r="F189" s="112">
        <v>1</v>
      </c>
      <c r="G189" s="112">
        <v>1</v>
      </c>
      <c r="H189" s="112">
        <v>1</v>
      </c>
      <c r="I189" s="112">
        <v>1</v>
      </c>
      <c r="J189" s="112">
        <v>1</v>
      </c>
      <c r="K189" s="112">
        <v>1</v>
      </c>
      <c r="L189" s="112">
        <v>1</v>
      </c>
      <c r="M189" s="112">
        <v>1</v>
      </c>
      <c r="N189" s="112">
        <v>1</v>
      </c>
      <c r="O189" s="112">
        <v>1</v>
      </c>
      <c r="P189" s="112">
        <v>1</v>
      </c>
      <c r="Q189" s="112">
        <v>1</v>
      </c>
      <c r="R189" s="112">
        <v>1</v>
      </c>
      <c r="S189" s="112">
        <v>1</v>
      </c>
      <c r="T189" s="112">
        <v>1</v>
      </c>
      <c r="U189" s="112">
        <v>1</v>
      </c>
      <c r="V189" s="112">
        <v>1</v>
      </c>
      <c r="W189" s="112">
        <v>1</v>
      </c>
      <c r="X189" s="112">
        <v>1</v>
      </c>
      <c r="Y189" s="112">
        <v>1</v>
      </c>
      <c r="Z189" s="112">
        <v>1</v>
      </c>
      <c r="AA189" s="112">
        <v>1</v>
      </c>
      <c r="AB189" s="112"/>
      <c r="AD189" s="343" t="s">
        <v>404</v>
      </c>
      <c r="AE189" s="346" t="s">
        <v>352</v>
      </c>
      <c r="AF189" s="310" t="s">
        <v>405</v>
      </c>
      <c r="AG189" s="311" t="s">
        <v>405</v>
      </c>
      <c r="AH189" s="309" t="s">
        <v>404</v>
      </c>
      <c r="AI189" s="310" t="s">
        <v>352</v>
      </c>
      <c r="AJ189" s="310" t="s">
        <v>405</v>
      </c>
      <c r="AK189" s="311" t="s">
        <v>405</v>
      </c>
      <c r="AL189" s="318"/>
      <c r="AM189" s="309" t="s">
        <v>406</v>
      </c>
      <c r="AN189" s="310" t="s">
        <v>407</v>
      </c>
      <c r="AO189" s="311" t="s">
        <v>407</v>
      </c>
    </row>
    <row r="190" spans="1:41" x14ac:dyDescent="0.25">
      <c r="A190" s="302" t="s">
        <v>11</v>
      </c>
      <c r="C190" s="187">
        <f>+IF(C183&gt;0,C183/C176*C$189,0)</f>
        <v>0</v>
      </c>
      <c r="D190" s="187">
        <f t="shared" ref="D190:AA194" si="90">+IF(D183&gt;0,D183/D176*D$189,0)</f>
        <v>0</v>
      </c>
      <c r="E190" s="187">
        <f t="shared" si="90"/>
        <v>0</v>
      </c>
      <c r="F190" s="187">
        <f t="shared" si="90"/>
        <v>0</v>
      </c>
      <c r="G190" s="187">
        <f t="shared" si="90"/>
        <v>0</v>
      </c>
      <c r="H190" s="139">
        <f t="shared" si="90"/>
        <v>3.1955795542095725E-2</v>
      </c>
      <c r="I190" s="139">
        <f t="shared" si="90"/>
        <v>3.6724366266667544E-2</v>
      </c>
      <c r="J190" s="139">
        <f t="shared" si="90"/>
        <v>4.1776375911540729E-2</v>
      </c>
      <c r="K190" s="139">
        <f t="shared" si="90"/>
        <v>4.6688605756138958E-2</v>
      </c>
      <c r="L190" s="139">
        <f t="shared" si="90"/>
        <v>5.1654197961050773E-2</v>
      </c>
      <c r="M190" s="139">
        <f t="shared" si="90"/>
        <v>5.7234926443969422E-2</v>
      </c>
      <c r="N190" s="139">
        <f t="shared" si="90"/>
        <v>6.2712834139347098E-2</v>
      </c>
      <c r="O190" s="139">
        <f t="shared" si="90"/>
        <v>6.8548305292329081E-2</v>
      </c>
      <c r="P190" s="139">
        <f t="shared" si="90"/>
        <v>7.4754829618076279E-2</v>
      </c>
      <c r="Q190" s="139">
        <f t="shared" si="90"/>
        <v>8.156164056542474E-2</v>
      </c>
      <c r="R190" s="139">
        <f t="shared" si="90"/>
        <v>8.8965158967275318E-2</v>
      </c>
      <c r="S190" s="139">
        <f t="shared" si="90"/>
        <v>9.6447851785648048E-2</v>
      </c>
      <c r="T190" s="139">
        <f t="shared" si="90"/>
        <v>0.10401849600513152</v>
      </c>
      <c r="U190" s="139">
        <f t="shared" si="90"/>
        <v>0.11167805899821311</v>
      </c>
      <c r="V190" s="139">
        <f t="shared" si="90"/>
        <v>0.11942745637729156</v>
      </c>
      <c r="W190" s="139">
        <f t="shared" si="90"/>
        <v>0.12726761296373898</v>
      </c>
      <c r="X190" s="139">
        <f t="shared" si="90"/>
        <v>0.13519946288009624</v>
      </c>
      <c r="Y190" s="139">
        <f t="shared" si="90"/>
        <v>0.14322394964319046</v>
      </c>
      <c r="Z190" s="139">
        <f t="shared" si="90"/>
        <v>0.15134202625818421</v>
      </c>
      <c r="AA190" s="139">
        <f t="shared" si="90"/>
        <v>0.15955465531356508</v>
      </c>
      <c r="AB190" s="139"/>
      <c r="AD190" s="344">
        <f>28.815/2</f>
        <v>14.407500000000001</v>
      </c>
      <c r="AE190" s="347">
        <f>+AD190/$AD$194</f>
        <v>0.19363097558025458</v>
      </c>
      <c r="AF190" s="308">
        <f>+H183/$H$187</f>
        <v>4.5846838120565774E-3</v>
      </c>
      <c r="AG190" s="312">
        <f>+AA176/$AA$180</f>
        <v>0.17500000000000002</v>
      </c>
      <c r="AH190" s="315">
        <f>+C11</f>
        <v>779.6400000000001</v>
      </c>
      <c r="AI190" s="130">
        <f>+AH190*(1+$AI$187)^6</f>
        <v>789.04258332966322</v>
      </c>
      <c r="AJ190" s="130">
        <f>+H190*1000</f>
        <v>31.955795542095725</v>
      </c>
      <c r="AK190" s="326">
        <f>+AA190*1000</f>
        <v>159.55465531356509</v>
      </c>
      <c r="AL190" s="318"/>
      <c r="AM190" s="322">
        <f>+AJ190/AH190</f>
        <v>4.0987886129618442E-2</v>
      </c>
      <c r="AN190" s="323">
        <f>+AJ190/AI190</f>
        <v>4.0499456198227195E-2</v>
      </c>
      <c r="AO190" s="324">
        <f>+AK190/AI190</f>
        <v>0.20221298404487115</v>
      </c>
    </row>
    <row r="191" spans="1:41" x14ac:dyDescent="0.25">
      <c r="A191" s="302" t="s">
        <v>11</v>
      </c>
      <c r="C191" s="187">
        <f t="shared" ref="C191:R194" si="91">+IF(C184&gt;0,C184/C177*C$189,0)</f>
        <v>0</v>
      </c>
      <c r="D191" s="187">
        <f t="shared" si="91"/>
        <v>0</v>
      </c>
      <c r="E191" s="187">
        <f t="shared" si="91"/>
        <v>0</v>
      </c>
      <c r="F191" s="187">
        <f t="shared" si="91"/>
        <v>0</v>
      </c>
      <c r="G191" s="139">
        <f t="shared" si="91"/>
        <v>1.7702104435947907</v>
      </c>
      <c r="H191" s="139">
        <f t="shared" si="90"/>
        <v>1.7729909847624445</v>
      </c>
      <c r="I191" s="139">
        <f t="shared" si="90"/>
        <v>1.7742115853728435</v>
      </c>
      <c r="J191" s="139">
        <f t="shared" si="90"/>
        <v>1.775246005706886</v>
      </c>
      <c r="K191" s="139">
        <f t="shared" si="90"/>
        <v>1.775886196237535</v>
      </c>
      <c r="L191" s="139">
        <f t="shared" si="90"/>
        <v>1.7766881227669646</v>
      </c>
      <c r="M191" s="139">
        <f t="shared" si="90"/>
        <v>1.7775282982527356</v>
      </c>
      <c r="N191" s="139">
        <f t="shared" si="90"/>
        <v>1.7781670631144846</v>
      </c>
      <c r="O191" s="139">
        <f t="shared" si="90"/>
        <v>1.7786250778137458</v>
      </c>
      <c r="P191" s="139">
        <f t="shared" si="90"/>
        <v>1.779055123396571</v>
      </c>
      <c r="Q191" s="139">
        <f t="shared" si="90"/>
        <v>1.7793697329498082</v>
      </c>
      <c r="R191" s="139">
        <f t="shared" si="90"/>
        <v>1.7793713499999999</v>
      </c>
      <c r="S191" s="139">
        <f t="shared" si="90"/>
        <v>1.7793713499999999</v>
      </c>
      <c r="T191" s="139">
        <f t="shared" si="90"/>
        <v>1.7793713499999999</v>
      </c>
      <c r="U191" s="139">
        <f t="shared" si="90"/>
        <v>1.7793713499999999</v>
      </c>
      <c r="V191" s="139">
        <f t="shared" si="90"/>
        <v>1.7793713499999999</v>
      </c>
      <c r="W191" s="139">
        <f t="shared" si="90"/>
        <v>1.7793713499999999</v>
      </c>
      <c r="X191" s="139">
        <f t="shared" si="90"/>
        <v>1.7793713499999999</v>
      </c>
      <c r="Y191" s="139">
        <f t="shared" si="90"/>
        <v>1.7793713499999999</v>
      </c>
      <c r="Z191" s="139">
        <f t="shared" si="90"/>
        <v>1.7793713499999999</v>
      </c>
      <c r="AA191" s="139">
        <f t="shared" si="90"/>
        <v>1.7793713499999999</v>
      </c>
      <c r="AB191" s="139"/>
      <c r="AD191" s="344">
        <f>+AD190</f>
        <v>14.407500000000001</v>
      </c>
      <c r="AE191" s="347">
        <f t="shared" ref="AE191:AE194" si="92">+AD191/$AD$194</f>
        <v>0.19363097558025458</v>
      </c>
      <c r="AF191" s="308">
        <f t="shared" ref="AF191:AF194" si="93">+H184/$H$187</f>
        <v>0.83806055375488775</v>
      </c>
      <c r="AG191" s="312">
        <f t="shared" ref="AG191:AG194" si="94">+AA177/$AA$180</f>
        <v>0.17500000000000002</v>
      </c>
      <c r="AH191" s="315">
        <f>+C11</f>
        <v>779.6400000000001</v>
      </c>
      <c r="AI191" s="130">
        <f>+AH191*(1+$AI$187)^6</f>
        <v>789.04258332966322</v>
      </c>
      <c r="AJ191" s="130">
        <f t="shared" ref="AJ191:AJ194" si="95">+H191*1000</f>
        <v>1772.9909847624444</v>
      </c>
      <c r="AK191" s="326">
        <f t="shared" ref="AK191:AK194" si="96">+AA191*1000</f>
        <v>1779.3713499999999</v>
      </c>
      <c r="AL191" s="318"/>
      <c r="AM191" s="322">
        <f t="shared" ref="AM191:AM194" si="97">+AJ191/AH191</f>
        <v>2.2741149565984866</v>
      </c>
      <c r="AN191" s="323">
        <f t="shared" ref="AN191:AN194" si="98">+AJ191/AI191</f>
        <v>2.2470155885385035</v>
      </c>
      <c r="AO191" s="324">
        <f t="shared" ref="AO191:AO194" si="99">+AK191/AI191</f>
        <v>2.255101800071766</v>
      </c>
    </row>
    <row r="192" spans="1:41" x14ac:dyDescent="0.25">
      <c r="A192" s="302" t="s">
        <v>380</v>
      </c>
      <c r="C192" s="187">
        <f t="shared" si="91"/>
        <v>0</v>
      </c>
      <c r="D192" s="187">
        <f t="shared" si="91"/>
        <v>0</v>
      </c>
      <c r="E192" s="187">
        <f t="shared" si="91"/>
        <v>0</v>
      </c>
      <c r="F192" s="187">
        <f t="shared" si="91"/>
        <v>0</v>
      </c>
      <c r="G192" s="139">
        <f t="shared" si="91"/>
        <v>0.12845526660735912</v>
      </c>
      <c r="H192" s="139">
        <f t="shared" si="90"/>
        <v>0.14744493924877283</v>
      </c>
      <c r="I192" s="139">
        <f t="shared" si="90"/>
        <v>0.16753320341447758</v>
      </c>
      <c r="J192" s="139">
        <f t="shared" si="90"/>
        <v>0.18703694126790651</v>
      </c>
      <c r="K192" s="139">
        <f t="shared" si="90"/>
        <v>0.20672376643947654</v>
      </c>
      <c r="L192" s="139">
        <f t="shared" si="90"/>
        <v>0.2288268209221303</v>
      </c>
      <c r="M192" s="139">
        <f t="shared" si="90"/>
        <v>0.25049396157513987</v>
      </c>
      <c r="N192" s="139">
        <f t="shared" si="90"/>
        <v>0.27354329060653781</v>
      </c>
      <c r="O192" s="139">
        <f t="shared" si="90"/>
        <v>0.29802073601729157</v>
      </c>
      <c r="P192" s="139">
        <f t="shared" si="90"/>
        <v>0.32482377961573061</v>
      </c>
      <c r="Q192" s="139">
        <f t="shared" si="90"/>
        <v>0.35392847953322315</v>
      </c>
      <c r="R192" s="139">
        <f t="shared" si="90"/>
        <v>0.38329201529732471</v>
      </c>
      <c r="S192" s="139">
        <f t="shared" si="90"/>
        <v>0.41294894095029816</v>
      </c>
      <c r="T192" s="139">
        <f t="shared" si="90"/>
        <v>0.4429024358598011</v>
      </c>
      <c r="U192" s="139">
        <f t="shared" si="90"/>
        <v>0.47315546571839906</v>
      </c>
      <c r="V192" s="139">
        <f t="shared" si="90"/>
        <v>0.50371102587558303</v>
      </c>
      <c r="W192" s="139">
        <f t="shared" si="90"/>
        <v>0.53457214163433886</v>
      </c>
      <c r="X192" s="139">
        <f t="shared" si="90"/>
        <v>0.56574186855068231</v>
      </c>
      <c r="Y192" s="139">
        <f t="shared" si="90"/>
        <v>0.59722329273618924</v>
      </c>
      <c r="Z192" s="139">
        <f t="shared" si="90"/>
        <v>0.62901953116355114</v>
      </c>
      <c r="AA192" s="139">
        <f t="shared" si="90"/>
        <v>0.66113373197518666</v>
      </c>
      <c r="AB192" s="139"/>
      <c r="AD192" s="344">
        <v>10.113</v>
      </c>
      <c r="AE192" s="347">
        <f t="shared" si="92"/>
        <v>0.13591463168787882</v>
      </c>
      <c r="AF192" s="308">
        <f t="shared" si="93"/>
        <v>0.13938907585786589</v>
      </c>
      <c r="AG192" s="312">
        <f t="shared" si="94"/>
        <v>0.35</v>
      </c>
      <c r="AH192" s="315">
        <f>+D11</f>
        <v>2507.1849999999999</v>
      </c>
      <c r="AI192" s="130">
        <f>+AH192*(1+$AI$187)^6</f>
        <v>2537.4220528518049</v>
      </c>
      <c r="AJ192" s="130">
        <f t="shared" si="95"/>
        <v>147.44493924877284</v>
      </c>
      <c r="AK192" s="326">
        <f t="shared" si="96"/>
        <v>661.13373197518661</v>
      </c>
      <c r="AL192" s="318"/>
      <c r="AM192" s="322">
        <f t="shared" si="97"/>
        <v>5.8808958752055732E-2</v>
      </c>
      <c r="AN192" s="323">
        <f t="shared" si="98"/>
        <v>5.8108164971239093E-2</v>
      </c>
      <c r="AO192" s="324">
        <f t="shared" si="99"/>
        <v>0.26055331679337279</v>
      </c>
    </row>
    <row r="193" spans="1:41" x14ac:dyDescent="0.25">
      <c r="A193" s="351" t="s">
        <v>14</v>
      </c>
      <c r="C193" s="187">
        <f t="shared" si="91"/>
        <v>0</v>
      </c>
      <c r="D193" s="187">
        <f t="shared" si="91"/>
        <v>0</v>
      </c>
      <c r="E193" s="187">
        <f t="shared" si="91"/>
        <v>0</v>
      </c>
      <c r="F193" s="187">
        <f t="shared" si="91"/>
        <v>0</v>
      </c>
      <c r="G193" s="187">
        <f t="shared" si="91"/>
        <v>0</v>
      </c>
      <c r="H193" s="139">
        <f t="shared" si="90"/>
        <v>7.9019674877519597E-2</v>
      </c>
      <c r="I193" s="139">
        <f t="shared" si="90"/>
        <v>9.2744131799880183E-2</v>
      </c>
      <c r="J193" s="139">
        <f t="shared" si="90"/>
        <v>0.10643154598803037</v>
      </c>
      <c r="K193" s="139">
        <f t="shared" si="90"/>
        <v>0.11987875690710764</v>
      </c>
      <c r="L193" s="139">
        <f t="shared" si="90"/>
        <v>0.13322551577432432</v>
      </c>
      <c r="M193" s="139">
        <f t="shared" si="90"/>
        <v>0.14828909196297707</v>
      </c>
      <c r="N193" s="139">
        <f t="shared" si="90"/>
        <v>0.16349281971319049</v>
      </c>
      <c r="O193" s="139">
        <f t="shared" si="90"/>
        <v>0.17940247287082628</v>
      </c>
      <c r="P193" s="139">
        <f t="shared" si="90"/>
        <v>0.19612232587914363</v>
      </c>
      <c r="Q193" s="139">
        <f t="shared" si="90"/>
        <v>0.21435249691916605</v>
      </c>
      <c r="R193" s="139">
        <f t="shared" si="90"/>
        <v>0.23402880978568083</v>
      </c>
      <c r="S193" s="139">
        <f t="shared" si="90"/>
        <v>0.25359355663013561</v>
      </c>
      <c r="T193" s="139">
        <f t="shared" si="90"/>
        <v>0.27331416669643699</v>
      </c>
      <c r="U193" s="139">
        <f t="shared" si="90"/>
        <v>0.2932319828634013</v>
      </c>
      <c r="V193" s="139">
        <f t="shared" si="90"/>
        <v>0.31334897719203558</v>
      </c>
      <c r="W193" s="139">
        <f t="shared" si="90"/>
        <v>0.33366714146395582</v>
      </c>
      <c r="X193" s="139">
        <f t="shared" si="90"/>
        <v>0.35418848737859543</v>
      </c>
      <c r="Y193" s="139">
        <f t="shared" si="90"/>
        <v>0.37491504675238152</v>
      </c>
      <c r="Z193" s="139">
        <f t="shared" si="90"/>
        <v>0.3958488717199054</v>
      </c>
      <c r="AA193" s="139">
        <f t="shared" si="90"/>
        <v>0.41699203493710452</v>
      </c>
      <c r="AB193" s="139"/>
      <c r="AD193" s="344">
        <v>35.478999999999999</v>
      </c>
      <c r="AE193" s="347">
        <f t="shared" si="92"/>
        <v>0.47682341715161208</v>
      </c>
      <c r="AF193" s="308">
        <f t="shared" si="93"/>
        <v>1.7965686575189873E-2</v>
      </c>
      <c r="AG193" s="312">
        <f t="shared" si="94"/>
        <v>0.30000000000000004</v>
      </c>
      <c r="AH193" s="315">
        <f>+E11</f>
        <v>1668.415</v>
      </c>
      <c r="AI193" s="130">
        <f>+AH193*(1+$AI$187)^6</f>
        <v>1688.5363522471396</v>
      </c>
      <c r="AJ193" s="130">
        <f t="shared" si="95"/>
        <v>79.019674877519591</v>
      </c>
      <c r="AK193" s="326">
        <f t="shared" si="96"/>
        <v>416.99203493710451</v>
      </c>
      <c r="AL193" s="318"/>
      <c r="AM193" s="322">
        <f t="shared" si="97"/>
        <v>4.7362122060470323E-2</v>
      </c>
      <c r="AN193" s="323">
        <f t="shared" si="98"/>
        <v>4.6797733890868595E-2</v>
      </c>
      <c r="AO193" s="324">
        <f t="shared" si="99"/>
        <v>0.24695472761493276</v>
      </c>
    </row>
    <row r="194" spans="1:41" ht="15.75" thickBot="1" x14ac:dyDescent="0.3">
      <c r="A194" s="352" t="s">
        <v>31</v>
      </c>
      <c r="B194" s="352"/>
      <c r="C194" s="352">
        <f t="shared" si="91"/>
        <v>0</v>
      </c>
      <c r="D194" s="352">
        <f t="shared" si="91"/>
        <v>0</v>
      </c>
      <c r="E194" s="352">
        <f t="shared" si="91"/>
        <v>0</v>
      </c>
      <c r="F194" s="352">
        <f t="shared" si="91"/>
        <v>0</v>
      </c>
      <c r="G194" s="354">
        <f t="shared" si="91"/>
        <v>0.67570699226983622</v>
      </c>
      <c r="H194" s="354">
        <f t="shared" si="91"/>
        <v>0.5590114700924953</v>
      </c>
      <c r="I194" s="354">
        <f t="shared" si="91"/>
        <v>0.52846630592330579</v>
      </c>
      <c r="J194" s="354">
        <f t="shared" si="91"/>
        <v>0.50950728504354548</v>
      </c>
      <c r="K194" s="354">
        <f t="shared" si="91"/>
        <v>0.50397003549251762</v>
      </c>
      <c r="L194" s="354">
        <f t="shared" si="91"/>
        <v>0.49702310838043873</v>
      </c>
      <c r="M194" s="354">
        <f t="shared" si="91"/>
        <v>0.49101042820528146</v>
      </c>
      <c r="N194" s="354">
        <f t="shared" si="91"/>
        <v>0.49100108378597479</v>
      </c>
      <c r="O194" s="354">
        <f t="shared" si="91"/>
        <v>0.49607857565785302</v>
      </c>
      <c r="P194" s="354">
        <f t="shared" si="91"/>
        <v>0.50325444563666855</v>
      </c>
      <c r="Q194" s="354">
        <f t="shared" si="91"/>
        <v>0.51410479231681872</v>
      </c>
      <c r="R194" s="354">
        <f t="shared" si="91"/>
        <v>0.53131973735904103</v>
      </c>
      <c r="S194" s="354">
        <f t="shared" si="90"/>
        <v>0.54887855663413343</v>
      </c>
      <c r="T194" s="354">
        <f t="shared" si="90"/>
        <v>0.56660332561075943</v>
      </c>
      <c r="U194" s="354">
        <f t="shared" si="90"/>
        <v>0.58450765443514741</v>
      </c>
      <c r="V194" s="354">
        <f t="shared" si="90"/>
        <v>0.60259334333009074</v>
      </c>
      <c r="W194" s="354">
        <f t="shared" si="90"/>
        <v>0.62086221052985979</v>
      </c>
      <c r="X194" s="354">
        <f t="shared" si="90"/>
        <v>0.63931609246033438</v>
      </c>
      <c r="Y194" s="354">
        <f t="shared" si="90"/>
        <v>0.65795684392093889</v>
      </c>
      <c r="Z194" s="354">
        <f t="shared" si="90"/>
        <v>0.67678633826839685</v>
      </c>
      <c r="AA194" s="354">
        <f t="shared" si="90"/>
        <v>0.69580646760232068</v>
      </c>
      <c r="AB194" s="139"/>
      <c r="AD194" s="345">
        <f>+SUM(AD190:AD193)</f>
        <v>74.406999999999996</v>
      </c>
      <c r="AE194" s="348">
        <f t="shared" si="92"/>
        <v>1</v>
      </c>
      <c r="AF194" s="313">
        <f t="shared" si="93"/>
        <v>1</v>
      </c>
      <c r="AG194" s="314">
        <f t="shared" si="94"/>
        <v>1</v>
      </c>
      <c r="AH194" s="316">
        <f>+SUMPRODUCT(AE190:AE193,AH190:AH193)</f>
        <v>1438.2273749781607</v>
      </c>
      <c r="AI194" s="317">
        <f>+SUMPRODUCT(AE190:AE193,AI190:AI193)</f>
        <v>1455.5726275822276</v>
      </c>
      <c r="AJ194" s="317">
        <f t="shared" si="95"/>
        <v>559.0114700924953</v>
      </c>
      <c r="AK194" s="328">
        <f t="shared" si="96"/>
        <v>695.80646760232071</v>
      </c>
      <c r="AM194" s="322">
        <f t="shared" si="97"/>
        <v>0.38868087189689587</v>
      </c>
      <c r="AN194" s="323">
        <f t="shared" si="98"/>
        <v>0.38404917727879978</v>
      </c>
      <c r="AO194" s="324">
        <f t="shared" si="99"/>
        <v>0.47802937099613291</v>
      </c>
    </row>
    <row r="195" spans="1:41" x14ac:dyDescent="0.25">
      <c r="B195" s="187" t="s">
        <v>404</v>
      </c>
    </row>
    <row r="196" spans="1:41" x14ac:dyDescent="0.25">
      <c r="A196" s="187" t="s">
        <v>419</v>
      </c>
      <c r="B196" s="187" t="s">
        <v>420</v>
      </c>
      <c r="AJ196" s="112">
        <f>+SUMPRODUCT(AF190:AF193,AJ190:AJ193)</f>
        <v>1507.9921702448898</v>
      </c>
      <c r="AN196" s="304">
        <f>+AN194/6</f>
        <v>6.4008196213133292E-2</v>
      </c>
      <c r="AO196" s="304">
        <f>+AO194/25</f>
        <v>1.9121174839845316E-2</v>
      </c>
    </row>
    <row r="197" spans="1:41" x14ac:dyDescent="0.25">
      <c r="A197" s="352" t="s">
        <v>352</v>
      </c>
      <c r="B197" s="354">
        <f>+AH194/1000</f>
        <v>1.4382273749781607</v>
      </c>
      <c r="C197" s="354">
        <f>+B197*(1+0.2%)</f>
        <v>1.4411038297281169</v>
      </c>
      <c r="D197" s="354">
        <f t="shared" ref="D197:F197" si="100">+C197*(1+0.2%)</f>
        <v>1.443986037387573</v>
      </c>
      <c r="E197" s="354">
        <f t="shared" si="100"/>
        <v>1.4468740094623482</v>
      </c>
      <c r="F197" s="354">
        <f t="shared" si="100"/>
        <v>1.4497677574812728</v>
      </c>
      <c r="G197" s="354">
        <f>+F197*(1+0.2%)</f>
        <v>1.4526672929962354</v>
      </c>
      <c r="H197" s="354">
        <f t="shared" ref="H197:AA197" si="101">+G197*(1+0.2%)</f>
        <v>1.4555726275822278</v>
      </c>
      <c r="I197" s="354">
        <f t="shared" si="101"/>
        <v>1.4584837728373923</v>
      </c>
      <c r="J197" s="354">
        <f t="shared" si="101"/>
        <v>1.4614007403830671</v>
      </c>
      <c r="K197" s="354">
        <f t="shared" si="101"/>
        <v>1.4643235418638332</v>
      </c>
      <c r="L197" s="354">
        <f t="shared" si="101"/>
        <v>1.4672521889475609</v>
      </c>
      <c r="M197" s="354">
        <f t="shared" si="101"/>
        <v>1.4701866933254562</v>
      </c>
      <c r="N197" s="354">
        <f t="shared" si="101"/>
        <v>1.473127066712107</v>
      </c>
      <c r="O197" s="354">
        <f t="shared" si="101"/>
        <v>1.4760733208455312</v>
      </c>
      <c r="P197" s="354">
        <f t="shared" si="101"/>
        <v>1.4790254674872223</v>
      </c>
      <c r="Q197" s="354">
        <f t="shared" si="101"/>
        <v>1.4819835184221968</v>
      </c>
      <c r="R197" s="354">
        <f t="shared" si="101"/>
        <v>1.4849474854590412</v>
      </c>
      <c r="S197" s="354">
        <f t="shared" si="101"/>
        <v>1.4879173804299592</v>
      </c>
      <c r="T197" s="354">
        <f t="shared" si="101"/>
        <v>1.4908932151908192</v>
      </c>
      <c r="U197" s="354">
        <f t="shared" si="101"/>
        <v>1.4938750016212008</v>
      </c>
      <c r="V197" s="354">
        <f t="shared" si="101"/>
        <v>1.4968627516244433</v>
      </c>
      <c r="W197" s="354">
        <f t="shared" si="101"/>
        <v>1.4998564771276921</v>
      </c>
      <c r="X197" s="354">
        <f t="shared" si="101"/>
        <v>1.5028561900819475</v>
      </c>
      <c r="Y197" s="354">
        <f t="shared" si="101"/>
        <v>1.5058619024621114</v>
      </c>
      <c r="Z197" s="354">
        <f t="shared" si="101"/>
        <v>1.5088736262670357</v>
      </c>
      <c r="AA197" s="354">
        <f t="shared" si="101"/>
        <v>1.5118913735195698</v>
      </c>
      <c r="AJ197" s="112">
        <f>+SUMPRODUCT(AG190:AG193,AJ190:AJ193)</f>
        <v>391.17731775362091</v>
      </c>
      <c r="AK197" s="112">
        <f>+SUMPRODUCT(AG190:AG193,AK190:AK193)</f>
        <v>695.80646760232048</v>
      </c>
      <c r="AN197" s="349" t="s">
        <v>418</v>
      </c>
      <c r="AO197" s="349" t="s">
        <v>418</v>
      </c>
    </row>
    <row r="198" spans="1:41" x14ac:dyDescent="0.25">
      <c r="A198" s="352" t="s">
        <v>405</v>
      </c>
      <c r="B198" s="354">
        <f>+B197</f>
        <v>1.4382273749781607</v>
      </c>
      <c r="C198" s="354">
        <f>+C197</f>
        <v>1.4411038297281169</v>
      </c>
      <c r="D198" s="354">
        <f t="shared" ref="D198:H198" si="102">+D197</f>
        <v>1.443986037387573</v>
      </c>
      <c r="E198" s="354">
        <f t="shared" si="102"/>
        <v>1.4468740094623482</v>
      </c>
      <c r="F198" s="354">
        <f t="shared" si="102"/>
        <v>1.4497677574812728</v>
      </c>
      <c r="G198" s="354">
        <f t="shared" si="102"/>
        <v>1.4526672929962354</v>
      </c>
      <c r="H198" s="354">
        <f t="shared" si="102"/>
        <v>1.4555726275822278</v>
      </c>
      <c r="I198" s="354">
        <f>+$B$198+G194</f>
        <v>2.1139343672479969</v>
      </c>
      <c r="J198" s="354">
        <f>+$B$198+H194</f>
        <v>1.997238845070656</v>
      </c>
      <c r="K198" s="354">
        <f t="shared" ref="K198:AA198" si="103">+$B$198+I194</f>
        <v>1.9666936809014666</v>
      </c>
      <c r="L198" s="354">
        <f t="shared" si="103"/>
        <v>1.9477346600217063</v>
      </c>
      <c r="M198" s="354">
        <f t="shared" si="103"/>
        <v>1.9421974104706783</v>
      </c>
      <c r="N198" s="354">
        <f t="shared" si="103"/>
        <v>1.9352504833585993</v>
      </c>
      <c r="O198" s="354">
        <f t="shared" si="103"/>
        <v>1.9292378031834421</v>
      </c>
      <c r="P198" s="354">
        <f t="shared" si="103"/>
        <v>1.9292284587641355</v>
      </c>
      <c r="Q198" s="354">
        <f t="shared" si="103"/>
        <v>1.9343059506360136</v>
      </c>
      <c r="R198" s="354">
        <f t="shared" si="103"/>
        <v>1.9414818206148292</v>
      </c>
      <c r="S198" s="354">
        <f t="shared" si="103"/>
        <v>1.9523321672949794</v>
      </c>
      <c r="T198" s="354">
        <f t="shared" si="103"/>
        <v>1.9695471123372017</v>
      </c>
      <c r="U198" s="354">
        <f t="shared" si="103"/>
        <v>1.9871059316122941</v>
      </c>
      <c r="V198" s="354">
        <f t="shared" si="103"/>
        <v>2.0048307005889203</v>
      </c>
      <c r="W198" s="354">
        <f t="shared" si="103"/>
        <v>2.0227350294133082</v>
      </c>
      <c r="X198" s="354">
        <f t="shared" si="103"/>
        <v>2.0408207183082512</v>
      </c>
      <c r="Y198" s="354">
        <f t="shared" si="103"/>
        <v>2.0590895855080205</v>
      </c>
      <c r="Z198" s="354">
        <f t="shared" si="103"/>
        <v>2.0775434674384949</v>
      </c>
      <c r="AA198" s="354">
        <f t="shared" si="103"/>
        <v>2.0961842188990998</v>
      </c>
      <c r="AB198" s="305"/>
    </row>
    <row r="199" spans="1:41" x14ac:dyDescent="0.25">
      <c r="C199" s="187" t="s">
        <v>353</v>
      </c>
      <c r="D199" s="187" t="s">
        <v>354</v>
      </c>
      <c r="E199" s="187" t="s">
        <v>355</v>
      </c>
      <c r="F199" s="187" t="s">
        <v>356</v>
      </c>
      <c r="G199" s="187" t="s">
        <v>357</v>
      </c>
      <c r="H199" s="187" t="s">
        <v>358</v>
      </c>
      <c r="I199" s="187" t="s">
        <v>359</v>
      </c>
      <c r="J199" s="187" t="s">
        <v>360</v>
      </c>
      <c r="K199" s="187" t="s">
        <v>361</v>
      </c>
      <c r="L199" s="187" t="s">
        <v>362</v>
      </c>
      <c r="M199" s="187" t="s">
        <v>363</v>
      </c>
      <c r="N199" s="187" t="s">
        <v>364</v>
      </c>
      <c r="O199" s="187" t="s">
        <v>365</v>
      </c>
      <c r="P199" s="187" t="s">
        <v>366</v>
      </c>
      <c r="Q199" s="187" t="s">
        <v>367</v>
      </c>
      <c r="R199" s="187" t="s">
        <v>368</v>
      </c>
      <c r="S199" s="187" t="s">
        <v>369</v>
      </c>
      <c r="T199" s="187" t="s">
        <v>370</v>
      </c>
      <c r="U199" s="187" t="s">
        <v>371</v>
      </c>
      <c r="V199" s="187" t="s">
        <v>372</v>
      </c>
      <c r="W199" s="187" t="s">
        <v>373</v>
      </c>
      <c r="X199" s="187" t="s">
        <v>374</v>
      </c>
      <c r="Y199" s="187" t="s">
        <v>375</v>
      </c>
      <c r="Z199" s="187" t="s">
        <v>376</v>
      </c>
      <c r="AA199" s="187" t="s">
        <v>377</v>
      </c>
    </row>
    <row r="200" spans="1:41" ht="15.75" thickBot="1" x14ac:dyDescent="0.3">
      <c r="A200" s="187" t="s">
        <v>421</v>
      </c>
      <c r="B200" s="187" t="s">
        <v>420</v>
      </c>
      <c r="AA200" s="305">
        <f>+AA198-H198</f>
        <v>0.64061159131687195</v>
      </c>
      <c r="AD200" s="187" t="s">
        <v>399</v>
      </c>
      <c r="AF200" s="187" t="s">
        <v>409</v>
      </c>
      <c r="AH200" s="187" t="s">
        <v>31</v>
      </c>
      <c r="AJ200" s="187" t="s">
        <v>414</v>
      </c>
    </row>
    <row r="201" spans="1:41" x14ac:dyDescent="0.25">
      <c r="A201" s="352" t="s">
        <v>352</v>
      </c>
      <c r="B201" s="352">
        <v>0</v>
      </c>
      <c r="C201" s="352">
        <v>0</v>
      </c>
      <c r="D201" s="352">
        <v>0</v>
      </c>
      <c r="E201" s="352">
        <v>0</v>
      </c>
      <c r="F201" s="352">
        <v>0</v>
      </c>
      <c r="G201" s="352">
        <v>0</v>
      </c>
      <c r="H201" s="352">
        <v>0</v>
      </c>
      <c r="I201" s="352">
        <v>0</v>
      </c>
      <c r="J201" s="352">
        <v>0</v>
      </c>
      <c r="K201" s="352">
        <v>0</v>
      </c>
      <c r="L201" s="352">
        <v>0</v>
      </c>
      <c r="M201" s="352">
        <v>0</v>
      </c>
      <c r="N201" s="352">
        <v>0</v>
      </c>
      <c r="O201" s="352">
        <v>0</v>
      </c>
      <c r="P201" s="352">
        <v>0</v>
      </c>
      <c r="Q201" s="352">
        <v>0</v>
      </c>
      <c r="R201" s="352">
        <v>0</v>
      </c>
      <c r="S201" s="352">
        <v>0</v>
      </c>
      <c r="T201" s="352">
        <v>0</v>
      </c>
      <c r="U201" s="352">
        <v>0</v>
      </c>
      <c r="V201" s="352">
        <v>0</v>
      </c>
      <c r="W201" s="352">
        <v>0</v>
      </c>
      <c r="X201" s="352">
        <v>0</v>
      </c>
      <c r="Y201" s="352">
        <v>0</v>
      </c>
      <c r="Z201" s="352">
        <v>0</v>
      </c>
      <c r="AA201" s="352">
        <v>0</v>
      </c>
      <c r="AD201" s="309"/>
      <c r="AE201" s="311"/>
      <c r="AF201" s="336" t="s">
        <v>358</v>
      </c>
      <c r="AG201" s="331" t="s">
        <v>377</v>
      </c>
      <c r="AH201" s="309" t="s">
        <v>358</v>
      </c>
      <c r="AI201" s="331" t="s">
        <v>377</v>
      </c>
      <c r="AJ201" s="309" t="s">
        <v>358</v>
      </c>
      <c r="AK201" s="311" t="s">
        <v>377</v>
      </c>
      <c r="AM201" s="309" t="s">
        <v>358</v>
      </c>
      <c r="AN201" s="310" t="s">
        <v>358</v>
      </c>
      <c r="AO201" s="311" t="s">
        <v>377</v>
      </c>
    </row>
    <row r="202" spans="1:41" x14ac:dyDescent="0.25">
      <c r="A202" s="352" t="s">
        <v>405</v>
      </c>
      <c r="B202" s="352">
        <v>0</v>
      </c>
      <c r="C202" s="352">
        <v>0</v>
      </c>
      <c r="D202" s="353">
        <f>+$C$146/1000</f>
        <v>7.7876022367941763E-2</v>
      </c>
      <c r="E202" s="353">
        <f t="shared" ref="E202:AA202" si="104">+$C$146/1000</f>
        <v>7.7876022367941763E-2</v>
      </c>
      <c r="F202" s="353">
        <f t="shared" si="104"/>
        <v>7.7876022367941763E-2</v>
      </c>
      <c r="G202" s="353">
        <f t="shared" si="104"/>
        <v>7.7876022367941763E-2</v>
      </c>
      <c r="H202" s="353">
        <f t="shared" si="104"/>
        <v>7.7876022367941763E-2</v>
      </c>
      <c r="I202" s="353">
        <f t="shared" si="104"/>
        <v>7.7876022367941763E-2</v>
      </c>
      <c r="J202" s="353">
        <f t="shared" si="104"/>
        <v>7.7876022367941763E-2</v>
      </c>
      <c r="K202" s="353">
        <f t="shared" si="104"/>
        <v>7.7876022367941763E-2</v>
      </c>
      <c r="L202" s="353">
        <f t="shared" si="104"/>
        <v>7.7876022367941763E-2</v>
      </c>
      <c r="M202" s="353">
        <f t="shared" si="104"/>
        <v>7.7876022367941763E-2</v>
      </c>
      <c r="N202" s="353">
        <f t="shared" si="104"/>
        <v>7.7876022367941763E-2</v>
      </c>
      <c r="O202" s="353">
        <f t="shared" si="104"/>
        <v>7.7876022367941763E-2</v>
      </c>
      <c r="P202" s="353">
        <f t="shared" si="104"/>
        <v>7.7876022367941763E-2</v>
      </c>
      <c r="Q202" s="353">
        <f t="shared" si="104"/>
        <v>7.7876022367941763E-2</v>
      </c>
      <c r="R202" s="353">
        <f t="shared" si="104"/>
        <v>7.7876022367941763E-2</v>
      </c>
      <c r="S202" s="353">
        <f t="shared" si="104"/>
        <v>7.7876022367941763E-2</v>
      </c>
      <c r="T202" s="353">
        <f t="shared" si="104"/>
        <v>7.7876022367941763E-2</v>
      </c>
      <c r="U202" s="353">
        <f t="shared" si="104"/>
        <v>7.7876022367941763E-2</v>
      </c>
      <c r="V202" s="353">
        <f t="shared" si="104"/>
        <v>7.7876022367941763E-2</v>
      </c>
      <c r="W202" s="353">
        <f t="shared" si="104"/>
        <v>7.7876022367941763E-2</v>
      </c>
      <c r="X202" s="353">
        <f t="shared" si="104"/>
        <v>7.7876022367941763E-2</v>
      </c>
      <c r="Y202" s="353">
        <f t="shared" si="104"/>
        <v>7.7876022367941763E-2</v>
      </c>
      <c r="Z202" s="353">
        <f t="shared" si="104"/>
        <v>7.7876022367941763E-2</v>
      </c>
      <c r="AA202" s="353">
        <f t="shared" si="104"/>
        <v>7.7876022367941763E-2</v>
      </c>
      <c r="AD202" s="319" t="s">
        <v>404</v>
      </c>
      <c r="AE202" s="320" t="s">
        <v>352</v>
      </c>
      <c r="AF202" s="177" t="s">
        <v>405</v>
      </c>
      <c r="AG202" s="287" t="s">
        <v>405</v>
      </c>
      <c r="AH202" s="319" t="s">
        <v>405</v>
      </c>
      <c r="AI202" s="287" t="s">
        <v>405</v>
      </c>
      <c r="AJ202" s="319" t="s">
        <v>405</v>
      </c>
      <c r="AK202" s="320" t="s">
        <v>405</v>
      </c>
      <c r="AM202" s="319" t="s">
        <v>406</v>
      </c>
      <c r="AN202" s="103" t="s">
        <v>407</v>
      </c>
      <c r="AO202" s="320" t="s">
        <v>407</v>
      </c>
    </row>
    <row r="203" spans="1:41" x14ac:dyDescent="0.25">
      <c r="AD203" s="329">
        <f>+AD190</f>
        <v>14.407500000000001</v>
      </c>
      <c r="AE203" s="325">
        <f>+AD190</f>
        <v>14.407500000000001</v>
      </c>
      <c r="AF203" s="288">
        <f>+H176</f>
        <v>1.2057228384312538E-2</v>
      </c>
      <c r="AG203" s="332">
        <f>+AA176</f>
        <v>0.61395468750000004</v>
      </c>
      <c r="AH203" s="329">
        <f>+AE203+AF203</f>
        <v>14.419557228384313</v>
      </c>
      <c r="AI203" s="334">
        <f>+AE203+AG203</f>
        <v>15.0214546875</v>
      </c>
      <c r="AJ203" s="321">
        <f>+AH203/$AH$207</f>
        <v>0.19340225566975741</v>
      </c>
      <c r="AK203" s="312">
        <f>+AI203/$AI$207</f>
        <v>0.19279207392641851</v>
      </c>
      <c r="AM203" s="322">
        <f>+AJ203/AH203</f>
        <v>1.3412496140245757E-2</v>
      </c>
      <c r="AN203" s="323">
        <f>+AJ203/AI203</f>
        <v>1.2875068340131916E-2</v>
      </c>
      <c r="AO203" s="324">
        <f>+AK203/AI203</f>
        <v>1.2834447657512764E-2</v>
      </c>
    </row>
    <row r="204" spans="1:41" x14ac:dyDescent="0.25">
      <c r="A204" s="187" t="s">
        <v>422</v>
      </c>
      <c r="B204" s="187" t="s">
        <v>420</v>
      </c>
      <c r="AD204" s="329">
        <f t="shared" ref="AD204:AD207" si="105">+AD191</f>
        <v>14.407500000000001</v>
      </c>
      <c r="AE204" s="325">
        <f>+AD191</f>
        <v>14.407500000000001</v>
      </c>
      <c r="AF204" s="288">
        <f>+H177</f>
        <v>3.9724332090399751E-2</v>
      </c>
      <c r="AG204" s="332">
        <f>+AA177</f>
        <v>0.61395468750000004</v>
      </c>
      <c r="AH204" s="329">
        <f t="shared" ref="AH204:AH206" si="106">+AE204+AF204</f>
        <v>14.4472243320904</v>
      </c>
      <c r="AI204" s="334">
        <f t="shared" ref="AI204:AI206" si="107">+AE204+AG204</f>
        <v>15.0214546875</v>
      </c>
      <c r="AJ204" s="321">
        <f>+AH204/$AH$207</f>
        <v>0.19377334059142709</v>
      </c>
      <c r="AK204" s="312">
        <f>+AI204/$AI$207</f>
        <v>0.19279207392641851</v>
      </c>
      <c r="AM204" s="322">
        <f t="shared" ref="AM204:AM207" si="108">+AJ204/AH204</f>
        <v>1.3412496140245759E-2</v>
      </c>
      <c r="AN204" s="323">
        <f t="shared" ref="AN204:AN207" si="109">+AJ204/AI204</f>
        <v>1.2899772000955023E-2</v>
      </c>
      <c r="AO204" s="324">
        <f t="shared" ref="AO204:AO207" si="110">+AK204/AI204</f>
        <v>1.2834447657512764E-2</v>
      </c>
    </row>
    <row r="205" spans="1:41" x14ac:dyDescent="0.25">
      <c r="A205" s="352" t="s">
        <v>352</v>
      </c>
      <c r="B205" s="352">
        <v>0</v>
      </c>
      <c r="C205" s="352">
        <v>0</v>
      </c>
      <c r="D205" s="352">
        <v>0</v>
      </c>
      <c r="E205" s="352">
        <v>0</v>
      </c>
      <c r="F205" s="352">
        <v>0</v>
      </c>
      <c r="G205" s="352">
        <v>0</v>
      </c>
      <c r="H205" s="352">
        <v>0</v>
      </c>
      <c r="I205" s="352">
        <v>0</v>
      </c>
      <c r="J205" s="352">
        <v>0</v>
      </c>
      <c r="K205" s="352">
        <v>0</v>
      </c>
      <c r="L205" s="352">
        <v>0</v>
      </c>
      <c r="M205" s="352">
        <v>0</v>
      </c>
      <c r="N205" s="352">
        <v>0</v>
      </c>
      <c r="O205" s="352">
        <v>0</v>
      </c>
      <c r="P205" s="352">
        <v>0</v>
      </c>
      <c r="Q205" s="352">
        <v>0</v>
      </c>
      <c r="R205" s="352">
        <v>0</v>
      </c>
      <c r="S205" s="352">
        <v>0</v>
      </c>
      <c r="T205" s="352">
        <v>0</v>
      </c>
      <c r="U205" s="352">
        <v>0</v>
      </c>
      <c r="V205" s="352">
        <v>0</v>
      </c>
      <c r="W205" s="352">
        <v>0</v>
      </c>
      <c r="X205" s="352">
        <v>0</v>
      </c>
      <c r="Y205" s="352">
        <v>0</v>
      </c>
      <c r="Z205" s="352">
        <v>0</v>
      </c>
      <c r="AA205" s="352">
        <v>0</v>
      </c>
      <c r="AD205" s="329">
        <f t="shared" si="105"/>
        <v>10.113</v>
      </c>
      <c r="AE205" s="325">
        <f>+AD192</f>
        <v>10.113</v>
      </c>
      <c r="AF205" s="288">
        <f>+H178</f>
        <v>7.9448664180799503E-2</v>
      </c>
      <c r="AG205" s="332">
        <f>+AA178</f>
        <v>1.2279093749999999</v>
      </c>
      <c r="AH205" s="329">
        <f t="shared" si="106"/>
        <v>10.1924486641808</v>
      </c>
      <c r="AI205" s="334">
        <f t="shared" si="107"/>
        <v>11.340909374999999</v>
      </c>
      <c r="AJ205" s="321">
        <f>+AH205/$AH$207</f>
        <v>0.13670617836797799</v>
      </c>
      <c r="AK205" s="312">
        <f>+AI205/$AI$207</f>
        <v>0.14555430776203329</v>
      </c>
      <c r="AM205" s="322">
        <f t="shared" si="108"/>
        <v>1.3412496140245757E-2</v>
      </c>
      <c r="AN205" s="323">
        <f t="shared" si="109"/>
        <v>1.2054251898823413E-2</v>
      </c>
      <c r="AO205" s="324">
        <f t="shared" si="110"/>
        <v>1.2834447657512765E-2</v>
      </c>
    </row>
    <row r="206" spans="1:41" x14ac:dyDescent="0.25">
      <c r="A206" s="352" t="s">
        <v>405</v>
      </c>
      <c r="B206" s="352">
        <v>0</v>
      </c>
      <c r="C206" s="352">
        <v>0</v>
      </c>
      <c r="D206" s="353">
        <f>'[1]Feed and Fodder (F) Zone.1'!$K$61/1000</f>
        <v>0.16509132499999998</v>
      </c>
      <c r="E206" s="353">
        <f>'[1]Feed and Fodder (F) Zone.1'!$K$61/1000</f>
        <v>0.16509132499999998</v>
      </c>
      <c r="F206" s="353">
        <f>'[1]Feed and Fodder (F) Zone.1'!$K$61/1000</f>
        <v>0.16509132499999998</v>
      </c>
      <c r="G206" s="353">
        <f>'[1]Feed and Fodder (F) Zone.1'!$K$61/1000</f>
        <v>0.16509132499999998</v>
      </c>
      <c r="H206" s="353">
        <f>'[1]Feed and Fodder (F) Zone.1'!$K$61/1000</f>
        <v>0.16509132499999998</v>
      </c>
      <c r="I206" s="353">
        <f>'[1]Feed and Fodder (F) Zone.1'!$K$61/1000</f>
        <v>0.16509132499999998</v>
      </c>
      <c r="J206" s="353">
        <f>'[1]Feed and Fodder (F) Zone.1'!$K$61/1000</f>
        <v>0.16509132499999998</v>
      </c>
      <c r="K206" s="353">
        <f>'[1]Feed and Fodder (F) Zone.1'!$K$61/1000</f>
        <v>0.16509132499999998</v>
      </c>
      <c r="L206" s="353">
        <f>'[1]Feed and Fodder (F) Zone.1'!$K$61/1000</f>
        <v>0.16509132499999998</v>
      </c>
      <c r="M206" s="353">
        <f>'[1]Feed and Fodder (F) Zone.1'!$K$61/1000</f>
        <v>0.16509132499999998</v>
      </c>
      <c r="N206" s="353">
        <f>'[1]Feed and Fodder (F) Zone.1'!$K$61/1000</f>
        <v>0.16509132499999998</v>
      </c>
      <c r="O206" s="353">
        <f>'[1]Feed and Fodder (F) Zone.1'!$K$61/1000</f>
        <v>0.16509132499999998</v>
      </c>
      <c r="P206" s="353">
        <f>'[1]Feed and Fodder (F) Zone.1'!$K$61/1000</f>
        <v>0.16509132499999998</v>
      </c>
      <c r="Q206" s="353">
        <f>'[1]Feed and Fodder (F) Zone.1'!$K$61/1000</f>
        <v>0.16509132499999998</v>
      </c>
      <c r="R206" s="353">
        <f>'[1]Feed and Fodder (F) Zone.1'!$K$61/1000</f>
        <v>0.16509132499999998</v>
      </c>
      <c r="S206" s="353">
        <f>'[1]Feed and Fodder (F) Zone.1'!$K$61/1000</f>
        <v>0.16509132499999998</v>
      </c>
      <c r="T206" s="353">
        <f>'[1]Feed and Fodder (F) Zone.1'!$K$61/1000</f>
        <v>0.16509132499999998</v>
      </c>
      <c r="U206" s="353">
        <f>'[1]Feed and Fodder (F) Zone.1'!$K$61/1000</f>
        <v>0.16509132499999998</v>
      </c>
      <c r="V206" s="353">
        <f>'[1]Feed and Fodder (F) Zone.1'!$K$61/1000</f>
        <v>0.16509132499999998</v>
      </c>
      <c r="W206" s="353">
        <f>'[1]Feed and Fodder (F) Zone.1'!$K$61/1000</f>
        <v>0.16509132499999998</v>
      </c>
      <c r="X206" s="353">
        <f>'[1]Feed and Fodder (F) Zone.1'!$K$61/1000</f>
        <v>0.16509132499999998</v>
      </c>
      <c r="Y206" s="353">
        <f>'[1]Feed and Fodder (F) Zone.1'!$K$61/1000</f>
        <v>0.16509132499999998</v>
      </c>
      <c r="Z206" s="353">
        <f>'[1]Feed and Fodder (F) Zone.1'!$K$61/1000</f>
        <v>0.16509132499999998</v>
      </c>
      <c r="AA206" s="353">
        <f>'[1]Feed and Fodder (F) Zone.1'!$K$61/1000</f>
        <v>0.16509132499999998</v>
      </c>
      <c r="AD206" s="329">
        <f t="shared" si="105"/>
        <v>35.478999999999999</v>
      </c>
      <c r="AE206" s="325">
        <f>+AD193</f>
        <v>35.478999999999999</v>
      </c>
      <c r="AF206" s="288">
        <f>+H179</f>
        <v>1.9107167553191487E-2</v>
      </c>
      <c r="AG206" s="332">
        <f>+AA179</f>
        <v>1.05249375</v>
      </c>
      <c r="AH206" s="329">
        <f t="shared" si="106"/>
        <v>35.498107167553194</v>
      </c>
      <c r="AI206" s="334">
        <f t="shared" si="107"/>
        <v>36.531493749999996</v>
      </c>
      <c r="AJ206" s="321">
        <f>+AH206/$AH$207</f>
        <v>0.47611822537083748</v>
      </c>
      <c r="AK206" s="312">
        <f>+AI206/$AI$207</f>
        <v>0.46886154438512961</v>
      </c>
      <c r="AM206" s="322">
        <f t="shared" si="108"/>
        <v>1.3412496140245757E-2</v>
      </c>
      <c r="AN206" s="323">
        <f t="shared" si="109"/>
        <v>1.3033089438639161E-2</v>
      </c>
      <c r="AO206" s="324">
        <f t="shared" si="110"/>
        <v>1.2834447657512764E-2</v>
      </c>
    </row>
    <row r="207" spans="1:41" ht="15.75" thickBot="1" x14ac:dyDescent="0.3">
      <c r="AD207" s="330">
        <f t="shared" si="105"/>
        <v>74.406999999999996</v>
      </c>
      <c r="AE207" s="327">
        <f>+SUM(AE203:AE206)</f>
        <v>74.406999999999996</v>
      </c>
      <c r="AF207" s="337">
        <f t="shared" ref="AF207:AI207" si="111">+SUM(AF203:AF206)</f>
        <v>0.15033739220870329</v>
      </c>
      <c r="AG207" s="333">
        <f t="shared" si="111"/>
        <v>3.5083124999999997</v>
      </c>
      <c r="AH207" s="330">
        <f t="shared" si="111"/>
        <v>74.557337392208709</v>
      </c>
      <c r="AI207" s="333">
        <f t="shared" si="111"/>
        <v>77.915312499999999</v>
      </c>
      <c r="AJ207" s="335">
        <f>+AH207/$AH$207</f>
        <v>1</v>
      </c>
      <c r="AK207" s="314">
        <f>+AI207/$AI$207</f>
        <v>1</v>
      </c>
      <c r="AM207" s="338">
        <f t="shared" si="108"/>
        <v>1.3412496140245757E-2</v>
      </c>
      <c r="AN207" s="339">
        <f t="shared" si="109"/>
        <v>1.2834447657512765E-2</v>
      </c>
      <c r="AO207" s="340">
        <f t="shared" si="110"/>
        <v>1.2834447657512765E-2</v>
      </c>
    </row>
    <row r="208" spans="1:41" x14ac:dyDescent="0.25">
      <c r="A208" s="187" t="s">
        <v>423</v>
      </c>
      <c r="AD208" s="150"/>
      <c r="AE208" s="150"/>
      <c r="AF208" s="150"/>
      <c r="AG208" s="150"/>
      <c r="AH208" s="150"/>
      <c r="AI208" s="150"/>
      <c r="AJ208" s="299"/>
      <c r="AK208" s="299"/>
      <c r="AM208" s="304"/>
      <c r="AN208" s="304"/>
      <c r="AO208" s="304"/>
    </row>
    <row r="209" spans="1:41" x14ac:dyDescent="0.25">
      <c r="A209" s="355" t="s">
        <v>352</v>
      </c>
      <c r="B209" s="356">
        <f>+B197+B201+B205</f>
        <v>1.4382273749781607</v>
      </c>
      <c r="C209" s="356">
        <f t="shared" ref="C209:AA210" si="112">+C197+C201+C205</f>
        <v>1.4411038297281169</v>
      </c>
      <c r="D209" s="356">
        <f t="shared" si="112"/>
        <v>1.443986037387573</v>
      </c>
      <c r="E209" s="356">
        <f t="shared" si="112"/>
        <v>1.4468740094623482</v>
      </c>
      <c r="F209" s="356">
        <f t="shared" si="112"/>
        <v>1.4497677574812728</v>
      </c>
      <c r="G209" s="356">
        <f t="shared" si="112"/>
        <v>1.4526672929962354</v>
      </c>
      <c r="H209" s="356">
        <f t="shared" si="112"/>
        <v>1.4555726275822278</v>
      </c>
      <c r="I209" s="356">
        <f t="shared" si="112"/>
        <v>1.4584837728373923</v>
      </c>
      <c r="J209" s="356">
        <f t="shared" si="112"/>
        <v>1.4614007403830671</v>
      </c>
      <c r="K209" s="356">
        <f t="shared" si="112"/>
        <v>1.4643235418638332</v>
      </c>
      <c r="L209" s="356">
        <f t="shared" si="112"/>
        <v>1.4672521889475609</v>
      </c>
      <c r="M209" s="356">
        <f t="shared" si="112"/>
        <v>1.4701866933254562</v>
      </c>
      <c r="N209" s="356">
        <f t="shared" si="112"/>
        <v>1.473127066712107</v>
      </c>
      <c r="O209" s="356">
        <f t="shared" si="112"/>
        <v>1.4760733208455312</v>
      </c>
      <c r="P209" s="356">
        <f t="shared" si="112"/>
        <v>1.4790254674872223</v>
      </c>
      <c r="Q209" s="356">
        <f t="shared" si="112"/>
        <v>1.4819835184221968</v>
      </c>
      <c r="R209" s="356">
        <f t="shared" si="112"/>
        <v>1.4849474854590412</v>
      </c>
      <c r="S209" s="356">
        <f t="shared" si="112"/>
        <v>1.4879173804299592</v>
      </c>
      <c r="T209" s="356">
        <f t="shared" si="112"/>
        <v>1.4908932151908192</v>
      </c>
      <c r="U209" s="356">
        <f t="shared" si="112"/>
        <v>1.4938750016212008</v>
      </c>
      <c r="V209" s="356">
        <f t="shared" si="112"/>
        <v>1.4968627516244433</v>
      </c>
      <c r="W209" s="356">
        <f t="shared" si="112"/>
        <v>1.4998564771276921</v>
      </c>
      <c r="X209" s="356">
        <f t="shared" si="112"/>
        <v>1.5028561900819475</v>
      </c>
      <c r="Y209" s="356">
        <f t="shared" si="112"/>
        <v>1.5058619024621114</v>
      </c>
      <c r="Z209" s="356">
        <f t="shared" si="112"/>
        <v>1.5088736262670357</v>
      </c>
      <c r="AA209" s="356">
        <f t="shared" si="112"/>
        <v>1.5118913735195698</v>
      </c>
      <c r="AD209" s="150"/>
      <c r="AE209" s="150"/>
      <c r="AF209" s="150"/>
      <c r="AG209" s="150"/>
      <c r="AH209" s="150"/>
      <c r="AI209" s="150"/>
      <c r="AJ209" s="299"/>
      <c r="AK209" s="299"/>
      <c r="AM209" s="304"/>
      <c r="AN209" s="304"/>
      <c r="AO209" s="304"/>
    </row>
    <row r="210" spans="1:41" x14ac:dyDescent="0.25">
      <c r="A210" s="355" t="s">
        <v>405</v>
      </c>
      <c r="B210" s="356">
        <f>+B198+B202+B206</f>
        <v>1.4382273749781607</v>
      </c>
      <c r="C210" s="356">
        <f t="shared" si="112"/>
        <v>1.4411038297281169</v>
      </c>
      <c r="D210" s="356">
        <f t="shared" si="112"/>
        <v>1.6869533847555147</v>
      </c>
      <c r="E210" s="356">
        <f t="shared" si="112"/>
        <v>1.6898413568302899</v>
      </c>
      <c r="F210" s="356">
        <f t="shared" si="112"/>
        <v>1.6927351048492145</v>
      </c>
      <c r="G210" s="356">
        <f t="shared" si="112"/>
        <v>1.6956346403641771</v>
      </c>
      <c r="H210" s="356">
        <f t="shared" si="112"/>
        <v>1.6985399749501695</v>
      </c>
      <c r="I210" s="356">
        <f t="shared" si="112"/>
        <v>2.3569017146159386</v>
      </c>
      <c r="J210" s="356">
        <f t="shared" si="112"/>
        <v>2.2402061924385976</v>
      </c>
      <c r="K210" s="356">
        <f t="shared" si="112"/>
        <v>2.2096610282694082</v>
      </c>
      <c r="L210" s="356">
        <f t="shared" si="112"/>
        <v>2.1907020073896479</v>
      </c>
      <c r="M210" s="356">
        <f t="shared" si="112"/>
        <v>2.1851647578386202</v>
      </c>
      <c r="N210" s="356">
        <f t="shared" si="112"/>
        <v>2.178217830726541</v>
      </c>
      <c r="O210" s="356">
        <f t="shared" si="112"/>
        <v>2.1722051505513837</v>
      </c>
      <c r="P210" s="356">
        <f t="shared" si="112"/>
        <v>2.1721958061320774</v>
      </c>
      <c r="Q210" s="356">
        <f t="shared" si="112"/>
        <v>2.1772732980039553</v>
      </c>
      <c r="R210" s="356">
        <f t="shared" si="112"/>
        <v>2.1844491679827711</v>
      </c>
      <c r="S210" s="356">
        <f t="shared" si="112"/>
        <v>2.1952995146629211</v>
      </c>
      <c r="T210" s="356">
        <f t="shared" si="112"/>
        <v>2.2125144597051434</v>
      </c>
      <c r="U210" s="356">
        <f t="shared" si="112"/>
        <v>2.2300732789802358</v>
      </c>
      <c r="V210" s="388">
        <f t="shared" si="112"/>
        <v>2.247798047956862</v>
      </c>
      <c r="W210" s="356">
        <f t="shared" si="112"/>
        <v>2.2657023767812499</v>
      </c>
      <c r="X210" s="356">
        <f t="shared" si="112"/>
        <v>2.2837880656761929</v>
      </c>
      <c r="Y210" s="356">
        <f t="shared" si="112"/>
        <v>2.3020569328759621</v>
      </c>
      <c r="Z210" s="356">
        <f t="shared" si="112"/>
        <v>2.3205108148064366</v>
      </c>
      <c r="AA210" s="356">
        <f t="shared" si="112"/>
        <v>2.3391515662670415</v>
      </c>
      <c r="AD210" s="150"/>
      <c r="AE210" s="150"/>
      <c r="AF210" s="150"/>
      <c r="AG210" s="150"/>
      <c r="AH210" s="150"/>
      <c r="AI210" s="150"/>
      <c r="AJ210" s="299"/>
      <c r="AK210" s="299"/>
      <c r="AM210" s="304"/>
      <c r="AN210" s="304"/>
      <c r="AO210" s="304"/>
    </row>
    <row r="211" spans="1:41" x14ac:dyDescent="0.25">
      <c r="H211" s="187">
        <f>+H209/B209</f>
        <v>1.012060160240192</v>
      </c>
      <c r="AD211" s="150"/>
      <c r="AE211" s="150"/>
      <c r="AF211" s="150"/>
      <c r="AG211" s="150"/>
      <c r="AH211" s="150"/>
      <c r="AI211" s="150"/>
      <c r="AJ211" s="299"/>
      <c r="AK211" s="299"/>
      <c r="AM211" s="304"/>
      <c r="AN211" s="304"/>
      <c r="AO211" s="304"/>
    </row>
    <row r="212" spans="1:41" x14ac:dyDescent="0.25">
      <c r="H212" s="187">
        <f>+H210/B210</f>
        <v>1.1809954423763918</v>
      </c>
    </row>
    <row r="213" spans="1:41" x14ac:dyDescent="0.25">
      <c r="B213" s="299">
        <f>+C213/$D$213</f>
        <v>5.4147225760547278E-2</v>
      </c>
      <c r="C213" s="139">
        <f>+E213*1000/365</f>
        <v>0.21335896539162125</v>
      </c>
      <c r="D213" s="139">
        <f>+AH194/365</f>
        <v>3.9403489725429059</v>
      </c>
      <c r="E213" s="139">
        <f>+E202</f>
        <v>7.7876022367941763E-2</v>
      </c>
      <c r="F213" s="187">
        <f>+E213/D213</f>
        <v>1.9763737402599759E-2</v>
      </c>
      <c r="G213" s="187">
        <f>0.2/B197</f>
        <v>0.13906007038910451</v>
      </c>
      <c r="I213" s="139">
        <f>+AH194/1000</f>
        <v>1.4382273749781607</v>
      </c>
      <c r="J213" s="139">
        <f>+E213</f>
        <v>7.7876022367941763E-2</v>
      </c>
      <c r="K213" s="299">
        <f>+J213/I213</f>
        <v>5.4147225760547285E-2</v>
      </c>
      <c r="AD213" s="187" t="s">
        <v>415</v>
      </c>
      <c r="AJ213" s="112">
        <f>+SUMPRODUCT(AJ203:AJ206,AJ190:AJ193)</f>
        <v>407.51805043192934</v>
      </c>
      <c r="AK213" s="112">
        <f>+SUMPRODUCT(AK203:AK206,AK190:AK193)</f>
        <v>665.55195794695487</v>
      </c>
      <c r="AN213" s="304">
        <f>+AN207/6</f>
        <v>2.139074609585461E-3</v>
      </c>
      <c r="AO213" s="304">
        <f>+AO207/25</f>
        <v>5.1337790630051063E-4</v>
      </c>
    </row>
    <row r="214" spans="1:41" x14ac:dyDescent="0.25">
      <c r="B214" s="299">
        <f>+C214/$D$213</f>
        <v>0.11478805637565262</v>
      </c>
      <c r="C214" s="139">
        <f>+E214*1000/365</f>
        <v>0.45230499999999996</v>
      </c>
      <c r="E214" s="139">
        <f>+E206</f>
        <v>0.16509132499999998</v>
      </c>
      <c r="F214" s="187">
        <f>+E214/D213</f>
        <v>4.1897640577113204E-2</v>
      </c>
      <c r="J214" s="139">
        <f>+E214</f>
        <v>0.16509132499999998</v>
      </c>
      <c r="K214" s="299">
        <f>+J214/I213</f>
        <v>0.11478805637565262</v>
      </c>
    </row>
    <row r="215" spans="1:41" x14ac:dyDescent="0.25">
      <c r="G215" s="187">
        <f>+G206/B197</f>
        <v>0.11478805637565262</v>
      </c>
    </row>
    <row r="218" spans="1:41" x14ac:dyDescent="0.25">
      <c r="A218" s="187" t="s">
        <v>424</v>
      </c>
      <c r="B218" s="187" t="s">
        <v>404</v>
      </c>
      <c r="C218" s="187" t="s">
        <v>353</v>
      </c>
      <c r="D218" s="187" t="s">
        <v>354</v>
      </c>
      <c r="E218" s="187" t="s">
        <v>355</v>
      </c>
      <c r="F218" s="187" t="s">
        <v>356</v>
      </c>
      <c r="G218" s="187" t="s">
        <v>357</v>
      </c>
      <c r="H218" s="187" t="s">
        <v>358</v>
      </c>
      <c r="I218" s="187" t="s">
        <v>359</v>
      </c>
      <c r="J218" s="187" t="s">
        <v>360</v>
      </c>
      <c r="K218" s="187" t="s">
        <v>361</v>
      </c>
      <c r="L218" s="187" t="s">
        <v>362</v>
      </c>
      <c r="M218" s="187" t="s">
        <v>363</v>
      </c>
      <c r="N218" s="187" t="s">
        <v>364</v>
      </c>
      <c r="O218" s="187" t="s">
        <v>365</v>
      </c>
      <c r="P218" s="187" t="s">
        <v>366</v>
      </c>
      <c r="Q218" s="187" t="s">
        <v>367</v>
      </c>
      <c r="R218" s="187" t="s">
        <v>368</v>
      </c>
      <c r="S218" s="187" t="s">
        <v>369</v>
      </c>
      <c r="T218" s="187" t="s">
        <v>370</v>
      </c>
      <c r="U218" s="187" t="s">
        <v>371</v>
      </c>
      <c r="V218" s="187" t="s">
        <v>372</v>
      </c>
      <c r="W218" s="187" t="s">
        <v>373</v>
      </c>
      <c r="X218" s="187" t="s">
        <v>374</v>
      </c>
      <c r="Y218" s="187" t="s">
        <v>375</v>
      </c>
      <c r="Z218" s="187" t="s">
        <v>376</v>
      </c>
      <c r="AA218" s="187" t="s">
        <v>377</v>
      </c>
    </row>
    <row r="219" spans="1:41" x14ac:dyDescent="0.25">
      <c r="A219" s="187" t="s">
        <v>423</v>
      </c>
    </row>
    <row r="220" spans="1:41" x14ac:dyDescent="0.25">
      <c r="A220" s="355" t="s">
        <v>352</v>
      </c>
      <c r="B220" s="356">
        <f>+AH194</f>
        <v>1438.2273749781607</v>
      </c>
      <c r="C220" s="356">
        <f t="shared" ref="C220:Z221" si="113">+SUM(C197,C201,C205)</f>
        <v>1.4411038297281169</v>
      </c>
      <c r="D220" s="356">
        <f t="shared" si="113"/>
        <v>1.443986037387573</v>
      </c>
      <c r="E220" s="356">
        <f t="shared" si="113"/>
        <v>1.4468740094623482</v>
      </c>
      <c r="F220" s="356">
        <f t="shared" si="113"/>
        <v>1.4497677574812728</v>
      </c>
      <c r="G220" s="356">
        <f t="shared" si="113"/>
        <v>1.4526672929962354</v>
      </c>
      <c r="H220" s="356">
        <f t="shared" si="113"/>
        <v>1.4555726275822278</v>
      </c>
      <c r="I220" s="356">
        <f t="shared" si="113"/>
        <v>1.4584837728373923</v>
      </c>
      <c r="J220" s="356">
        <f t="shared" si="113"/>
        <v>1.4614007403830671</v>
      </c>
      <c r="K220" s="356">
        <f t="shared" si="113"/>
        <v>1.4643235418638332</v>
      </c>
      <c r="L220" s="356">
        <f t="shared" si="113"/>
        <v>1.4672521889475609</v>
      </c>
      <c r="M220" s="356">
        <f t="shared" si="113"/>
        <v>1.4701866933254562</v>
      </c>
      <c r="N220" s="356">
        <f t="shared" si="113"/>
        <v>1.473127066712107</v>
      </c>
      <c r="O220" s="356">
        <f t="shared" si="113"/>
        <v>1.4760733208455312</v>
      </c>
      <c r="P220" s="356">
        <f t="shared" si="113"/>
        <v>1.4790254674872223</v>
      </c>
      <c r="Q220" s="356">
        <f t="shared" si="113"/>
        <v>1.4819835184221968</v>
      </c>
      <c r="R220" s="356">
        <f t="shared" si="113"/>
        <v>1.4849474854590412</v>
      </c>
      <c r="S220" s="356">
        <f t="shared" si="113"/>
        <v>1.4879173804299592</v>
      </c>
      <c r="T220" s="356">
        <f t="shared" si="113"/>
        <v>1.4908932151908192</v>
      </c>
      <c r="U220" s="356">
        <f t="shared" si="113"/>
        <v>1.4938750016212008</v>
      </c>
      <c r="V220" s="356">
        <f t="shared" si="113"/>
        <v>1.4968627516244433</v>
      </c>
      <c r="W220" s="356">
        <f t="shared" si="113"/>
        <v>1.4998564771276921</v>
      </c>
      <c r="X220" s="356">
        <f t="shared" si="113"/>
        <v>1.5028561900819475</v>
      </c>
      <c r="Y220" s="356">
        <f t="shared" si="113"/>
        <v>1.5058619024621114</v>
      </c>
      <c r="Z220" s="356">
        <f t="shared" si="113"/>
        <v>1.5088736262670357</v>
      </c>
      <c r="AA220" s="356"/>
    </row>
    <row r="221" spans="1:41" x14ac:dyDescent="0.25">
      <c r="A221" s="355" t="s">
        <v>405</v>
      </c>
      <c r="B221" s="356">
        <f>+SUM(B198,B202,B206)</f>
        <v>1.4382273749781607</v>
      </c>
      <c r="C221" s="356">
        <f t="shared" si="113"/>
        <v>1.4411038297281169</v>
      </c>
      <c r="D221" s="356">
        <f t="shared" si="113"/>
        <v>1.6869533847555147</v>
      </c>
      <c r="E221" s="356">
        <f t="shared" si="113"/>
        <v>1.6898413568302899</v>
      </c>
      <c r="F221" s="356">
        <f t="shared" ref="F221" si="114">+F198</f>
        <v>1.4497677574812728</v>
      </c>
      <c r="G221" s="356"/>
      <c r="H221" s="356"/>
      <c r="I221" s="356"/>
      <c r="J221" s="356"/>
      <c r="K221" s="356"/>
      <c r="L221" s="356"/>
      <c r="M221" s="356"/>
      <c r="N221" s="356"/>
      <c r="O221" s="356"/>
      <c r="P221" s="356"/>
      <c r="Q221" s="356"/>
      <c r="R221" s="356"/>
      <c r="S221" s="356"/>
      <c r="T221" s="356"/>
      <c r="U221" s="356"/>
      <c r="V221" s="356"/>
      <c r="W221" s="356"/>
      <c r="X221" s="356"/>
      <c r="Y221" s="356"/>
      <c r="Z221" s="356"/>
      <c r="AA221" s="356"/>
    </row>
    <row r="222" spans="1:41" x14ac:dyDescent="0.25">
      <c r="B222" s="187">
        <v>3.94</v>
      </c>
      <c r="C222" s="139">
        <f>+B222*(1+0.2%)</f>
        <v>3.9478800000000001</v>
      </c>
      <c r="D222" s="139">
        <f t="shared" ref="D222:AA222" si="115">+C222*(1+0.2%)</f>
        <v>3.9557757599999999</v>
      </c>
      <c r="E222" s="139">
        <f t="shared" si="115"/>
        <v>3.9636873115199998</v>
      </c>
      <c r="F222" s="139">
        <f t="shared" si="115"/>
        <v>3.9716146861430399</v>
      </c>
      <c r="G222" s="139">
        <f t="shared" si="115"/>
        <v>3.979557915515326</v>
      </c>
      <c r="H222" s="363">
        <f t="shared" si="115"/>
        <v>3.9875170313463566</v>
      </c>
      <c r="I222" s="305">
        <f t="shared" si="115"/>
        <v>3.9954920654090493</v>
      </c>
      <c r="J222" s="305">
        <f t="shared" si="115"/>
        <v>4.0034830495398674</v>
      </c>
      <c r="K222" s="139">
        <f t="shared" si="115"/>
        <v>4.0114900156389472</v>
      </c>
      <c r="L222" s="139">
        <f t="shared" si="115"/>
        <v>4.0195129956702251</v>
      </c>
      <c r="M222" s="139">
        <f t="shared" si="115"/>
        <v>4.0275520216615659</v>
      </c>
      <c r="N222" s="139">
        <f t="shared" si="115"/>
        <v>4.0356071257048889</v>
      </c>
      <c r="O222" s="139">
        <f t="shared" si="115"/>
        <v>4.0436783399562986</v>
      </c>
      <c r="P222" s="139">
        <f t="shared" si="115"/>
        <v>4.0517656966362114</v>
      </c>
      <c r="Q222" s="139">
        <f t="shared" si="115"/>
        <v>4.0598692280294841</v>
      </c>
      <c r="R222" s="139">
        <f t="shared" si="115"/>
        <v>4.0679889664855429</v>
      </c>
      <c r="S222" s="139">
        <f t="shared" si="115"/>
        <v>4.0761249444185141</v>
      </c>
      <c r="T222" s="139">
        <f t="shared" si="115"/>
        <v>4.0842771943073508</v>
      </c>
      <c r="U222" s="139">
        <f t="shared" si="115"/>
        <v>4.0924457486959653</v>
      </c>
      <c r="V222" s="363">
        <f t="shared" si="115"/>
        <v>4.1006306401933577</v>
      </c>
      <c r="W222" s="139">
        <f t="shared" si="115"/>
        <v>4.108831901473744</v>
      </c>
      <c r="X222" s="139">
        <f t="shared" si="115"/>
        <v>4.1170495652766919</v>
      </c>
      <c r="Y222" s="139">
        <f t="shared" si="115"/>
        <v>4.1252836644072453</v>
      </c>
      <c r="Z222" s="139">
        <f t="shared" si="115"/>
        <v>4.1335342317360597</v>
      </c>
      <c r="AA222" s="139">
        <f t="shared" si="115"/>
        <v>4.141801300199532</v>
      </c>
    </row>
    <row r="224" spans="1:41" x14ac:dyDescent="0.25">
      <c r="A224" s="299" t="s">
        <v>352</v>
      </c>
      <c r="B224" s="187">
        <v>780</v>
      </c>
    </row>
    <row r="225" spans="1:35" x14ac:dyDescent="0.25">
      <c r="A225" s="299" t="str">
        <f>+A189</f>
        <v>Productivity (Lactation Yield)</v>
      </c>
    </row>
    <row r="226" spans="1:35" x14ac:dyDescent="0.25">
      <c r="A226" s="187" t="str">
        <f t="shared" ref="A226:A230" si="116">+A190</f>
        <v>Indigenous</v>
      </c>
      <c r="B226" s="112">
        <f>+AH190</f>
        <v>779.6400000000001</v>
      </c>
      <c r="G226" s="187">
        <v>780</v>
      </c>
      <c r="H226" s="357">
        <f>+B226*(1+5%)</f>
        <v>818.62200000000018</v>
      </c>
      <c r="I226" s="112">
        <f>+H226*(1+0.8%)</f>
        <v>825.17097600000022</v>
      </c>
      <c r="J226" s="112">
        <f>+I226*(1+0.8%)</f>
        <v>831.77234380800019</v>
      </c>
      <c r="K226" s="112">
        <f t="shared" ref="K226:AA226" si="117">+J226*(1+0.8%)</f>
        <v>838.42652255846417</v>
      </c>
      <c r="L226" s="112">
        <f t="shared" si="117"/>
        <v>845.13393473893188</v>
      </c>
      <c r="M226" s="112">
        <f t="shared" si="117"/>
        <v>851.8950062168434</v>
      </c>
      <c r="N226" s="112">
        <f t="shared" si="117"/>
        <v>858.7101662665782</v>
      </c>
      <c r="O226" s="112">
        <f t="shared" si="117"/>
        <v>865.57984759671081</v>
      </c>
      <c r="P226" s="112">
        <f t="shared" si="117"/>
        <v>872.50448637748445</v>
      </c>
      <c r="Q226" s="112">
        <f t="shared" si="117"/>
        <v>879.48452226850429</v>
      </c>
      <c r="R226" s="112">
        <f t="shared" si="117"/>
        <v>886.52039844665228</v>
      </c>
      <c r="S226" s="112">
        <f t="shared" si="117"/>
        <v>893.61256163422547</v>
      </c>
      <c r="T226" s="112">
        <f t="shared" si="117"/>
        <v>900.7614621272993</v>
      </c>
      <c r="U226" s="112">
        <f t="shared" si="117"/>
        <v>907.96755382431775</v>
      </c>
      <c r="V226" s="112">
        <f t="shared" si="117"/>
        <v>915.23129425491231</v>
      </c>
      <c r="W226" s="112">
        <f t="shared" si="117"/>
        <v>922.55314460895158</v>
      </c>
      <c r="X226" s="112">
        <f t="shared" si="117"/>
        <v>929.93356976582322</v>
      </c>
      <c r="Y226" s="112">
        <f t="shared" si="117"/>
        <v>937.3730383239498</v>
      </c>
      <c r="Z226" s="112">
        <f t="shared" si="117"/>
        <v>944.87202263054144</v>
      </c>
      <c r="AA226" s="112">
        <f t="shared" si="117"/>
        <v>952.43099881158582</v>
      </c>
      <c r="AC226" s="187">
        <f>+AA226/B226</f>
        <v>1.2216292119588346</v>
      </c>
    </row>
    <row r="227" spans="1:35" x14ac:dyDescent="0.25">
      <c r="A227" s="187" t="str">
        <f t="shared" si="116"/>
        <v>Indigenous</v>
      </c>
      <c r="B227" s="112">
        <f>+B226</f>
        <v>779.6400000000001</v>
      </c>
      <c r="G227" s="357">
        <f>+B228-B227</f>
        <v>1727.5449999999998</v>
      </c>
      <c r="H227" s="112">
        <f>+G227</f>
        <v>1727.5449999999998</v>
      </c>
      <c r="I227" s="112">
        <f t="shared" ref="I227:AA227" si="118">+H227</f>
        <v>1727.5449999999998</v>
      </c>
      <c r="J227" s="112">
        <f t="shared" si="118"/>
        <v>1727.5449999999998</v>
      </c>
      <c r="K227" s="112">
        <f t="shared" si="118"/>
        <v>1727.5449999999998</v>
      </c>
      <c r="L227" s="112">
        <f t="shared" si="118"/>
        <v>1727.5449999999998</v>
      </c>
      <c r="M227" s="112">
        <f t="shared" si="118"/>
        <v>1727.5449999999998</v>
      </c>
      <c r="N227" s="112">
        <f t="shared" si="118"/>
        <v>1727.5449999999998</v>
      </c>
      <c r="O227" s="112">
        <f t="shared" si="118"/>
        <v>1727.5449999999998</v>
      </c>
      <c r="P227" s="112">
        <f t="shared" si="118"/>
        <v>1727.5449999999998</v>
      </c>
      <c r="Q227" s="112">
        <f t="shared" si="118"/>
        <v>1727.5449999999998</v>
      </c>
      <c r="R227" s="112">
        <f t="shared" si="118"/>
        <v>1727.5449999999998</v>
      </c>
      <c r="S227" s="112">
        <f t="shared" si="118"/>
        <v>1727.5449999999998</v>
      </c>
      <c r="T227" s="112">
        <f t="shared" si="118"/>
        <v>1727.5449999999998</v>
      </c>
      <c r="U227" s="112">
        <f t="shared" si="118"/>
        <v>1727.5449999999998</v>
      </c>
      <c r="V227" s="112">
        <f t="shared" si="118"/>
        <v>1727.5449999999998</v>
      </c>
      <c r="W227" s="112">
        <f t="shared" si="118"/>
        <v>1727.5449999999998</v>
      </c>
      <c r="X227" s="112">
        <f t="shared" si="118"/>
        <v>1727.5449999999998</v>
      </c>
      <c r="Y227" s="112">
        <f t="shared" si="118"/>
        <v>1727.5449999999998</v>
      </c>
      <c r="Z227" s="112">
        <f t="shared" si="118"/>
        <v>1727.5449999999998</v>
      </c>
      <c r="AA227" s="112">
        <f t="shared" si="118"/>
        <v>1727.5449999999998</v>
      </c>
    </row>
    <row r="228" spans="1:35" x14ac:dyDescent="0.25">
      <c r="A228" s="187" t="str">
        <f t="shared" si="116"/>
        <v>Cross Bred</v>
      </c>
      <c r="B228" s="112">
        <f>+AH192</f>
        <v>2507.1849999999999</v>
      </c>
      <c r="G228" s="357">
        <f>+B228*(1+5%)</f>
        <v>2632.5442499999999</v>
      </c>
      <c r="H228" s="112">
        <f>+G228*(1+1%)</f>
        <v>2658.8696924999999</v>
      </c>
      <c r="I228" s="112">
        <f t="shared" ref="I228:AA229" si="119">+H228*(1+1%)</f>
        <v>2685.458389425</v>
      </c>
      <c r="J228" s="112">
        <f t="shared" si="119"/>
        <v>2712.31297331925</v>
      </c>
      <c r="K228" s="112">
        <f t="shared" si="119"/>
        <v>2739.4361030524424</v>
      </c>
      <c r="L228" s="112">
        <f t="shared" si="119"/>
        <v>2766.830464082967</v>
      </c>
      <c r="M228" s="112">
        <f t="shared" si="119"/>
        <v>2794.4987687237967</v>
      </c>
      <c r="N228" s="112">
        <f t="shared" si="119"/>
        <v>2822.4437564110349</v>
      </c>
      <c r="O228" s="112">
        <f t="shared" si="119"/>
        <v>2850.6681939751452</v>
      </c>
      <c r="P228" s="112">
        <f t="shared" si="119"/>
        <v>2879.1748759148968</v>
      </c>
      <c r="Q228" s="112">
        <f t="shared" si="119"/>
        <v>2907.9666246740458</v>
      </c>
      <c r="R228" s="112">
        <f t="shared" si="119"/>
        <v>2937.0462909207863</v>
      </c>
      <c r="S228" s="112">
        <f t="shared" si="119"/>
        <v>2966.4167538299944</v>
      </c>
      <c r="T228" s="112">
        <f t="shared" si="119"/>
        <v>2996.0809213682942</v>
      </c>
      <c r="U228" s="112">
        <f t="shared" si="119"/>
        <v>3026.0417305819769</v>
      </c>
      <c r="V228" s="112">
        <f t="shared" si="119"/>
        <v>3056.3021478877968</v>
      </c>
      <c r="W228" s="112">
        <f t="shared" si="119"/>
        <v>3086.8651693666748</v>
      </c>
      <c r="X228" s="112">
        <f t="shared" si="119"/>
        <v>3117.7338210603416</v>
      </c>
      <c r="Y228" s="112">
        <f t="shared" si="119"/>
        <v>3148.9111592709451</v>
      </c>
      <c r="Z228" s="112">
        <f t="shared" si="119"/>
        <v>3180.4002708636544</v>
      </c>
      <c r="AA228" s="112">
        <f t="shared" si="119"/>
        <v>3212.2042735722912</v>
      </c>
    </row>
    <row r="229" spans="1:35" x14ac:dyDescent="0.25">
      <c r="A229" s="187" t="str">
        <f t="shared" si="116"/>
        <v>Buffaloes</v>
      </c>
      <c r="B229" s="112">
        <f t="shared" ref="B229" si="120">+AH193</f>
        <v>1668.415</v>
      </c>
      <c r="G229" s="187">
        <v>1668</v>
      </c>
      <c r="H229" s="357">
        <f>+B229*(1+5%)</f>
        <v>1751.83575</v>
      </c>
      <c r="I229" s="112">
        <f t="shared" si="119"/>
        <v>1769.3541075000001</v>
      </c>
      <c r="J229" s="112">
        <f t="shared" si="119"/>
        <v>1787.047648575</v>
      </c>
      <c r="K229" s="112">
        <f t="shared" si="119"/>
        <v>1804.9181250607501</v>
      </c>
      <c r="L229" s="112">
        <f t="shared" si="119"/>
        <v>1822.9673063113576</v>
      </c>
      <c r="M229" s="112">
        <f t="shared" si="119"/>
        <v>1841.1969793744711</v>
      </c>
      <c r="N229" s="112">
        <f t="shared" si="119"/>
        <v>1859.6089491682158</v>
      </c>
      <c r="O229" s="112">
        <f t="shared" si="119"/>
        <v>1878.205038659898</v>
      </c>
      <c r="P229" s="112">
        <f t="shared" si="119"/>
        <v>1896.987089046497</v>
      </c>
      <c r="Q229" s="112">
        <f t="shared" si="119"/>
        <v>1915.956959936962</v>
      </c>
      <c r="R229" s="112">
        <f t="shared" si="119"/>
        <v>1935.1165295363317</v>
      </c>
      <c r="S229" s="112">
        <f t="shared" si="119"/>
        <v>1954.4676948316951</v>
      </c>
      <c r="T229" s="112">
        <f t="shared" si="119"/>
        <v>1974.012371780012</v>
      </c>
      <c r="U229" s="112">
        <f t="shared" si="119"/>
        <v>1993.7524954978121</v>
      </c>
      <c r="V229" s="112">
        <f t="shared" si="119"/>
        <v>2013.6900204527903</v>
      </c>
      <c r="W229" s="112">
        <f t="shared" si="119"/>
        <v>2033.8269206573182</v>
      </c>
      <c r="X229" s="112">
        <f t="shared" si="119"/>
        <v>2054.1651898638916</v>
      </c>
      <c r="Y229" s="112">
        <f t="shared" si="119"/>
        <v>2074.7068417625305</v>
      </c>
      <c r="Z229" s="112">
        <f t="shared" si="119"/>
        <v>2095.4539101801561</v>
      </c>
      <c r="AA229" s="112">
        <f t="shared" si="119"/>
        <v>2116.4084492819575</v>
      </c>
    </row>
    <row r="230" spans="1:35" x14ac:dyDescent="0.25">
      <c r="A230" s="187" t="str">
        <f t="shared" si="116"/>
        <v>Total</v>
      </c>
      <c r="B230" s="112">
        <f>+SUMPRODUCT($AE$190:$AE$193,B226:B229)</f>
        <v>1438.2273749781607</v>
      </c>
      <c r="C230" s="112">
        <f>+B230*(1+0.2%)</f>
        <v>1441.103829728117</v>
      </c>
      <c r="D230" s="112">
        <f t="shared" ref="D230:F230" si="121">+C230*(1+0.2%)</f>
        <v>1443.9860373875733</v>
      </c>
      <c r="E230" s="112">
        <f t="shared" si="121"/>
        <v>1446.8740094623486</v>
      </c>
      <c r="F230" s="112">
        <f t="shared" si="121"/>
        <v>1449.7677574812733</v>
      </c>
      <c r="G230" s="112">
        <f t="shared" ref="G230:AA230" si="122">+SUMPRODUCT($AE$190:$AE$193,G226:G229)</f>
        <v>1638.6811266110717</v>
      </c>
      <c r="H230" s="112">
        <f t="shared" si="122"/>
        <v>1689.7124037658082</v>
      </c>
      <c r="I230" s="112">
        <f t="shared" si="122"/>
        <v>1702.9474444133957</v>
      </c>
      <c r="J230" s="112">
        <f t="shared" si="122"/>
        <v>1716.3122992982348</v>
      </c>
      <c r="K230" s="112">
        <f t="shared" si="122"/>
        <v>1729.808246273345</v>
      </c>
      <c r="L230" s="112">
        <f t="shared" si="122"/>
        <v>1743.4365758079598</v>
      </c>
      <c r="M230" s="112">
        <f t="shared" si="122"/>
        <v>1757.1985911123925</v>
      </c>
      <c r="N230" s="112">
        <f t="shared" si="122"/>
        <v>1771.0956082641371</v>
      </c>
      <c r="O230" s="112">
        <f t="shared" si="122"/>
        <v>1785.1289563352209</v>
      </c>
      <c r="P230" s="112">
        <f t="shared" si="122"/>
        <v>1799.2999775208195</v>
      </c>
      <c r="Q230" s="112">
        <f t="shared" si="122"/>
        <v>1813.6100272691492</v>
      </c>
      <c r="R230" s="112">
        <f t="shared" si="122"/>
        <v>1828.0604744126435</v>
      </c>
      <c r="S230" s="112">
        <f t="shared" si="122"/>
        <v>1842.6527013004361</v>
      </c>
      <c r="T230" s="112">
        <f t="shared" si="122"/>
        <v>1857.3881039321525</v>
      </c>
      <c r="U230" s="112">
        <f t="shared" si="122"/>
        <v>1872.2680920930325</v>
      </c>
      <c r="V230" s="112">
        <f t="shared" si="122"/>
        <v>1887.2940894903904</v>
      </c>
      <c r="W230" s="112">
        <f t="shared" si="122"/>
        <v>1902.4675338914303</v>
      </c>
      <c r="X230" s="112">
        <f t="shared" si="122"/>
        <v>1917.7898772624262</v>
      </c>
      <c r="Y230" s="112">
        <f t="shared" si="122"/>
        <v>1933.2625859092855</v>
      </c>
      <c r="Z230" s="112">
        <f t="shared" si="122"/>
        <v>1948.887140619504</v>
      </c>
      <c r="AA230" s="112">
        <f t="shared" si="122"/>
        <v>1964.6650368055302</v>
      </c>
    </row>
    <row r="231" spans="1:35" x14ac:dyDescent="0.25">
      <c r="C231" s="112">
        <f>+C230-$B$230</f>
        <v>2.8764547499563378</v>
      </c>
      <c r="D231" s="112">
        <f t="shared" ref="D231:AA231" si="123">+D230-$B$230</f>
        <v>5.7586624094126364</v>
      </c>
      <c r="E231" s="112">
        <f t="shared" si="123"/>
        <v>8.6466344841878708</v>
      </c>
      <c r="F231" s="112">
        <f t="shared" si="123"/>
        <v>11.540382503112596</v>
      </c>
      <c r="G231" s="112">
        <f>+G230-$B$230</f>
        <v>200.45375163291101</v>
      </c>
      <c r="H231" s="112">
        <f t="shared" si="123"/>
        <v>251.48502878764748</v>
      </c>
      <c r="I231" s="112">
        <f t="shared" si="123"/>
        <v>264.72006943523502</v>
      </c>
      <c r="J231" s="112">
        <f t="shared" si="123"/>
        <v>278.08492432007415</v>
      </c>
      <c r="K231" s="112">
        <f t="shared" si="123"/>
        <v>291.58087129518435</v>
      </c>
      <c r="L231" s="112">
        <f t="shared" si="123"/>
        <v>305.2092008297991</v>
      </c>
      <c r="M231" s="112">
        <f t="shared" si="123"/>
        <v>318.97121613423178</v>
      </c>
      <c r="N231" s="112">
        <f t="shared" si="123"/>
        <v>332.86823328597643</v>
      </c>
      <c r="O231" s="112">
        <f t="shared" si="123"/>
        <v>346.90158135706019</v>
      </c>
      <c r="P231" s="112">
        <f t="shared" si="123"/>
        <v>361.07260254265884</v>
      </c>
      <c r="Q231" s="112">
        <f t="shared" si="123"/>
        <v>375.38265229098852</v>
      </c>
      <c r="R231" s="112">
        <f t="shared" si="123"/>
        <v>389.83309943448285</v>
      </c>
      <c r="S231" s="112">
        <f t="shared" si="123"/>
        <v>404.4253263222754</v>
      </c>
      <c r="T231" s="112">
        <f t="shared" si="123"/>
        <v>419.16072895399179</v>
      </c>
      <c r="U231" s="112">
        <f t="shared" si="123"/>
        <v>434.04071711487177</v>
      </c>
      <c r="V231" s="112">
        <f t="shared" si="123"/>
        <v>449.06671451222974</v>
      </c>
      <c r="W231" s="112">
        <f t="shared" si="123"/>
        <v>464.24015891326962</v>
      </c>
      <c r="X231" s="112">
        <f t="shared" si="123"/>
        <v>479.56250228426552</v>
      </c>
      <c r="Y231" s="112">
        <f t="shared" si="123"/>
        <v>495.03521093112477</v>
      </c>
      <c r="Z231" s="112">
        <f t="shared" si="123"/>
        <v>510.65976564134326</v>
      </c>
      <c r="AA231" s="112">
        <f t="shared" si="123"/>
        <v>526.43766182736954</v>
      </c>
    </row>
    <row r="232" spans="1:35" x14ac:dyDescent="0.25">
      <c r="A232" s="187" t="s">
        <v>352</v>
      </c>
      <c r="B232" s="187" t="s">
        <v>352</v>
      </c>
      <c r="C232" s="112">
        <f>+C230</f>
        <v>1441.103829728117</v>
      </c>
      <c r="D232" s="112">
        <f t="shared" ref="D232:F232" si="124">+D230</f>
        <v>1443.9860373875733</v>
      </c>
      <c r="E232" s="112">
        <f t="shared" si="124"/>
        <v>1446.8740094623486</v>
      </c>
      <c r="F232" s="112">
        <f t="shared" si="124"/>
        <v>1449.7677574812733</v>
      </c>
      <c r="G232" s="112">
        <f>+F232*(1+0.2%)</f>
        <v>1452.6672929962358</v>
      </c>
      <c r="H232" s="112">
        <f t="shared" ref="H232:AA232" si="125">+G232*(1+0.2%)</f>
        <v>1455.5726275822283</v>
      </c>
      <c r="I232" s="112">
        <f t="shared" si="125"/>
        <v>1458.4837728373927</v>
      </c>
      <c r="J232" s="112">
        <f t="shared" si="125"/>
        <v>1461.4007403830676</v>
      </c>
      <c r="K232" s="112">
        <f t="shared" si="125"/>
        <v>1464.3235418638337</v>
      </c>
      <c r="L232" s="112">
        <f t="shared" si="125"/>
        <v>1467.2521889475613</v>
      </c>
      <c r="M232" s="112">
        <f t="shared" si="125"/>
        <v>1470.1866933254564</v>
      </c>
      <c r="N232" s="112">
        <f t="shared" si="125"/>
        <v>1473.1270667121073</v>
      </c>
      <c r="O232" s="112">
        <f t="shared" si="125"/>
        <v>1476.0733208455315</v>
      </c>
      <c r="P232" s="112">
        <f t="shared" si="125"/>
        <v>1479.0254674872226</v>
      </c>
      <c r="Q232" s="112">
        <f t="shared" si="125"/>
        <v>1481.983518422197</v>
      </c>
      <c r="R232" s="112">
        <f t="shared" si="125"/>
        <v>1484.9474854590414</v>
      </c>
      <c r="S232" s="112">
        <f t="shared" si="125"/>
        <v>1487.9173804299596</v>
      </c>
      <c r="T232" s="112">
        <f t="shared" si="125"/>
        <v>1490.8932151908195</v>
      </c>
      <c r="U232" s="112">
        <f t="shared" si="125"/>
        <v>1493.8750016212011</v>
      </c>
      <c r="V232" s="112">
        <f t="shared" si="125"/>
        <v>1496.8627516244435</v>
      </c>
      <c r="W232" s="112">
        <f t="shared" si="125"/>
        <v>1499.8564771276924</v>
      </c>
      <c r="X232" s="112">
        <f t="shared" si="125"/>
        <v>1502.8561900819477</v>
      </c>
      <c r="Y232" s="112">
        <f t="shared" si="125"/>
        <v>1505.8619024621116</v>
      </c>
      <c r="Z232" s="112">
        <f t="shared" si="125"/>
        <v>1508.8736262670359</v>
      </c>
      <c r="AA232" s="112">
        <f t="shared" si="125"/>
        <v>1511.8913735195699</v>
      </c>
      <c r="AC232" s="299">
        <f>+AA232/C232-1</f>
        <v>4.9120363384786758E-2</v>
      </c>
      <c r="AD232" s="304">
        <f>+AC232/25</f>
        <v>1.9648145353914704E-3</v>
      </c>
    </row>
    <row r="233" spans="1:35" x14ac:dyDescent="0.25">
      <c r="A233" s="187" t="s">
        <v>405</v>
      </c>
      <c r="B233" s="187" t="s">
        <v>405</v>
      </c>
      <c r="C233" s="112">
        <f>+C230</f>
        <v>1441.103829728117</v>
      </c>
      <c r="D233" s="112">
        <f t="shared" ref="D233:F233" si="126">+D230</f>
        <v>1443.9860373875733</v>
      </c>
      <c r="E233" s="112">
        <f t="shared" si="126"/>
        <v>1446.8740094623486</v>
      </c>
      <c r="F233" s="112">
        <f t="shared" si="126"/>
        <v>1449.7677574812733</v>
      </c>
      <c r="G233" s="112">
        <f>+G230</f>
        <v>1638.6811266110717</v>
      </c>
      <c r="H233" s="112">
        <f t="shared" ref="H233:AA233" si="127">+H230</f>
        <v>1689.7124037658082</v>
      </c>
      <c r="I233" s="112">
        <f t="shared" si="127"/>
        <v>1702.9474444133957</v>
      </c>
      <c r="J233" s="112">
        <f t="shared" si="127"/>
        <v>1716.3122992982348</v>
      </c>
      <c r="K233" s="112">
        <f t="shared" si="127"/>
        <v>1729.808246273345</v>
      </c>
      <c r="L233" s="112">
        <f t="shared" si="127"/>
        <v>1743.4365758079598</v>
      </c>
      <c r="M233" s="112">
        <f t="shared" si="127"/>
        <v>1757.1985911123925</v>
      </c>
      <c r="N233" s="112">
        <f t="shared" si="127"/>
        <v>1771.0956082641371</v>
      </c>
      <c r="O233" s="112">
        <f t="shared" si="127"/>
        <v>1785.1289563352209</v>
      </c>
      <c r="P233" s="112">
        <f t="shared" si="127"/>
        <v>1799.2999775208195</v>
      </c>
      <c r="Q233" s="112">
        <f t="shared" si="127"/>
        <v>1813.6100272691492</v>
      </c>
      <c r="R233" s="112">
        <f t="shared" si="127"/>
        <v>1828.0604744126435</v>
      </c>
      <c r="S233" s="112">
        <f t="shared" si="127"/>
        <v>1842.6527013004361</v>
      </c>
      <c r="T233" s="112">
        <f t="shared" si="127"/>
        <v>1857.3881039321525</v>
      </c>
      <c r="U233" s="112">
        <f t="shared" si="127"/>
        <v>1872.2680920930325</v>
      </c>
      <c r="V233" s="112">
        <f t="shared" si="127"/>
        <v>1887.2940894903904</v>
      </c>
      <c r="W233" s="112">
        <f t="shared" si="127"/>
        <v>1902.4675338914303</v>
      </c>
      <c r="X233" s="112">
        <f t="shared" si="127"/>
        <v>1917.7898772624262</v>
      </c>
      <c r="Y233" s="112">
        <f t="shared" si="127"/>
        <v>1933.2625859092855</v>
      </c>
      <c r="Z233" s="112">
        <f t="shared" si="127"/>
        <v>1948.887140619504</v>
      </c>
      <c r="AA233" s="112">
        <f t="shared" si="127"/>
        <v>1964.6650368055302</v>
      </c>
      <c r="AC233" s="299">
        <f>+AA233/C233-1</f>
        <v>0.36330568018557674</v>
      </c>
      <c r="AD233" s="304">
        <f>+AC233/25</f>
        <v>1.453222720742307E-2</v>
      </c>
    </row>
    <row r="234" spans="1:35" x14ac:dyDescent="0.25">
      <c r="V234" s="304">
        <f t="shared" ref="V234:Z234" si="128">+V230/U230-1</f>
        <v>8.0255586584079275E-3</v>
      </c>
      <c r="W234" s="304">
        <f t="shared" si="128"/>
        <v>8.0397880147746736E-3</v>
      </c>
      <c r="X234" s="304">
        <f t="shared" si="128"/>
        <v>8.053931590440655E-3</v>
      </c>
      <c r="Y234" s="304">
        <f t="shared" si="128"/>
        <v>8.0679895281050573E-3</v>
      </c>
      <c r="Z234" s="304">
        <f t="shared" si="128"/>
        <v>8.0819619766601125E-3</v>
      </c>
      <c r="AA234" s="304">
        <f>+AA230/Z230-1</f>
        <v>8.0958490910925107E-3</v>
      </c>
    </row>
    <row r="235" spans="1:35" x14ac:dyDescent="0.25">
      <c r="C235" s="187" t="s">
        <v>436</v>
      </c>
      <c r="N235" s="187" t="s">
        <v>441</v>
      </c>
      <c r="O235" s="187" t="s">
        <v>441</v>
      </c>
      <c r="P235" s="187" t="s">
        <v>441</v>
      </c>
      <c r="R235" s="103" t="s">
        <v>438</v>
      </c>
      <c r="S235" s="103"/>
      <c r="T235" s="103" t="s">
        <v>438</v>
      </c>
      <c r="U235" s="103" t="s">
        <v>438</v>
      </c>
    </row>
    <row r="236" spans="1:35" x14ac:dyDescent="0.25">
      <c r="C236" s="187" t="s">
        <v>352</v>
      </c>
      <c r="D236" s="112">
        <f>+D238</f>
        <v>1438.2273749781607</v>
      </c>
      <c r="E236" s="112">
        <f>+H232</f>
        <v>1455.5726275822283</v>
      </c>
      <c r="G236" s="112">
        <f>+I232</f>
        <v>1458.4837728373927</v>
      </c>
      <c r="H236" s="112">
        <f>+J232</f>
        <v>1461.4007403830676</v>
      </c>
      <c r="I236" s="112">
        <f>+V232</f>
        <v>1496.8627516244435</v>
      </c>
      <c r="J236" s="365">
        <f>+(I236/D236-1)/20</f>
        <v>2.0384599009309334E-3</v>
      </c>
      <c r="N236" s="103" t="s">
        <v>405</v>
      </c>
      <c r="O236" s="103" t="s">
        <v>352</v>
      </c>
      <c r="P236" s="103" t="s">
        <v>405</v>
      </c>
      <c r="R236" s="103" t="str">
        <f>+N236</f>
        <v>WP</v>
      </c>
      <c r="S236" s="103" t="s">
        <v>405</v>
      </c>
      <c r="T236" s="103" t="str">
        <f>+O236</f>
        <v>WOP</v>
      </c>
      <c r="U236" s="103" t="str">
        <f>+P236</f>
        <v>WP</v>
      </c>
      <c r="AD236" s="411" t="s">
        <v>473</v>
      </c>
      <c r="AE236" s="411"/>
      <c r="AF236" s="411"/>
      <c r="AG236" s="411"/>
      <c r="AH236" s="411"/>
      <c r="AI236" s="411"/>
    </row>
    <row r="237" spans="1:35" ht="15.75" thickBot="1" x14ac:dyDescent="0.3">
      <c r="D237" s="187" t="s">
        <v>404</v>
      </c>
      <c r="E237" s="187" t="s">
        <v>429</v>
      </c>
      <c r="F237" s="187" t="s">
        <v>425</v>
      </c>
      <c r="G237" s="187" t="s">
        <v>426</v>
      </c>
      <c r="H237" s="187" t="s">
        <v>427</v>
      </c>
      <c r="I237" s="187" t="s">
        <v>432</v>
      </c>
      <c r="N237" s="103" t="s">
        <v>409</v>
      </c>
      <c r="O237" s="103"/>
      <c r="P237" s="103" t="s">
        <v>472</v>
      </c>
      <c r="R237" s="103" t="str">
        <f>+N237</f>
        <v>Incremental</v>
      </c>
      <c r="S237" s="103" t="s">
        <v>409</v>
      </c>
      <c r="T237" s="103"/>
      <c r="U237" s="103" t="str">
        <f>+P237</f>
        <v>Overall</v>
      </c>
      <c r="AD237" s="389"/>
      <c r="AE237" s="390"/>
      <c r="AF237" s="390"/>
      <c r="AG237" s="390"/>
      <c r="AH237" s="390"/>
      <c r="AI237" s="390"/>
    </row>
    <row r="238" spans="1:35" ht="30.75" thickBot="1" x14ac:dyDescent="0.3">
      <c r="C238" s="187" t="s">
        <v>428</v>
      </c>
      <c r="D238" s="112">
        <f>+B230</f>
        <v>1438.2273749781607</v>
      </c>
      <c r="E238" s="112">
        <f>+H232</f>
        <v>1455.5726275822283</v>
      </c>
      <c r="F238" s="112">
        <f>+E238</f>
        <v>1455.5726275822283</v>
      </c>
      <c r="G238" s="112">
        <f>+G233</f>
        <v>1638.6811266110717</v>
      </c>
      <c r="H238" s="112">
        <f>+H233</f>
        <v>1689.7124037658082</v>
      </c>
      <c r="I238" s="112">
        <f>+V233</f>
        <v>1887.2940894903904</v>
      </c>
      <c r="J238" s="365">
        <f>+(I238/$I$236-1)/20</f>
        <v>1.3041654535201652E-2</v>
      </c>
      <c r="K238" s="103" t="s">
        <v>471</v>
      </c>
      <c r="L238" s="112">
        <f>+I238-$I$236</f>
        <v>390.43133786594694</v>
      </c>
      <c r="M238" s="304">
        <f>+L238/$L$241</f>
        <v>0.61640692816054132</v>
      </c>
      <c r="N238" s="369">
        <f>+(L238/$I$236)/20</f>
        <v>1.3041654535201652E-2</v>
      </c>
      <c r="O238" s="370">
        <f>+O248</f>
        <v>2.0384599009309447E-3</v>
      </c>
      <c r="P238" s="370">
        <f>+N238+O238</f>
        <v>1.5080114436132597E-2</v>
      </c>
      <c r="R238" s="130">
        <f>+F238-E236</f>
        <v>0</v>
      </c>
      <c r="S238" s="371">
        <v>0</v>
      </c>
      <c r="T238" s="370">
        <v>2E-3</v>
      </c>
      <c r="U238" s="370">
        <f>+SUM(S238:T238)</f>
        <v>2E-3</v>
      </c>
      <c r="AD238" s="407"/>
      <c r="AE238" s="409" t="s">
        <v>474</v>
      </c>
      <c r="AF238" s="391" t="s">
        <v>475</v>
      </c>
      <c r="AG238" s="392"/>
      <c r="AH238" s="392"/>
      <c r="AI238" s="392"/>
    </row>
    <row r="239" spans="1:35" ht="15.75" customHeight="1" thickBot="1" x14ac:dyDescent="0.3">
      <c r="C239" s="187" t="s">
        <v>431</v>
      </c>
      <c r="D239" s="187">
        <v>0</v>
      </c>
      <c r="E239" s="187">
        <v>0</v>
      </c>
      <c r="F239" s="112">
        <f>+H202*1000</f>
        <v>77.876022367941758</v>
      </c>
      <c r="G239" s="112">
        <f t="shared" ref="G239:I240" si="129">+F239</f>
        <v>77.876022367941758</v>
      </c>
      <c r="H239" s="112">
        <f t="shared" si="129"/>
        <v>77.876022367941758</v>
      </c>
      <c r="I239" s="112">
        <f t="shared" si="129"/>
        <v>77.876022367941758</v>
      </c>
      <c r="J239" s="365">
        <f>+(I239/$I$236)/20</f>
        <v>2.601308045224193E-3</v>
      </c>
      <c r="K239" s="103" t="s">
        <v>431</v>
      </c>
      <c r="L239" s="112">
        <f>+I239</f>
        <v>77.876022367941758</v>
      </c>
      <c r="M239" s="304">
        <f t="shared" ref="M239:M240" si="130">+L239/$L$241</f>
        <v>0.12294945376968262</v>
      </c>
      <c r="N239" s="369">
        <f>+(L239/$I$236)/20</f>
        <v>2.601308045224193E-3</v>
      </c>
      <c r="O239" s="103"/>
      <c r="P239" s="103"/>
      <c r="R239" s="130">
        <f>+F239</f>
        <v>77.876022367941758</v>
      </c>
      <c r="S239" s="323">
        <f>+(R239/$E$236)/6</f>
        <v>8.9169972115255344E-3</v>
      </c>
      <c r="T239" s="103"/>
      <c r="U239" s="103"/>
      <c r="AD239" s="408"/>
      <c r="AE239" s="410"/>
      <c r="AF239" s="393" t="s">
        <v>438</v>
      </c>
      <c r="AG239" s="394" t="s">
        <v>439</v>
      </c>
      <c r="AH239" s="394" t="s">
        <v>440</v>
      </c>
      <c r="AI239" s="395" t="s">
        <v>441</v>
      </c>
    </row>
    <row r="240" spans="1:35" ht="15.75" thickBot="1" x14ac:dyDescent="0.3">
      <c r="C240" s="187" t="s">
        <v>430</v>
      </c>
      <c r="D240" s="187">
        <v>0</v>
      </c>
      <c r="E240" s="187">
        <v>0</v>
      </c>
      <c r="F240" s="112">
        <f>+H206*1000</f>
        <v>165.09132499999998</v>
      </c>
      <c r="G240" s="112">
        <f t="shared" si="129"/>
        <v>165.09132499999998</v>
      </c>
      <c r="H240" s="112">
        <f t="shared" si="129"/>
        <v>165.09132499999998</v>
      </c>
      <c r="I240" s="112">
        <f t="shared" si="129"/>
        <v>165.09132499999998</v>
      </c>
      <c r="J240" s="365">
        <f>+(I240/$I$236)/20</f>
        <v>5.5145779003732166E-3</v>
      </c>
      <c r="K240" s="103" t="s">
        <v>459</v>
      </c>
      <c r="L240" s="112">
        <f>+I240</f>
        <v>165.09132499999998</v>
      </c>
      <c r="M240" s="304">
        <f t="shared" si="130"/>
        <v>0.26064361806977604</v>
      </c>
      <c r="N240" s="369">
        <f>+(L240/$I$236)/20</f>
        <v>5.5145779003732166E-3</v>
      </c>
      <c r="O240" s="370">
        <v>0.02</v>
      </c>
      <c r="P240" s="370">
        <f>+SUM(N239:N240,O240)</f>
        <v>2.811588594559741E-2</v>
      </c>
      <c r="R240" s="130">
        <f>+F240</f>
        <v>165.09132499999998</v>
      </c>
      <c r="S240" s="323">
        <f>+(R240/$E$236)/6</f>
        <v>1.8903365116886919E-2</v>
      </c>
      <c r="T240" s="370">
        <v>0.02</v>
      </c>
      <c r="U240" s="370">
        <f>+SUM(S239:S240,T240)</f>
        <v>4.7820362328412455E-2</v>
      </c>
      <c r="AD240" s="393" t="s">
        <v>476</v>
      </c>
      <c r="AE240" s="393">
        <v>3.99</v>
      </c>
      <c r="AF240" s="393">
        <v>3.99</v>
      </c>
      <c r="AG240" s="393">
        <v>4</v>
      </c>
      <c r="AH240" s="393">
        <v>4</v>
      </c>
      <c r="AI240" s="396">
        <v>4.0999999999999996</v>
      </c>
    </row>
    <row r="241" spans="3:35" x14ac:dyDescent="0.25">
      <c r="C241" s="187" t="s">
        <v>31</v>
      </c>
      <c r="D241" s="112">
        <f>+SUM(D238:D240)</f>
        <v>1438.2273749781607</v>
      </c>
      <c r="E241" s="112">
        <f>+SUM(E238:E240)</f>
        <v>1455.5726275822283</v>
      </c>
      <c r="F241" s="112">
        <f t="shared" ref="F241:I241" si="131">+SUM(F238:F240)</f>
        <v>1698.5399749501698</v>
      </c>
      <c r="G241" s="112">
        <f t="shared" si="131"/>
        <v>1881.6484739790135</v>
      </c>
      <c r="H241" s="112">
        <f t="shared" si="131"/>
        <v>1932.67975113375</v>
      </c>
      <c r="I241" s="112">
        <f t="shared" si="131"/>
        <v>2130.2614368583322</v>
      </c>
      <c r="J241" s="378">
        <f>+((I241/$I$236)-1)/20</f>
        <v>2.1157540480799063E-2</v>
      </c>
      <c r="K241" s="220" t="s">
        <v>472</v>
      </c>
      <c r="L241" s="379">
        <f>+SUM(L238:L240)</f>
        <v>633.39868523388873</v>
      </c>
      <c r="M241" s="366">
        <f>+L241/$L$241</f>
        <v>1</v>
      </c>
      <c r="N241" s="367">
        <f>+(L241/$I$236)/20</f>
        <v>2.1157540480799063E-2</v>
      </c>
      <c r="O241" s="368">
        <f>+SUM(O238:O240)</f>
        <v>2.2038459900930944E-2</v>
      </c>
      <c r="P241" s="368">
        <f>+SUM(P238:P240)</f>
        <v>4.3196000381730007E-2</v>
      </c>
      <c r="R241" s="130">
        <f>+SUM(R238:R240)</f>
        <v>242.96734736794173</v>
      </c>
      <c r="S241" s="372">
        <f>+SUM(S238:S240)</f>
        <v>2.7820362328412451E-2</v>
      </c>
      <c r="T241" s="373">
        <f>+SUM(T238:T240)</f>
        <v>2.1999999999999999E-2</v>
      </c>
      <c r="U241" s="373">
        <f>+SUM(U238:U240)</f>
        <v>4.9820362328412457E-2</v>
      </c>
      <c r="AD241" s="397" t="s">
        <v>477</v>
      </c>
      <c r="AE241" s="398"/>
      <c r="AF241" s="398"/>
      <c r="AG241" s="398"/>
      <c r="AH241" s="398"/>
      <c r="AI241" s="390"/>
    </row>
    <row r="242" spans="3:35" x14ac:dyDescent="0.25">
      <c r="AD242" s="397" t="s">
        <v>478</v>
      </c>
      <c r="AE242" s="397">
        <v>0</v>
      </c>
      <c r="AF242" s="397">
        <v>0</v>
      </c>
      <c r="AG242" s="397">
        <v>4.49</v>
      </c>
      <c r="AH242" s="397">
        <v>4.63</v>
      </c>
      <c r="AI242" s="399">
        <v>5.17</v>
      </c>
    </row>
    <row r="243" spans="3:35" x14ac:dyDescent="0.25">
      <c r="E243" s="112">
        <f>+E241-D241</f>
        <v>17.345252604067582</v>
      </c>
      <c r="F243" s="112">
        <f>+F241-E241</f>
        <v>242.96734736794156</v>
      </c>
      <c r="G243" s="112">
        <f>+G241-E241</f>
        <v>426.07584639678521</v>
      </c>
      <c r="H243" s="112">
        <f>+H241-E241</f>
        <v>477.10712355152168</v>
      </c>
      <c r="I243" s="112">
        <f>+I241-E241</f>
        <v>674.68880927610394</v>
      </c>
      <c r="AD243" s="397" t="s">
        <v>479</v>
      </c>
      <c r="AE243" s="397">
        <v>0</v>
      </c>
      <c r="AF243" s="397">
        <v>0.21</v>
      </c>
      <c r="AG243" s="397">
        <v>0.21</v>
      </c>
      <c r="AH243" s="397">
        <v>0.21</v>
      </c>
      <c r="AI243" s="399">
        <v>0.21</v>
      </c>
    </row>
    <row r="244" spans="3:35" x14ac:dyDescent="0.25">
      <c r="D244" s="187" t="s">
        <v>433</v>
      </c>
      <c r="E244" s="304">
        <f>+E243/D241</f>
        <v>1.2060160240192179E-2</v>
      </c>
      <c r="F244" s="304">
        <f>+F243/$D$241</f>
        <v>0.16893528213619977</v>
      </c>
      <c r="G244" s="304">
        <f>+G243/$D$241</f>
        <v>0.29625068595517112</v>
      </c>
      <c r="H244" s="304">
        <f>+H243/$D$241</f>
        <v>0.33173275092108889</v>
      </c>
      <c r="I244" s="304">
        <f>+I243/$D$241</f>
        <v>0.46911136654338054</v>
      </c>
      <c r="AD244" s="397" t="s">
        <v>480</v>
      </c>
      <c r="AE244" s="397">
        <v>0</v>
      </c>
      <c r="AF244" s="397">
        <v>0.4</v>
      </c>
      <c r="AG244" s="397">
        <v>0.45</v>
      </c>
      <c r="AH244" s="397">
        <v>0.45</v>
      </c>
      <c r="AI244" s="399">
        <v>0.45</v>
      </c>
    </row>
    <row r="245" spans="3:35" ht="15.75" thickBot="1" x14ac:dyDescent="0.3">
      <c r="D245" s="187" t="s">
        <v>434</v>
      </c>
      <c r="F245" s="304">
        <f>+F241/$E$241-1</f>
        <v>0.16692217397047471</v>
      </c>
      <c r="G245" s="304">
        <f t="shared" ref="G245:I245" si="132">+G241/$E$241-1</f>
        <v>0.29272043065588305</v>
      </c>
      <c r="H245" s="304">
        <f t="shared" si="132"/>
        <v>0.32777967551094855</v>
      </c>
      <c r="I245" s="304">
        <f t="shared" si="132"/>
        <v>0.46352122627971681</v>
      </c>
      <c r="AD245" s="393" t="s">
        <v>31</v>
      </c>
      <c r="AE245" s="393">
        <v>3.99</v>
      </c>
      <c r="AF245" s="393">
        <v>4.5999999999999996</v>
      </c>
      <c r="AG245" s="393">
        <v>5.16</v>
      </c>
      <c r="AH245" s="393">
        <v>5.3</v>
      </c>
      <c r="AI245" s="396">
        <v>5.84</v>
      </c>
    </row>
    <row r="246" spans="3:35" x14ac:dyDescent="0.25">
      <c r="D246" s="187" t="s">
        <v>435</v>
      </c>
      <c r="E246" s="304">
        <f>+E244/6</f>
        <v>2.0100267066986964E-3</v>
      </c>
      <c r="F246" s="304">
        <f>+F245/6</f>
        <v>2.7820362328412451E-2</v>
      </c>
      <c r="G246" s="304">
        <f>+G245/7</f>
        <v>4.1817204379411867E-2</v>
      </c>
      <c r="H246" s="304">
        <f>+H245/8</f>
        <v>4.0972459438868569E-2</v>
      </c>
      <c r="I246" s="304">
        <f>+I245/20</f>
        <v>2.3176061313985842E-2</v>
      </c>
    </row>
    <row r="247" spans="3:35" x14ac:dyDescent="0.25">
      <c r="C247" s="352" t="s">
        <v>352</v>
      </c>
      <c r="D247" s="353">
        <f>+D236/365</f>
        <v>3.9403489725429059</v>
      </c>
      <c r="E247" s="353">
        <f>+E236/365</f>
        <v>3.9878702125540499</v>
      </c>
      <c r="F247" s="353">
        <f>+E247</f>
        <v>3.9878702125540499</v>
      </c>
      <c r="G247" s="353">
        <f>+G236/365</f>
        <v>3.9958459529791583</v>
      </c>
      <c r="H247" s="353">
        <f>+H236/365</f>
        <v>4.0038376448851167</v>
      </c>
      <c r="I247" s="353">
        <f>+I236/365</f>
        <v>4.1009938400669688</v>
      </c>
      <c r="L247" s="361"/>
    </row>
    <row r="248" spans="3:35" x14ac:dyDescent="0.25">
      <c r="C248" s="374" t="str">
        <f>+C238</f>
        <v>Pure Genetics</v>
      </c>
      <c r="D248" s="375">
        <f t="shared" ref="D248:I248" si="133">+D238/365</f>
        <v>3.9403489725429059</v>
      </c>
      <c r="E248" s="375">
        <f t="shared" si="133"/>
        <v>3.9878702125540499</v>
      </c>
      <c r="F248" s="375">
        <f t="shared" si="133"/>
        <v>3.9878702125540499</v>
      </c>
      <c r="G248" s="375">
        <f t="shared" si="133"/>
        <v>4.4895373331810182</v>
      </c>
      <c r="H248" s="375">
        <f t="shared" si="133"/>
        <v>4.6293490514131728</v>
      </c>
      <c r="I248" s="375">
        <f t="shared" si="133"/>
        <v>5.1706687383298364</v>
      </c>
      <c r="K248" s="103" t="s">
        <v>471</v>
      </c>
      <c r="L248" s="139">
        <f>+I248-I247</f>
        <v>1.0696748982628677</v>
      </c>
      <c r="M248" s="304">
        <f>+L248/$L$251</f>
        <v>0.61640692816054121</v>
      </c>
      <c r="N248" s="365">
        <f>+(L248/$I$247)/20</f>
        <v>1.3041654535201643E-2</v>
      </c>
      <c r="O248" s="365">
        <f>+(I247/D247-1)/20</f>
        <v>2.0384599009309447E-3</v>
      </c>
      <c r="AE248" s="187" t="s">
        <v>438</v>
      </c>
      <c r="AF248" s="187" t="s">
        <v>439</v>
      </c>
      <c r="AG248" s="187" t="s">
        <v>440</v>
      </c>
      <c r="AH248" s="187" t="s">
        <v>441</v>
      </c>
      <c r="AI248" s="380" t="s">
        <v>352</v>
      </c>
    </row>
    <row r="249" spans="3:35" x14ac:dyDescent="0.25">
      <c r="C249" s="374" t="str">
        <f t="shared" ref="C249:C250" si="134">+C239</f>
        <v>AI</v>
      </c>
      <c r="D249" s="375">
        <f t="shared" ref="D249:E250" si="135">+D239/365</f>
        <v>0</v>
      </c>
      <c r="E249" s="375">
        <f t="shared" si="135"/>
        <v>0</v>
      </c>
      <c r="F249" s="375">
        <f t="shared" ref="F249:I249" si="136">+F239/365</f>
        <v>0.21335896539162125</v>
      </c>
      <c r="G249" s="375">
        <f t="shared" si="136"/>
        <v>0.21335896539162125</v>
      </c>
      <c r="H249" s="375">
        <f t="shared" si="136"/>
        <v>0.21335896539162125</v>
      </c>
      <c r="I249" s="375">
        <f t="shared" si="136"/>
        <v>0.21335896539162125</v>
      </c>
      <c r="K249" s="103" t="s">
        <v>431</v>
      </c>
      <c r="L249" s="139">
        <f>+I249</f>
        <v>0.21335896539162125</v>
      </c>
      <c r="M249" s="304">
        <f t="shared" ref="M249:M251" si="137">+L249/$L$251</f>
        <v>0.12294945376968268</v>
      </c>
      <c r="N249" s="365">
        <f t="shared" ref="N249:N251" si="138">+(L249/$I$247)/20</f>
        <v>2.601308045224193E-3</v>
      </c>
      <c r="AD249" s="381" t="s">
        <v>352</v>
      </c>
      <c r="AE249" s="382">
        <f>+AF240</f>
        <v>3.99</v>
      </c>
      <c r="AF249" s="382">
        <f>+AG240</f>
        <v>4</v>
      </c>
      <c r="AG249" s="382">
        <f t="shared" ref="AG249:AH249" si="139">+AH240</f>
        <v>4</v>
      </c>
      <c r="AH249" s="382">
        <f t="shared" si="139"/>
        <v>4.0999999999999996</v>
      </c>
      <c r="AI249" s="386">
        <v>2.1999999999999999E-2</v>
      </c>
    </row>
    <row r="250" spans="3:35" x14ac:dyDescent="0.25">
      <c r="C250" s="374" t="str">
        <f t="shared" si="134"/>
        <v>RBP</v>
      </c>
      <c r="D250" s="375">
        <f t="shared" si="135"/>
        <v>0</v>
      </c>
      <c r="E250" s="375">
        <f t="shared" si="135"/>
        <v>0</v>
      </c>
      <c r="F250" s="375">
        <f>+F240/365-0.05</f>
        <v>0.40230499999999997</v>
      </c>
      <c r="G250" s="375">
        <f t="shared" ref="G250:I250" si="140">+G240/365</f>
        <v>0.45230499999999996</v>
      </c>
      <c r="H250" s="375">
        <f t="shared" si="140"/>
        <v>0.45230499999999996</v>
      </c>
      <c r="I250" s="375">
        <f t="shared" si="140"/>
        <v>0.45230499999999996</v>
      </c>
      <c r="K250" s="103" t="s">
        <v>459</v>
      </c>
      <c r="L250" s="139">
        <f>+I250</f>
        <v>0.45230499999999996</v>
      </c>
      <c r="M250" s="304">
        <f t="shared" si="137"/>
        <v>0.26064361806977615</v>
      </c>
      <c r="N250" s="365">
        <f t="shared" si="138"/>
        <v>5.5145779003732158E-3</v>
      </c>
      <c r="AD250" s="381" t="s">
        <v>481</v>
      </c>
      <c r="AE250" s="383"/>
      <c r="AF250" s="383"/>
      <c r="AG250" s="383"/>
      <c r="AH250" s="383"/>
      <c r="AI250" s="382"/>
    </row>
    <row r="251" spans="3:35" x14ac:dyDescent="0.25">
      <c r="C251" s="376" t="s">
        <v>31</v>
      </c>
      <c r="D251" s="377">
        <f t="shared" ref="D251:I251" si="141">+SUM(D248:D250)</f>
        <v>3.9403489725429059</v>
      </c>
      <c r="E251" s="377">
        <f t="shared" si="141"/>
        <v>3.9878702125540499</v>
      </c>
      <c r="F251" s="377">
        <f t="shared" si="141"/>
        <v>4.6035341779456713</v>
      </c>
      <c r="G251" s="377">
        <f t="shared" si="141"/>
        <v>5.1552012985726394</v>
      </c>
      <c r="H251" s="377">
        <f t="shared" si="141"/>
        <v>5.295013016804794</v>
      </c>
      <c r="I251" s="377">
        <f t="shared" si="141"/>
        <v>5.8363327037214576</v>
      </c>
      <c r="K251" s="220" t="s">
        <v>472</v>
      </c>
      <c r="L251" s="139">
        <f>+I251-I247</f>
        <v>1.7353388636544889</v>
      </c>
      <c r="M251" s="304">
        <f t="shared" si="137"/>
        <v>1</v>
      </c>
      <c r="N251" s="365">
        <f t="shared" si="138"/>
        <v>2.1157540480799049E-2</v>
      </c>
      <c r="AD251" s="381" t="s">
        <v>478</v>
      </c>
      <c r="AE251" s="384">
        <f>+AF242/AE249</f>
        <v>0</v>
      </c>
      <c r="AF251" s="384">
        <f>+(AG242/AF249-1)/7</f>
        <v>1.7500000000000009E-2</v>
      </c>
      <c r="AG251" s="384">
        <f>+(AH242/AG249-1)/8</f>
        <v>1.9687499999999997E-2</v>
      </c>
      <c r="AH251" s="384">
        <f>+(AI242/AH249-1)/20</f>
        <v>1.3048780487804879E-2</v>
      </c>
      <c r="AI251" s="387">
        <v>2E-3</v>
      </c>
    </row>
    <row r="252" spans="3:35" x14ac:dyDescent="0.25">
      <c r="AD252" s="381" t="s">
        <v>479</v>
      </c>
      <c r="AE252" s="384">
        <f>+(AF243/AE249)/6</f>
        <v>8.771929824561403E-3</v>
      </c>
      <c r="AF252" s="384">
        <f>+(AG243/AF249)/7</f>
        <v>7.4999999999999997E-3</v>
      </c>
      <c r="AG252" s="384">
        <f>+(AH243/AG249)/8</f>
        <v>6.5624999999999998E-3</v>
      </c>
      <c r="AH252" s="384">
        <f>+(AI243/AH249)/20</f>
        <v>2.5609756097560977E-3</v>
      </c>
      <c r="AI252" s="405">
        <v>0.02</v>
      </c>
    </row>
    <row r="253" spans="3:35" x14ac:dyDescent="0.25">
      <c r="C253" s="187" t="s">
        <v>428</v>
      </c>
      <c r="E253" s="139">
        <f>+E248-E247</f>
        <v>0</v>
      </c>
      <c r="F253" s="139">
        <f>+F248-E247</f>
        <v>0</v>
      </c>
      <c r="G253" s="139">
        <f>+G248-G247</f>
        <v>0.49369138020185988</v>
      </c>
      <c r="H253" s="139">
        <f>+H248-H247</f>
        <v>0.62551140652805604</v>
      </c>
      <c r="I253" s="139">
        <f>+I248-I247</f>
        <v>1.0696748982628677</v>
      </c>
      <c r="AD253" s="381" t="s">
        <v>480</v>
      </c>
      <c r="AE253" s="384">
        <f>+(AF244/AE249)/6</f>
        <v>1.6708437761069339E-2</v>
      </c>
      <c r="AF253" s="384">
        <f>+(AG244/AF249)/7</f>
        <v>1.6071428571428573E-2</v>
      </c>
      <c r="AG253" s="384">
        <f>+(AH244/AG249)/8</f>
        <v>1.40625E-2</v>
      </c>
      <c r="AH253" s="384">
        <f>+(AI244/AH249)/20</f>
        <v>5.487804878048781E-3</v>
      </c>
      <c r="AI253" s="405"/>
    </row>
    <row r="254" spans="3:35" x14ac:dyDescent="0.25">
      <c r="C254" s="187" t="s">
        <v>431</v>
      </c>
      <c r="E254" s="139">
        <f t="shared" ref="E254:H254" si="142">+E249</f>
        <v>0</v>
      </c>
      <c r="F254" s="139">
        <f t="shared" si="142"/>
        <v>0.21335896539162125</v>
      </c>
      <c r="G254" s="139">
        <f t="shared" si="142"/>
        <v>0.21335896539162125</v>
      </c>
      <c r="H254" s="139">
        <f t="shared" si="142"/>
        <v>0.21335896539162125</v>
      </c>
      <c r="I254" s="139">
        <f>+I249</f>
        <v>0.21335896539162125</v>
      </c>
      <c r="AD254" s="381" t="s">
        <v>31</v>
      </c>
      <c r="AE254" s="384">
        <f>+(AF245/AE249-1)/6</f>
        <v>2.5480367585630732E-2</v>
      </c>
      <c r="AF254" s="384">
        <f>+(AG245/AF249-1)/7</f>
        <v>4.1428571428571433E-2</v>
      </c>
      <c r="AG254" s="384">
        <f>+(AH245/AG249-1)/8</f>
        <v>4.0624999999999994E-2</v>
      </c>
      <c r="AH254" s="384">
        <f>+(AI245/AH249-1)/20</f>
        <v>2.121951219512196E-2</v>
      </c>
      <c r="AI254" s="385">
        <f>+SUM(AI251:AI253)</f>
        <v>2.1999999999999999E-2</v>
      </c>
    </row>
    <row r="255" spans="3:35" x14ac:dyDescent="0.25">
      <c r="C255" s="187" t="s">
        <v>430</v>
      </c>
      <c r="E255" s="139">
        <f t="shared" ref="E255:H255" si="143">+E250</f>
        <v>0</v>
      </c>
      <c r="F255" s="139">
        <f t="shared" si="143"/>
        <v>0.40230499999999997</v>
      </c>
      <c r="G255" s="139">
        <f t="shared" si="143"/>
        <v>0.45230499999999996</v>
      </c>
      <c r="H255" s="139">
        <f t="shared" si="143"/>
        <v>0.45230499999999996</v>
      </c>
      <c r="I255" s="139">
        <f>+I250</f>
        <v>0.45230499999999996</v>
      </c>
      <c r="AH255" s="382"/>
      <c r="AI255" s="381"/>
    </row>
    <row r="256" spans="3:35" x14ac:dyDescent="0.25">
      <c r="E256" s="139">
        <f t="shared" ref="E256:H256" si="144">+SUM(E247,E253:E255)</f>
        <v>3.9878702125540499</v>
      </c>
      <c r="F256" s="139">
        <f t="shared" si="144"/>
        <v>4.6035341779456713</v>
      </c>
      <c r="G256" s="139">
        <f t="shared" si="144"/>
        <v>5.1552012985726394</v>
      </c>
      <c r="H256" s="139">
        <f t="shared" si="144"/>
        <v>5.295013016804794</v>
      </c>
      <c r="I256" s="139">
        <f>+SUM(I247,I253:I255)</f>
        <v>5.8363327037214576</v>
      </c>
      <c r="AH256" s="381"/>
    </row>
    <row r="257" spans="1:34" x14ac:dyDescent="0.25">
      <c r="E257" s="187" t="s">
        <v>437</v>
      </c>
      <c r="AD257" s="103" t="s">
        <v>484</v>
      </c>
      <c r="AE257" s="103"/>
      <c r="AF257" s="103"/>
      <c r="AG257" s="103"/>
    </row>
    <row r="258" spans="1:34" x14ac:dyDescent="0.25">
      <c r="D258" s="187" t="s">
        <v>352</v>
      </c>
      <c r="E258" s="139">
        <f>+E248</f>
        <v>3.9878702125540499</v>
      </c>
      <c r="AD258" s="103" t="s">
        <v>485</v>
      </c>
      <c r="AE258" s="103" t="s">
        <v>352</v>
      </c>
      <c r="AF258" s="103" t="s">
        <v>483</v>
      </c>
      <c r="AG258" s="103"/>
    </row>
    <row r="259" spans="1:34" x14ac:dyDescent="0.25">
      <c r="D259" s="187" t="s">
        <v>405</v>
      </c>
      <c r="AD259" s="103"/>
      <c r="AE259" s="370"/>
      <c r="AF259" s="103"/>
      <c r="AG259" s="103"/>
    </row>
    <row r="260" spans="1:34" x14ac:dyDescent="0.25">
      <c r="B260" s="187" t="s">
        <v>392</v>
      </c>
      <c r="D260" s="187" t="s">
        <v>341</v>
      </c>
      <c r="AD260" s="103" t="s">
        <v>482</v>
      </c>
      <c r="AE260" s="103"/>
      <c r="AF260" s="103"/>
      <c r="AG260" s="103"/>
    </row>
    <row r="261" spans="1:34" x14ac:dyDescent="0.25">
      <c r="B261" s="103" t="s">
        <v>458</v>
      </c>
      <c r="C261" s="103" t="s">
        <v>442</v>
      </c>
      <c r="D261" s="103" t="s">
        <v>443</v>
      </c>
      <c r="E261" s="103" t="s">
        <v>444</v>
      </c>
      <c r="F261" s="103" t="s">
        <v>445</v>
      </c>
      <c r="G261" s="103" t="s">
        <v>446</v>
      </c>
      <c r="H261" s="103" t="s">
        <v>438</v>
      </c>
      <c r="I261" s="103" t="s">
        <v>439</v>
      </c>
      <c r="J261" s="103" t="s">
        <v>440</v>
      </c>
      <c r="K261" s="103" t="s">
        <v>447</v>
      </c>
      <c r="L261" s="103" t="s">
        <v>448</v>
      </c>
      <c r="M261" s="103" t="s">
        <v>449</v>
      </c>
      <c r="N261" s="103" t="s">
        <v>450</v>
      </c>
      <c r="O261" s="103" t="s">
        <v>451</v>
      </c>
      <c r="P261" s="103" t="s">
        <v>452</v>
      </c>
      <c r="Q261" s="103" t="s">
        <v>453</v>
      </c>
      <c r="R261" s="103" t="s">
        <v>454</v>
      </c>
      <c r="S261" s="103" t="s">
        <v>455</v>
      </c>
      <c r="T261" s="103" t="s">
        <v>456</v>
      </c>
      <c r="U261" s="103" t="s">
        <v>457</v>
      </c>
      <c r="V261" s="103" t="s">
        <v>441</v>
      </c>
      <c r="AD261" s="103" t="str">
        <f>+AD251</f>
        <v xml:space="preserve">     Genetic Improvement</v>
      </c>
      <c r="AE261" s="370">
        <v>2E-3</v>
      </c>
      <c r="AF261" s="370">
        <f>+AH251</f>
        <v>1.3048780487804879E-2</v>
      </c>
      <c r="AG261" s="103"/>
      <c r="AH261" s="299">
        <f>+AF261/$AF$264</f>
        <v>0.61849710982658956</v>
      </c>
    </row>
    <row r="262" spans="1:34" x14ac:dyDescent="0.25">
      <c r="B262" s="103" t="str">
        <f>+C248</f>
        <v>Pure Genetics</v>
      </c>
      <c r="C262" s="131">
        <v>0</v>
      </c>
      <c r="D262" s="103">
        <v>0</v>
      </c>
      <c r="E262" s="103">
        <v>0</v>
      </c>
      <c r="F262" s="103">
        <v>0</v>
      </c>
      <c r="G262" s="103">
        <v>0</v>
      </c>
      <c r="H262" s="131">
        <v>0</v>
      </c>
      <c r="I262" s="131">
        <f t="shared" ref="I262:V262" si="145">+G187</f>
        <v>2.4441460580022969E-2</v>
      </c>
      <c r="J262" s="131">
        <f t="shared" si="145"/>
        <v>8.4040326628459283E-2</v>
      </c>
      <c r="K262" s="131">
        <f t="shared" si="145"/>
        <v>0.1992854211037795</v>
      </c>
      <c r="L262" s="131">
        <f t="shared" si="145"/>
        <v>0.37532312394609413</v>
      </c>
      <c r="M262" s="131">
        <f t="shared" si="145"/>
        <v>0.62526956164422598</v>
      </c>
      <c r="N262" s="131">
        <f t="shared" si="145"/>
        <v>0.91693044174226734</v>
      </c>
      <c r="O262" s="131">
        <f t="shared" si="145"/>
        <v>1.1928282008469218</v>
      </c>
      <c r="P262" s="131">
        <f t="shared" si="145"/>
        <v>1.4259811398527813</v>
      </c>
      <c r="Q262" s="131">
        <f t="shared" si="145"/>
        <v>1.6104480410779354</v>
      </c>
      <c r="R262" s="131">
        <f t="shared" si="145"/>
        <v>1.733193545971373</v>
      </c>
      <c r="S262" s="131">
        <f t="shared" si="145"/>
        <v>1.8020939756723269</v>
      </c>
      <c r="T262" s="131">
        <f t="shared" si="145"/>
        <v>1.8640356760734407</v>
      </c>
      <c r="U262" s="131">
        <f t="shared" si="145"/>
        <v>1.9256375012214881</v>
      </c>
      <c r="V262" s="131">
        <f t="shared" si="145"/>
        <v>1.9878215297817974</v>
      </c>
      <c r="AD262" s="103" t="str">
        <f t="shared" ref="AD262:AD264" si="146">+AD252</f>
        <v xml:space="preserve">     AI Service by MAITs</v>
      </c>
      <c r="AE262" s="406">
        <v>0.02</v>
      </c>
      <c r="AF262" s="370">
        <f>+AH252</f>
        <v>2.5609756097560977E-3</v>
      </c>
      <c r="AG262" s="103"/>
      <c r="AH262" s="299">
        <f t="shared" ref="AH262:AH263" si="147">+AF262/$AF$264</f>
        <v>0.12138728323699421</v>
      </c>
    </row>
    <row r="263" spans="1:34" x14ac:dyDescent="0.25">
      <c r="B263" s="103" t="str">
        <f>+C249</f>
        <v>AI</v>
      </c>
      <c r="C263" s="131">
        <v>0</v>
      </c>
      <c r="D263" s="131">
        <f>+D147/1000</f>
        <v>1.1650169539916641E-2</v>
      </c>
      <c r="E263" s="131">
        <f t="shared" ref="E263:V263" si="148">+E147/1000</f>
        <v>2.700770688073979E-2</v>
      </c>
      <c r="F263" s="131">
        <f t="shared" si="148"/>
        <v>5.0126788743287208E-2</v>
      </c>
      <c r="G263" s="131">
        <f t="shared" si="148"/>
        <v>7.3159649238014185E-2</v>
      </c>
      <c r="H263" s="131">
        <f t="shared" si="148"/>
        <v>9.9862696158438249E-2</v>
      </c>
      <c r="I263" s="131">
        <f t="shared" si="148"/>
        <v>0.12084643208864387</v>
      </c>
      <c r="J263" s="131">
        <f t="shared" si="148"/>
        <v>0.12142818787721317</v>
      </c>
      <c r="K263" s="131">
        <f t="shared" si="148"/>
        <v>0.12142818787721317</v>
      </c>
      <c r="L263" s="131">
        <f t="shared" si="148"/>
        <v>0.12142818787721317</v>
      </c>
      <c r="M263" s="131">
        <f t="shared" si="148"/>
        <v>0.12142818787721317</v>
      </c>
      <c r="N263" s="131">
        <f t="shared" si="148"/>
        <v>0.12142818787721317</v>
      </c>
      <c r="O263" s="131">
        <f t="shared" si="148"/>
        <v>0.12142818787721317</v>
      </c>
      <c r="P263" s="131">
        <f t="shared" si="148"/>
        <v>0.12142818787721317</v>
      </c>
      <c r="Q263" s="131">
        <f t="shared" si="148"/>
        <v>0.12142818787721317</v>
      </c>
      <c r="R263" s="131">
        <f t="shared" si="148"/>
        <v>0.12142818787721317</v>
      </c>
      <c r="S263" s="131">
        <f t="shared" si="148"/>
        <v>0.12142818787721317</v>
      </c>
      <c r="T263" s="131">
        <f t="shared" si="148"/>
        <v>0.12142818787721317</v>
      </c>
      <c r="U263" s="131">
        <f t="shared" si="148"/>
        <v>0.12142818787721317</v>
      </c>
      <c r="V263" s="131">
        <f t="shared" si="148"/>
        <v>0.12142818787721317</v>
      </c>
      <c r="AD263" s="103" t="str">
        <f t="shared" si="146"/>
        <v xml:space="preserve">     Nutrition Management</v>
      </c>
      <c r="AE263" s="406"/>
      <c r="AF263" s="370">
        <f>+AH253</f>
        <v>5.487804878048781E-3</v>
      </c>
      <c r="AG263" s="103"/>
      <c r="AH263" s="299">
        <f t="shared" si="147"/>
        <v>0.26011560693641617</v>
      </c>
    </row>
    <row r="264" spans="1:34" x14ac:dyDescent="0.25">
      <c r="B264" s="103" t="s">
        <v>459</v>
      </c>
      <c r="C264" s="131">
        <f>'[1]Feed and Fodder (E) Zone.2'!G96</f>
        <v>1.575033149746875E-3</v>
      </c>
      <c r="D264" s="131">
        <f>'[1]Feed and Fodder (E) Zone.2'!H96</f>
        <v>1.0100617446150002E-2</v>
      </c>
      <c r="E264" s="131">
        <f>'[1]Feed and Fodder (E) Zone.2'!I96</f>
        <v>4.2506765085881248E-2</v>
      </c>
      <c r="F264" s="131">
        <f>'[1]Feed and Fodder (E) Zone.2'!J96</f>
        <v>0.11697841346346748</v>
      </c>
      <c r="G264" s="131">
        <f>'[1]Feed and Fodder (E) Zone.2'!K96</f>
        <v>0.23119191043410001</v>
      </c>
      <c r="H264" s="131">
        <f>'[1]Feed and Fodder (E) Zone.2'!L96</f>
        <v>0.32944847236859259</v>
      </c>
      <c r="I264" s="131">
        <f>'[1]Feed and Fodder (E) Zone.2'!M96</f>
        <v>0.40458584325967506</v>
      </c>
      <c r="J264" s="131">
        <f>'[1]Feed and Fodder (E) Zone.2'!N96</f>
        <v>0.45082422534649508</v>
      </c>
      <c r="K264" s="131">
        <f>'[1]Feed and Fodder (E) Zone.2'!O96</f>
        <v>0.46238382086820012</v>
      </c>
      <c r="L264" s="131">
        <f>'[1]Feed and Fodder (E) Zone.2'!P96</f>
        <v>0.46238382086820012</v>
      </c>
      <c r="M264" s="131">
        <f>'[1]Feed and Fodder (E) Zone.2'!Q96</f>
        <v>0.46238382086820012</v>
      </c>
      <c r="N264" s="131">
        <f>'[1]Feed and Fodder (E) Zone.2'!R96</f>
        <v>0.46238382086820012</v>
      </c>
      <c r="O264" s="131">
        <f>'[1]Feed and Fodder (E) Zone.2'!S96</f>
        <v>0.46238382086820012</v>
      </c>
      <c r="P264" s="131">
        <f>'[1]Feed and Fodder (E) Zone.2'!T96</f>
        <v>0.46238382086820012</v>
      </c>
      <c r="Q264" s="131">
        <f>'[1]Feed and Fodder (E) Zone.2'!U96</f>
        <v>0.46238382086820012</v>
      </c>
      <c r="R264" s="131">
        <f>'[1]Feed and Fodder (E) Zone.2'!V96</f>
        <v>0.46238382086820012</v>
      </c>
      <c r="S264" s="131">
        <f>'[1]Feed and Fodder (E) Zone.2'!W96</f>
        <v>0.46238382086820012</v>
      </c>
      <c r="T264" s="131">
        <f>'[1]Feed and Fodder (E) Zone.2'!X96</f>
        <v>0.46238382086820012</v>
      </c>
      <c r="U264" s="131">
        <f>'[1]Feed and Fodder (E) Zone.2'!Y96</f>
        <v>0.46238382086820012</v>
      </c>
      <c r="V264" s="131">
        <f>'[1]Feed and Fodder (E) Zone.2'!Z96</f>
        <v>0.46238382086820012</v>
      </c>
      <c r="W264" s="139"/>
      <c r="X264" s="139"/>
      <c r="Y264" s="139"/>
      <c r="AD264" s="103" t="str">
        <f t="shared" si="146"/>
        <v>Total</v>
      </c>
      <c r="AE264" s="370">
        <f>+SUM(AE261:AE263)</f>
        <v>2.1999999999999999E-2</v>
      </c>
      <c r="AF264" s="370">
        <f>+SUM(AF261:AF263)</f>
        <v>2.1097560975609757E-2</v>
      </c>
      <c r="AG264" s="103"/>
    </row>
    <row r="265" spans="1:34" x14ac:dyDescent="0.25">
      <c r="B265" s="103" t="str">
        <f>+C251</f>
        <v>Total</v>
      </c>
      <c r="C265" s="131">
        <f>+SUM(C262:C264)</f>
        <v>1.575033149746875E-3</v>
      </c>
      <c r="D265" s="131">
        <f t="shared" ref="D265:V265" si="149">+SUM(D262:D264)</f>
        <v>2.1750786986066643E-2</v>
      </c>
      <c r="E265" s="131">
        <f t="shared" si="149"/>
        <v>6.9514471966621041E-2</v>
      </c>
      <c r="F265" s="131">
        <f t="shared" si="149"/>
        <v>0.16710520220675468</v>
      </c>
      <c r="G265" s="131">
        <f t="shared" si="149"/>
        <v>0.30435155967211419</v>
      </c>
      <c r="H265" s="131">
        <f t="shared" si="149"/>
        <v>0.42931116852703083</v>
      </c>
      <c r="I265" s="131">
        <f t="shared" si="149"/>
        <v>0.54987373592834188</v>
      </c>
      <c r="J265" s="131">
        <f t="shared" si="149"/>
        <v>0.65629273985216752</v>
      </c>
      <c r="K265" s="131">
        <f t="shared" si="149"/>
        <v>0.78309742984919284</v>
      </c>
      <c r="L265" s="131">
        <f t="shared" si="149"/>
        <v>0.95913513269150741</v>
      </c>
      <c r="M265" s="131">
        <f t="shared" si="149"/>
        <v>1.2090815703896394</v>
      </c>
      <c r="N265" s="131">
        <f t="shared" si="149"/>
        <v>1.5007424504876805</v>
      </c>
      <c r="O265" s="131">
        <f t="shared" si="149"/>
        <v>1.776640209592335</v>
      </c>
      <c r="P265" s="131">
        <f t="shared" si="149"/>
        <v>2.0097931485981948</v>
      </c>
      <c r="Q265" s="131">
        <f t="shared" si="149"/>
        <v>2.1942600498233489</v>
      </c>
      <c r="R265" s="131">
        <f t="shared" si="149"/>
        <v>2.3170055547167863</v>
      </c>
      <c r="S265" s="131">
        <f t="shared" si="149"/>
        <v>2.3859059844177404</v>
      </c>
      <c r="T265" s="131">
        <f t="shared" si="149"/>
        <v>2.447847684818854</v>
      </c>
      <c r="U265" s="131">
        <f t="shared" si="149"/>
        <v>2.5094495099669012</v>
      </c>
      <c r="V265" s="131">
        <f t="shared" si="149"/>
        <v>2.5716335385272107</v>
      </c>
    </row>
    <row r="267" spans="1:34" x14ac:dyDescent="0.25">
      <c r="B267" s="187" t="s">
        <v>461</v>
      </c>
      <c r="C267" s="139">
        <f>+C180</f>
        <v>0</v>
      </c>
      <c r="D267" s="139">
        <f t="shared" ref="D267:V267" si="150">+D180</f>
        <v>0</v>
      </c>
      <c r="E267" s="139">
        <f t="shared" si="150"/>
        <v>0</v>
      </c>
      <c r="F267" s="363">
        <f t="shared" si="150"/>
        <v>0</v>
      </c>
      <c r="G267" s="363">
        <f t="shared" si="150"/>
        <v>3.6171685152937616E-2</v>
      </c>
      <c r="H267" s="363">
        <f t="shared" si="150"/>
        <v>0.15033739220870329</v>
      </c>
      <c r="I267" s="139">
        <f t="shared" si="150"/>
        <v>0.37710147055752119</v>
      </c>
      <c r="J267" s="139">
        <f t="shared" si="150"/>
        <v>0.73663936701909338</v>
      </c>
      <c r="K267" s="139">
        <f t="shared" si="150"/>
        <v>1.2406879727148168</v>
      </c>
      <c r="L267" s="139">
        <f t="shared" si="150"/>
        <v>1.8448446888719245</v>
      </c>
      <c r="M267" s="139">
        <f t="shared" si="150"/>
        <v>2.4293337418655079</v>
      </c>
      <c r="N267" s="139">
        <f t="shared" si="150"/>
        <v>2.9042321635166903</v>
      </c>
      <c r="O267" s="139">
        <f t="shared" si="150"/>
        <v>3.2463567670551177</v>
      </c>
      <c r="P267" s="139">
        <f t="shared" si="150"/>
        <v>3.443970661359395</v>
      </c>
      <c r="Q267" s="139">
        <f t="shared" si="150"/>
        <v>3.5053047600493494</v>
      </c>
      <c r="R267" s="139">
        <f t="shared" si="150"/>
        <v>3.5083124999999997</v>
      </c>
      <c r="S267" s="139">
        <f t="shared" si="150"/>
        <v>3.5083124999999997</v>
      </c>
      <c r="T267" s="363">
        <f t="shared" si="150"/>
        <v>3.5083124999999997</v>
      </c>
      <c r="U267" s="139">
        <f t="shared" si="150"/>
        <v>3.5083124999999997</v>
      </c>
      <c r="V267" s="139">
        <f t="shared" si="150"/>
        <v>3.5083124999999997</v>
      </c>
    </row>
    <row r="271" spans="1:34" x14ac:dyDescent="0.2">
      <c r="A271" s="401"/>
      <c r="B271" s="401"/>
      <c r="C271" s="401"/>
    </row>
    <row r="272" spans="1:34" x14ac:dyDescent="0.2">
      <c r="A272" s="401"/>
      <c r="B272" s="401"/>
      <c r="C272" s="401"/>
    </row>
    <row r="273" spans="1:8" x14ac:dyDescent="0.2">
      <c r="A273" s="402"/>
      <c r="B273" s="402"/>
      <c r="C273" s="402"/>
    </row>
    <row r="274" spans="1:8" x14ac:dyDescent="0.2">
      <c r="A274" s="401"/>
      <c r="B274" s="401"/>
      <c r="C274" s="401"/>
    </row>
    <row r="275" spans="1:8" x14ac:dyDescent="0.2">
      <c r="A275" s="403"/>
      <c r="B275" s="401"/>
      <c r="C275" s="404"/>
    </row>
    <row r="276" spans="1:8" x14ac:dyDescent="0.2">
      <c r="A276" s="403"/>
      <c r="B276" s="401"/>
      <c r="C276" s="404"/>
    </row>
    <row r="277" spans="1:8" x14ac:dyDescent="0.2">
      <c r="A277" s="403"/>
      <c r="B277" s="401"/>
      <c r="C277" s="404"/>
    </row>
    <row r="278" spans="1:8" x14ac:dyDescent="0.2">
      <c r="A278" s="403"/>
      <c r="B278" s="402"/>
      <c r="C278" s="404"/>
    </row>
    <row r="281" spans="1:8" x14ac:dyDescent="0.25">
      <c r="G281" s="187" t="s">
        <v>409</v>
      </c>
    </row>
    <row r="282" spans="1:8" x14ac:dyDescent="0.25">
      <c r="G282" s="187" t="s">
        <v>405</v>
      </c>
      <c r="H282" s="187" t="s">
        <v>352</v>
      </c>
    </row>
    <row r="284" spans="1:8" x14ac:dyDescent="0.25">
      <c r="A284" s="187" t="s">
        <v>392</v>
      </c>
      <c r="B284" s="187" t="s">
        <v>458</v>
      </c>
      <c r="C284" s="187" t="s">
        <v>428</v>
      </c>
      <c r="D284" s="187" t="s">
        <v>431</v>
      </c>
      <c r="E284" s="187" t="s">
        <v>459</v>
      </c>
      <c r="F284" s="187" t="s">
        <v>31</v>
      </c>
      <c r="G284" s="187">
        <v>0</v>
      </c>
    </row>
    <row r="285" spans="1:8" x14ac:dyDescent="0.25">
      <c r="B285" s="187" t="s">
        <v>442</v>
      </c>
      <c r="C285" s="139">
        <v>0</v>
      </c>
      <c r="D285" s="139">
        <v>0</v>
      </c>
      <c r="E285" s="139">
        <v>1.575033149746875E-3</v>
      </c>
      <c r="F285" s="139">
        <v>1.575033149746875E-3</v>
      </c>
      <c r="G285" s="139">
        <f>+F285+G284</f>
        <v>1.575033149746875E-3</v>
      </c>
    </row>
    <row r="286" spans="1:8" x14ac:dyDescent="0.25">
      <c r="A286" s="187" t="s">
        <v>341</v>
      </c>
      <c r="B286" s="187" t="s">
        <v>443</v>
      </c>
      <c r="C286" s="139">
        <v>0</v>
      </c>
      <c r="D286" s="139">
        <v>1.1650169539916641E-2</v>
      </c>
      <c r="E286" s="139">
        <v>1.0100617446150002E-2</v>
      </c>
      <c r="F286" s="139">
        <v>2.1750786986066643E-2</v>
      </c>
      <c r="G286" s="139">
        <f t="shared" ref="G286:G304" si="151">+F286+G285</f>
        <v>2.3325820135813517E-2</v>
      </c>
    </row>
    <row r="287" spans="1:8" x14ac:dyDescent="0.25">
      <c r="B287" s="187" t="s">
        <v>444</v>
      </c>
      <c r="C287" s="139">
        <v>0</v>
      </c>
      <c r="D287" s="139">
        <v>2.700770688073979E-2</v>
      </c>
      <c r="E287" s="139">
        <v>4.2506765085881248E-2</v>
      </c>
      <c r="F287" s="139">
        <v>6.9514471966621041E-2</v>
      </c>
      <c r="G287" s="139">
        <f t="shared" si="151"/>
        <v>9.2840292102434552E-2</v>
      </c>
    </row>
    <row r="288" spans="1:8" x14ac:dyDescent="0.25">
      <c r="B288" s="187" t="s">
        <v>445</v>
      </c>
      <c r="C288" s="139">
        <v>0</v>
      </c>
      <c r="D288" s="139">
        <v>5.0126788743287208E-2</v>
      </c>
      <c r="E288" s="139">
        <v>0.11697841346346748</v>
      </c>
      <c r="F288" s="139">
        <v>0.16710520220675468</v>
      </c>
      <c r="G288" s="139">
        <f t="shared" si="151"/>
        <v>0.25994549430918923</v>
      </c>
    </row>
    <row r="289" spans="2:7" x14ac:dyDescent="0.25">
      <c r="B289" s="187" t="s">
        <v>446</v>
      </c>
      <c r="C289" s="139">
        <v>0</v>
      </c>
      <c r="D289" s="139">
        <v>7.3159649238014185E-2</v>
      </c>
      <c r="E289" s="139">
        <v>0.23119191043410001</v>
      </c>
      <c r="F289" s="139">
        <v>0.30435155967211419</v>
      </c>
      <c r="G289" s="139">
        <f t="shared" si="151"/>
        <v>0.56429705398130348</v>
      </c>
    </row>
    <row r="290" spans="2:7" x14ac:dyDescent="0.25">
      <c r="B290" s="187" t="s">
        <v>438</v>
      </c>
      <c r="C290" s="139">
        <v>0</v>
      </c>
      <c r="D290" s="139">
        <v>9.9862696158438249E-2</v>
      </c>
      <c r="E290" s="139">
        <v>0.32944847236859259</v>
      </c>
      <c r="F290" s="139">
        <v>0.42931116852703083</v>
      </c>
      <c r="G290" s="139">
        <f t="shared" si="151"/>
        <v>0.99360822250833425</v>
      </c>
    </row>
    <row r="291" spans="2:7" x14ac:dyDescent="0.25">
      <c r="B291" s="187" t="s">
        <v>439</v>
      </c>
      <c r="C291" s="139">
        <v>2.4441460580022969E-2</v>
      </c>
      <c r="D291" s="139">
        <v>0.12084643208864387</v>
      </c>
      <c r="E291" s="139">
        <v>0.40458584325967506</v>
      </c>
      <c r="F291" s="139">
        <v>0.54987373592834188</v>
      </c>
      <c r="G291" s="139">
        <f t="shared" si="151"/>
        <v>1.5434819584366761</v>
      </c>
    </row>
    <row r="292" spans="2:7" x14ac:dyDescent="0.25">
      <c r="B292" s="187" t="s">
        <v>440</v>
      </c>
      <c r="C292" s="139">
        <v>8.4040326628459283E-2</v>
      </c>
      <c r="D292" s="139">
        <v>0.12142818787721317</v>
      </c>
      <c r="E292" s="139">
        <v>0.45082422534649508</v>
      </c>
      <c r="F292" s="139">
        <v>0.65629273985216752</v>
      </c>
      <c r="G292" s="139">
        <f t="shared" si="151"/>
        <v>2.1997746982888438</v>
      </c>
    </row>
    <row r="293" spans="2:7" x14ac:dyDescent="0.25">
      <c r="B293" s="187" t="s">
        <v>447</v>
      </c>
      <c r="C293" s="139">
        <v>0.1992854211037795</v>
      </c>
      <c r="D293" s="139">
        <v>0.12142818787721317</v>
      </c>
      <c r="E293" s="139">
        <v>0.46238382086820012</v>
      </c>
      <c r="F293" s="139">
        <v>0.78309742984919284</v>
      </c>
      <c r="G293" s="139">
        <f t="shared" si="151"/>
        <v>2.9828721281380366</v>
      </c>
    </row>
    <row r="294" spans="2:7" x14ac:dyDescent="0.25">
      <c r="B294" s="187" t="s">
        <v>448</v>
      </c>
      <c r="C294" s="139">
        <v>0.37532312394609413</v>
      </c>
      <c r="D294" s="139">
        <v>0.12142818787721317</v>
      </c>
      <c r="E294" s="139">
        <v>0.46238382086820012</v>
      </c>
      <c r="F294" s="139">
        <v>0.95913513269150741</v>
      </c>
      <c r="G294" s="139">
        <f t="shared" si="151"/>
        <v>3.942007260829544</v>
      </c>
    </row>
    <row r="295" spans="2:7" x14ac:dyDescent="0.25">
      <c r="B295" s="187" t="s">
        <v>449</v>
      </c>
      <c r="C295" s="139">
        <v>0.62526956164422598</v>
      </c>
      <c r="D295" s="139">
        <v>0.12142818787721317</v>
      </c>
      <c r="E295" s="139">
        <v>0.46238382086820012</v>
      </c>
      <c r="F295" s="139">
        <v>1.2090815703896394</v>
      </c>
      <c r="G295" s="139">
        <f t="shared" si="151"/>
        <v>5.1510888312191838</v>
      </c>
    </row>
    <row r="296" spans="2:7" x14ac:dyDescent="0.25">
      <c r="B296" s="187" t="s">
        <v>450</v>
      </c>
      <c r="C296" s="139">
        <v>0.91693044174226734</v>
      </c>
      <c r="D296" s="139">
        <v>0.12142818787721317</v>
      </c>
      <c r="E296" s="139">
        <v>0.46238382086820012</v>
      </c>
      <c r="F296" s="139">
        <v>1.5007424504876805</v>
      </c>
      <c r="G296" s="139">
        <f t="shared" si="151"/>
        <v>6.6518312817068646</v>
      </c>
    </row>
    <row r="297" spans="2:7" x14ac:dyDescent="0.25">
      <c r="B297" s="187" t="s">
        <v>451</v>
      </c>
      <c r="C297" s="139">
        <v>1.1928282008469218</v>
      </c>
      <c r="D297" s="139">
        <v>0.12142818787721317</v>
      </c>
      <c r="E297" s="139">
        <v>0.46238382086820012</v>
      </c>
      <c r="F297" s="139">
        <v>1.776640209592335</v>
      </c>
      <c r="G297" s="139">
        <f t="shared" si="151"/>
        <v>8.4284714912991987</v>
      </c>
    </row>
    <row r="298" spans="2:7" x14ac:dyDescent="0.25">
      <c r="B298" s="187" t="s">
        <v>452</v>
      </c>
      <c r="C298" s="139">
        <v>1.4259811398527813</v>
      </c>
      <c r="D298" s="139">
        <v>0.12142818787721317</v>
      </c>
      <c r="E298" s="139">
        <v>0.46238382086820012</v>
      </c>
      <c r="F298" s="139">
        <v>2.0097931485981948</v>
      </c>
      <c r="G298" s="139">
        <f t="shared" si="151"/>
        <v>10.438264639897394</v>
      </c>
    </row>
    <row r="299" spans="2:7" x14ac:dyDescent="0.25">
      <c r="B299" s="187" t="s">
        <v>453</v>
      </c>
      <c r="C299" s="139">
        <v>1.6104480410779354</v>
      </c>
      <c r="D299" s="139">
        <v>0.12142818787721317</v>
      </c>
      <c r="E299" s="139">
        <v>0.46238382086820012</v>
      </c>
      <c r="F299" s="139">
        <v>2.1942600498233489</v>
      </c>
      <c r="G299" s="139">
        <f t="shared" si="151"/>
        <v>12.632524689720743</v>
      </c>
    </row>
    <row r="300" spans="2:7" x14ac:dyDescent="0.25">
      <c r="B300" s="187" t="s">
        <v>454</v>
      </c>
      <c r="C300" s="139">
        <v>1.733193545971373</v>
      </c>
      <c r="D300" s="139">
        <v>0.12142818787721317</v>
      </c>
      <c r="E300" s="139">
        <v>0.46238382086820012</v>
      </c>
      <c r="F300" s="139">
        <v>2.3170055547167863</v>
      </c>
      <c r="G300" s="139">
        <f t="shared" si="151"/>
        <v>14.949530244437529</v>
      </c>
    </row>
    <row r="301" spans="2:7" x14ac:dyDescent="0.25">
      <c r="B301" s="187" t="s">
        <v>455</v>
      </c>
      <c r="C301" s="139">
        <v>1.8020939756723269</v>
      </c>
      <c r="D301" s="139">
        <v>0.12142818787721317</v>
      </c>
      <c r="E301" s="139">
        <v>0.46238382086820012</v>
      </c>
      <c r="F301" s="139">
        <v>2.3859059844177404</v>
      </c>
      <c r="G301" s="139">
        <f t="shared" si="151"/>
        <v>17.335436228855269</v>
      </c>
    </row>
    <row r="302" spans="2:7" x14ac:dyDescent="0.25">
      <c r="B302" s="187" t="s">
        <v>456</v>
      </c>
      <c r="C302" s="139">
        <v>1.8640356760734407</v>
      </c>
      <c r="D302" s="139">
        <v>0.12142818787721317</v>
      </c>
      <c r="E302" s="139">
        <v>0.46238382086820012</v>
      </c>
      <c r="F302" s="139">
        <v>2.447847684818854</v>
      </c>
      <c r="G302" s="139">
        <f t="shared" si="151"/>
        <v>19.783283913674122</v>
      </c>
    </row>
    <row r="303" spans="2:7" x14ac:dyDescent="0.25">
      <c r="B303" s="187" t="s">
        <v>457</v>
      </c>
      <c r="C303" s="139">
        <v>1.9256375012214881</v>
      </c>
      <c r="D303" s="139">
        <v>0.12142818787721317</v>
      </c>
      <c r="E303" s="139">
        <v>0.46238382086820012</v>
      </c>
      <c r="F303" s="139">
        <v>2.5094495099669012</v>
      </c>
      <c r="G303" s="139">
        <f t="shared" si="151"/>
        <v>22.292733423641025</v>
      </c>
    </row>
    <row r="304" spans="2:7" x14ac:dyDescent="0.25">
      <c r="B304" s="187" t="s">
        <v>441</v>
      </c>
      <c r="C304" s="139">
        <v>1.9878215297817974</v>
      </c>
      <c r="D304" s="139">
        <v>0.12142818787721317</v>
      </c>
      <c r="E304" s="139">
        <v>0.46238382086820012</v>
      </c>
      <c r="F304" s="139">
        <v>2.5716335385272107</v>
      </c>
      <c r="G304" s="139">
        <f t="shared" si="151"/>
        <v>24.864366962168233</v>
      </c>
    </row>
    <row r="306" spans="1:8" x14ac:dyDescent="0.25">
      <c r="G306" s="299"/>
    </row>
    <row r="307" spans="1:8" x14ac:dyDescent="0.25">
      <c r="F307" s="187">
        <f>+F310/E310</f>
        <v>1.03</v>
      </c>
    </row>
    <row r="309" spans="1:8" x14ac:dyDescent="0.25">
      <c r="A309" s="103" t="s">
        <v>379</v>
      </c>
      <c r="B309" s="103" t="s">
        <v>11</v>
      </c>
      <c r="C309" s="103" t="s">
        <v>380</v>
      </c>
      <c r="D309" s="103" t="s">
        <v>14</v>
      </c>
      <c r="E309" s="103" t="s">
        <v>386</v>
      </c>
      <c r="F309" s="103" t="s">
        <v>387</v>
      </c>
      <c r="G309" s="103" t="s">
        <v>382</v>
      </c>
      <c r="H309" s="103" t="s">
        <v>382</v>
      </c>
    </row>
    <row r="310" spans="1:8" x14ac:dyDescent="0.25">
      <c r="A310" s="103" t="s">
        <v>381</v>
      </c>
      <c r="B310" s="131">
        <v>2.5561967213114758</v>
      </c>
      <c r="C310" s="131">
        <v>8.2202786885245906</v>
      </c>
      <c r="D310" s="131">
        <v>5.470213114754098</v>
      </c>
      <c r="E310" s="131">
        <v>5.4128303278688525</v>
      </c>
      <c r="F310" s="131">
        <v>5.575215237704918</v>
      </c>
      <c r="G310" s="130" t="s">
        <v>383</v>
      </c>
      <c r="H310" s="130" t="s">
        <v>345</v>
      </c>
    </row>
    <row r="311" spans="1:8" x14ac:dyDescent="0.25">
      <c r="A311" s="103" t="s">
        <v>442</v>
      </c>
      <c r="B311" s="130"/>
      <c r="C311" s="130"/>
      <c r="D311" s="130"/>
      <c r="E311" s="130"/>
      <c r="F311" s="130">
        <v>77.876022367941758</v>
      </c>
      <c r="G311" s="130"/>
      <c r="H311" s="130"/>
    </row>
    <row r="312" spans="1:8" x14ac:dyDescent="0.25">
      <c r="A312" s="103" t="s">
        <v>443</v>
      </c>
      <c r="B312" s="130">
        <v>53587.681708055723</v>
      </c>
      <c r="C312" s="130">
        <v>53587.681708055723</v>
      </c>
      <c r="D312" s="130">
        <v>42460.372340425529</v>
      </c>
      <c r="E312" s="130">
        <v>149635.73575653697</v>
      </c>
      <c r="F312" s="130">
        <f>+E312*$F$307</f>
        <v>154124.80782923309</v>
      </c>
      <c r="G312" s="130">
        <f>+$F$311*SUM(B312:D312)</f>
        <v>11653035.904819496</v>
      </c>
      <c r="H312" s="130">
        <v>35.697977763092652</v>
      </c>
    </row>
    <row r="313" spans="1:8" x14ac:dyDescent="0.25">
      <c r="A313" s="103" t="s">
        <v>444</v>
      </c>
      <c r="B313" s="130">
        <v>122964.90536038761</v>
      </c>
      <c r="C313" s="130">
        <v>122964.90536038759</v>
      </c>
      <c r="D313" s="130">
        <v>100921.5327547592</v>
      </c>
      <c r="E313" s="130">
        <v>346851.34347553441</v>
      </c>
      <c r="F313" s="130">
        <f t="shared" ref="F313:F336" si="152">+E313*$F$307</f>
        <v>357256.88377980044</v>
      </c>
      <c r="G313" s="130">
        <v>27.007706880739789</v>
      </c>
      <c r="H313" s="130">
        <v>82.755921822204826</v>
      </c>
    </row>
    <row r="314" spans="1:8" x14ac:dyDescent="0.25">
      <c r="A314" s="103" t="s">
        <v>445</v>
      </c>
      <c r="B314" s="130">
        <v>227677.45911568747</v>
      </c>
      <c r="C314" s="130">
        <v>227677.45911568744</v>
      </c>
      <c r="D314" s="130">
        <v>188390.98824188131</v>
      </c>
      <c r="E314" s="130">
        <v>643745.90647325618</v>
      </c>
      <c r="F314" s="130">
        <f t="shared" si="152"/>
        <v>663058.28366745391</v>
      </c>
      <c r="G314" s="130">
        <v>50.126788743287207</v>
      </c>
      <c r="H314" s="130">
        <v>153.59647632268823</v>
      </c>
    </row>
    <row r="315" spans="1:8" x14ac:dyDescent="0.25">
      <c r="A315" s="103" t="s">
        <v>446</v>
      </c>
      <c r="B315" s="130">
        <v>331162.25696547545</v>
      </c>
      <c r="C315" s="130">
        <v>331162.25696547545</v>
      </c>
      <c r="D315" s="130">
        <v>277183.61002239643</v>
      </c>
      <c r="E315" s="130">
        <v>939508.12395334733</v>
      </c>
      <c r="F315" s="130">
        <f t="shared" si="152"/>
        <v>967693.36767194781</v>
      </c>
      <c r="G315" s="130">
        <v>73.159649238014183</v>
      </c>
      <c r="H315" s="130">
        <v>224.17283479919001</v>
      </c>
    </row>
    <row r="316" spans="1:8" x14ac:dyDescent="0.25">
      <c r="A316" s="103" t="s">
        <v>438</v>
      </c>
      <c r="B316" s="130">
        <v>451562.18276801938</v>
      </c>
      <c r="C316" s="130">
        <v>451562.18276801932</v>
      </c>
      <c r="D316" s="130">
        <v>379287.14865621499</v>
      </c>
      <c r="E316" s="130">
        <v>1282411.5141922538</v>
      </c>
      <c r="F316" s="130">
        <f t="shared" si="152"/>
        <v>1320883.8596180214</v>
      </c>
      <c r="G316" s="130">
        <v>99.862696158438254</v>
      </c>
      <c r="H316" s="130">
        <v>305.99522990735073</v>
      </c>
    </row>
    <row r="317" spans="1:8" x14ac:dyDescent="0.25">
      <c r="A317" s="103" t="s">
        <v>439</v>
      </c>
      <c r="B317" s="130">
        <v>545255.84191399161</v>
      </c>
      <c r="C317" s="130">
        <v>545255.84191399149</v>
      </c>
      <c r="D317" s="130">
        <v>461331.96248600224</v>
      </c>
      <c r="E317" s="130">
        <v>1551843.6463139853</v>
      </c>
      <c r="F317" s="130">
        <f t="shared" si="152"/>
        <v>1598398.955703405</v>
      </c>
      <c r="G317" s="130">
        <v>120.84643208864388</v>
      </c>
      <c r="H317" s="130">
        <v>370.29274386682988</v>
      </c>
    </row>
    <row r="318" spans="1:8" x14ac:dyDescent="0.25">
      <c r="A318" s="103" t="s">
        <v>440</v>
      </c>
      <c r="B318" s="130">
        <v>545737.5</v>
      </c>
      <c r="C318" s="130">
        <v>545737.49999999988</v>
      </c>
      <c r="D318" s="130">
        <v>467775</v>
      </c>
      <c r="E318" s="130">
        <v>1559250</v>
      </c>
      <c r="F318" s="130">
        <f t="shared" si="152"/>
        <v>1606027.5</v>
      </c>
      <c r="G318" s="130">
        <v>121.42818787721318</v>
      </c>
      <c r="H318" s="130">
        <v>372.07533639758594</v>
      </c>
    </row>
    <row r="319" spans="1:8" x14ac:dyDescent="0.25">
      <c r="A319" s="103" t="s">
        <v>447</v>
      </c>
      <c r="B319" s="130">
        <v>545737.5</v>
      </c>
      <c r="C319" s="130">
        <v>545737.49999999988</v>
      </c>
      <c r="D319" s="130">
        <v>467775</v>
      </c>
      <c r="E319" s="130">
        <v>1559250</v>
      </c>
      <c r="F319" s="130">
        <f t="shared" si="152"/>
        <v>1606027.5</v>
      </c>
      <c r="G319" s="130">
        <v>121.42818787721318</v>
      </c>
      <c r="H319" s="130">
        <v>372.07533639758594</v>
      </c>
    </row>
    <row r="320" spans="1:8" x14ac:dyDescent="0.25">
      <c r="A320" s="103" t="s">
        <v>448</v>
      </c>
      <c r="B320" s="130">
        <v>545737.5</v>
      </c>
      <c r="C320" s="130">
        <v>545737.49999999988</v>
      </c>
      <c r="D320" s="130">
        <v>467775</v>
      </c>
      <c r="E320" s="130">
        <v>1559250</v>
      </c>
      <c r="F320" s="130">
        <f t="shared" si="152"/>
        <v>1606027.5</v>
      </c>
      <c r="G320" s="130">
        <v>121.42818787721318</v>
      </c>
      <c r="H320" s="130">
        <v>372.07533639758594</v>
      </c>
    </row>
    <row r="321" spans="1:8" x14ac:dyDescent="0.25">
      <c r="A321" s="103" t="s">
        <v>449</v>
      </c>
      <c r="B321" s="130">
        <v>545737.5</v>
      </c>
      <c r="C321" s="130">
        <v>545737.49999999988</v>
      </c>
      <c r="D321" s="130">
        <v>467775</v>
      </c>
      <c r="E321" s="130">
        <v>1559250</v>
      </c>
      <c r="F321" s="130">
        <f t="shared" si="152"/>
        <v>1606027.5</v>
      </c>
      <c r="G321" s="130">
        <v>121.42818787721318</v>
      </c>
      <c r="H321" s="130">
        <v>372.07533639758594</v>
      </c>
    </row>
    <row r="322" spans="1:8" x14ac:dyDescent="0.25">
      <c r="A322" s="103" t="s">
        <v>450</v>
      </c>
      <c r="B322" s="130">
        <v>545737.5</v>
      </c>
      <c r="C322" s="130">
        <v>545737.49999999988</v>
      </c>
      <c r="D322" s="130">
        <v>467775</v>
      </c>
      <c r="E322" s="130">
        <v>1559250</v>
      </c>
      <c r="F322" s="130">
        <f t="shared" si="152"/>
        <v>1606027.5</v>
      </c>
      <c r="G322" s="130">
        <v>121.42818787721318</v>
      </c>
      <c r="H322" s="130">
        <v>372.07533639758594</v>
      </c>
    </row>
    <row r="323" spans="1:8" x14ac:dyDescent="0.25">
      <c r="A323" s="103" t="s">
        <v>451</v>
      </c>
      <c r="B323" s="130">
        <v>545737.5</v>
      </c>
      <c r="C323" s="130">
        <v>545737.49999999988</v>
      </c>
      <c r="D323" s="130">
        <v>467775</v>
      </c>
      <c r="E323" s="130">
        <v>1559250</v>
      </c>
      <c r="F323" s="130">
        <f t="shared" si="152"/>
        <v>1606027.5</v>
      </c>
      <c r="G323" s="130">
        <v>121.42818787721318</v>
      </c>
      <c r="H323" s="130">
        <v>372.07533639758594</v>
      </c>
    </row>
    <row r="324" spans="1:8" x14ac:dyDescent="0.25">
      <c r="A324" s="103" t="s">
        <v>452</v>
      </c>
      <c r="B324" s="130">
        <v>545737.5</v>
      </c>
      <c r="C324" s="130">
        <v>545737.49999999988</v>
      </c>
      <c r="D324" s="130">
        <v>467775</v>
      </c>
      <c r="E324" s="130">
        <v>1559250</v>
      </c>
      <c r="F324" s="130">
        <f t="shared" si="152"/>
        <v>1606027.5</v>
      </c>
      <c r="G324" s="130">
        <v>121.42818787721318</v>
      </c>
      <c r="H324" s="130">
        <v>372.07533639758594</v>
      </c>
    </row>
    <row r="325" spans="1:8" x14ac:dyDescent="0.25">
      <c r="A325" s="103" t="s">
        <v>453</v>
      </c>
      <c r="B325" s="130">
        <v>545737.5</v>
      </c>
      <c r="C325" s="130">
        <v>545737.49999999988</v>
      </c>
      <c r="D325" s="130">
        <v>467775</v>
      </c>
      <c r="E325" s="130">
        <v>1559250</v>
      </c>
      <c r="F325" s="130">
        <f t="shared" si="152"/>
        <v>1606027.5</v>
      </c>
      <c r="G325" s="130">
        <v>121.42818787721318</v>
      </c>
      <c r="H325" s="130">
        <v>372.07533639758594</v>
      </c>
    </row>
    <row r="326" spans="1:8" x14ac:dyDescent="0.25">
      <c r="A326" s="103" t="s">
        <v>454</v>
      </c>
      <c r="B326" s="130">
        <v>545737.5</v>
      </c>
      <c r="C326" s="130">
        <v>545737.49999999988</v>
      </c>
      <c r="D326" s="130">
        <v>467775</v>
      </c>
      <c r="E326" s="130">
        <v>1559250</v>
      </c>
      <c r="F326" s="130">
        <f t="shared" si="152"/>
        <v>1606027.5</v>
      </c>
      <c r="G326" s="130">
        <v>121.42818787721318</v>
      </c>
      <c r="H326" s="130">
        <v>372.07533639758594</v>
      </c>
    </row>
    <row r="327" spans="1:8" x14ac:dyDescent="0.25">
      <c r="A327" s="103" t="s">
        <v>455</v>
      </c>
      <c r="B327" s="130">
        <v>545737.5</v>
      </c>
      <c r="C327" s="130">
        <v>545737.49999999988</v>
      </c>
      <c r="D327" s="130">
        <v>467775</v>
      </c>
      <c r="E327" s="130">
        <v>1559250</v>
      </c>
      <c r="F327" s="130">
        <f t="shared" si="152"/>
        <v>1606027.5</v>
      </c>
      <c r="G327" s="130">
        <v>121.42818787721318</v>
      </c>
      <c r="H327" s="130">
        <v>372.07533639758594</v>
      </c>
    </row>
    <row r="328" spans="1:8" x14ac:dyDescent="0.25">
      <c r="A328" s="103" t="s">
        <v>456</v>
      </c>
      <c r="B328" s="130">
        <v>545737.5</v>
      </c>
      <c r="C328" s="130">
        <v>545737.49999999988</v>
      </c>
      <c r="D328" s="130">
        <v>467775</v>
      </c>
      <c r="E328" s="130">
        <v>1559250</v>
      </c>
      <c r="F328" s="130">
        <f t="shared" si="152"/>
        <v>1606027.5</v>
      </c>
      <c r="G328" s="130">
        <v>121.42818787721318</v>
      </c>
      <c r="H328" s="130">
        <v>372.07533639758594</v>
      </c>
    </row>
    <row r="329" spans="1:8" x14ac:dyDescent="0.25">
      <c r="A329" s="103" t="s">
        <v>457</v>
      </c>
      <c r="B329" s="130">
        <v>545737.5</v>
      </c>
      <c r="C329" s="130">
        <v>545737.49999999988</v>
      </c>
      <c r="D329" s="130">
        <v>467775</v>
      </c>
      <c r="E329" s="130">
        <v>1559250</v>
      </c>
      <c r="F329" s="130">
        <f t="shared" si="152"/>
        <v>1606027.5</v>
      </c>
      <c r="G329" s="130">
        <v>121.42818787721318</v>
      </c>
      <c r="H329" s="130">
        <v>372.07533639758594</v>
      </c>
    </row>
    <row r="330" spans="1:8" x14ac:dyDescent="0.25">
      <c r="A330" s="103" t="s">
        <v>441</v>
      </c>
      <c r="B330" s="130">
        <v>545737.5</v>
      </c>
      <c r="C330" s="130">
        <v>545737.49999999988</v>
      </c>
      <c r="D330" s="130">
        <v>467775</v>
      </c>
      <c r="E330" s="130">
        <v>1559250</v>
      </c>
      <c r="F330" s="130">
        <f t="shared" si="152"/>
        <v>1606027.5</v>
      </c>
      <c r="G330" s="130">
        <v>121.42818787721318</v>
      </c>
      <c r="H330" s="130">
        <v>372.07533639758594</v>
      </c>
    </row>
    <row r="331" spans="1:8" x14ac:dyDescent="0.25">
      <c r="A331" s="103" t="s">
        <v>462</v>
      </c>
      <c r="B331" s="130">
        <v>545737.5</v>
      </c>
      <c r="C331" s="130">
        <v>545737.49999999988</v>
      </c>
      <c r="D331" s="130">
        <v>467775</v>
      </c>
      <c r="E331" s="130">
        <v>1559250</v>
      </c>
      <c r="F331" s="130">
        <f t="shared" si="152"/>
        <v>1606027.5</v>
      </c>
      <c r="G331" s="130">
        <v>121.42818787721318</v>
      </c>
      <c r="H331" s="130">
        <v>372.07533639758594</v>
      </c>
    </row>
    <row r="332" spans="1:8" x14ac:dyDescent="0.25">
      <c r="A332" s="103" t="s">
        <v>463</v>
      </c>
      <c r="B332" s="130">
        <v>545737.5</v>
      </c>
      <c r="C332" s="130">
        <v>545737.49999999988</v>
      </c>
      <c r="D332" s="130">
        <v>467775</v>
      </c>
      <c r="E332" s="130">
        <v>1559250</v>
      </c>
      <c r="F332" s="130">
        <f t="shared" si="152"/>
        <v>1606027.5</v>
      </c>
      <c r="G332" s="130">
        <v>121.42818787721318</v>
      </c>
      <c r="H332" s="130">
        <v>372.07533639758594</v>
      </c>
    </row>
    <row r="333" spans="1:8" x14ac:dyDescent="0.25">
      <c r="A333" s="103" t="s">
        <v>464</v>
      </c>
      <c r="B333" s="130">
        <v>545737.5</v>
      </c>
      <c r="C333" s="130">
        <v>545737.49999999988</v>
      </c>
      <c r="D333" s="130">
        <v>467775</v>
      </c>
      <c r="E333" s="130">
        <v>1559250</v>
      </c>
      <c r="F333" s="130">
        <f t="shared" si="152"/>
        <v>1606027.5</v>
      </c>
      <c r="G333" s="130">
        <v>121.42818787721318</v>
      </c>
      <c r="H333" s="130">
        <v>372.07533639758594</v>
      </c>
    </row>
    <row r="334" spans="1:8" x14ac:dyDescent="0.25">
      <c r="A334" s="103" t="s">
        <v>465</v>
      </c>
      <c r="B334" s="130">
        <v>545737.5</v>
      </c>
      <c r="C334" s="130">
        <v>545737.49999999988</v>
      </c>
      <c r="D334" s="130">
        <v>467775</v>
      </c>
      <c r="E334" s="130">
        <v>1559250</v>
      </c>
      <c r="F334" s="130">
        <f t="shared" si="152"/>
        <v>1606027.5</v>
      </c>
      <c r="G334" s="130">
        <v>121.42818787721318</v>
      </c>
      <c r="H334" s="130">
        <v>372.07533639758594</v>
      </c>
    </row>
    <row r="335" spans="1:8" x14ac:dyDescent="0.25">
      <c r="A335" s="103" t="s">
        <v>466</v>
      </c>
      <c r="B335" s="130">
        <v>545737.5</v>
      </c>
      <c r="C335" s="130">
        <v>545737.49999999988</v>
      </c>
      <c r="D335" s="130">
        <v>467775</v>
      </c>
      <c r="E335" s="130">
        <v>1559250</v>
      </c>
      <c r="F335" s="130">
        <f t="shared" si="152"/>
        <v>1606027.5</v>
      </c>
      <c r="G335" s="130">
        <v>121.42818787721318</v>
      </c>
      <c r="H335" s="130">
        <v>372.07533639758594</v>
      </c>
    </row>
    <row r="336" spans="1:8" x14ac:dyDescent="0.25">
      <c r="A336" s="103" t="s">
        <v>467</v>
      </c>
      <c r="B336" s="130">
        <v>545737.5</v>
      </c>
      <c r="C336" s="130">
        <v>545737.49999999988</v>
      </c>
      <c r="D336" s="130">
        <v>467775</v>
      </c>
      <c r="E336" s="130">
        <v>1559250</v>
      </c>
      <c r="F336" s="130">
        <f t="shared" si="152"/>
        <v>1606027.5</v>
      </c>
      <c r="G336" s="130">
        <v>121.42818787721318</v>
      </c>
      <c r="H336" s="130">
        <v>372.07533639758594</v>
      </c>
    </row>
    <row r="338" spans="1:12" x14ac:dyDescent="0.25">
      <c r="K338" s="187">
        <v>3065</v>
      </c>
    </row>
    <row r="339" spans="1:12" x14ac:dyDescent="0.25">
      <c r="A339" s="103" t="s">
        <v>379</v>
      </c>
      <c r="B339" s="103" t="s">
        <v>11</v>
      </c>
      <c r="C339" s="103" t="s">
        <v>380</v>
      </c>
      <c r="D339" s="103" t="s">
        <v>14</v>
      </c>
      <c r="E339" s="103" t="s">
        <v>386</v>
      </c>
      <c r="F339" s="103" t="s">
        <v>387</v>
      </c>
      <c r="G339" s="103" t="s">
        <v>382</v>
      </c>
      <c r="H339" s="103" t="s">
        <v>382</v>
      </c>
    </row>
    <row r="340" spans="1:12" x14ac:dyDescent="0.25">
      <c r="A340" s="103" t="s">
        <v>381</v>
      </c>
      <c r="B340" s="131">
        <v>2.5561967213114758</v>
      </c>
      <c r="C340" s="131">
        <v>8.2202786885245906</v>
      </c>
      <c r="D340" s="131">
        <v>5.470213114754098</v>
      </c>
      <c r="E340" s="131">
        <v>5.4128303278688525</v>
      </c>
      <c r="F340" s="131">
        <v>5.575215237704918</v>
      </c>
      <c r="G340" s="130" t="s">
        <v>383</v>
      </c>
      <c r="H340" s="130" t="s">
        <v>345</v>
      </c>
      <c r="I340" s="187" t="s">
        <v>468</v>
      </c>
      <c r="J340" s="187" t="s">
        <v>469</v>
      </c>
      <c r="K340" s="187" t="s">
        <v>470</v>
      </c>
    </row>
    <row r="341" spans="1:12" x14ac:dyDescent="0.25">
      <c r="A341" s="103" t="s">
        <v>442</v>
      </c>
      <c r="B341" s="130"/>
      <c r="C341" s="130"/>
      <c r="D341" s="130"/>
      <c r="E341" s="130"/>
      <c r="F341" s="130">
        <v>77.876022367941758</v>
      </c>
      <c r="G341" s="130"/>
      <c r="H341" s="130"/>
    </row>
    <row r="342" spans="1:12" x14ac:dyDescent="0.25">
      <c r="A342" s="103" t="s">
        <v>443</v>
      </c>
      <c r="B342" s="130">
        <v>53587.681708055723</v>
      </c>
      <c r="C342" s="130">
        <v>53587.681708055723</v>
      </c>
      <c r="D342" s="130">
        <v>42460.372340425529</v>
      </c>
      <c r="E342" s="130">
        <v>149635.73575653697</v>
      </c>
      <c r="F342" s="130">
        <f>+E342*$F$307</f>
        <v>154124.80782923309</v>
      </c>
      <c r="G342" s="130">
        <f>+$F$311*SUM(B342:D342)</f>
        <v>11653035.904819496</v>
      </c>
      <c r="H342" s="130">
        <v>35.697977763092652</v>
      </c>
      <c r="I342" s="139">
        <f>+SUM(B342:D342)/1000000</f>
        <v>0.14963573575653696</v>
      </c>
      <c r="J342" s="139">
        <f>+I342*78/1000</f>
        <v>1.1671587389009882E-2</v>
      </c>
      <c r="K342" s="150">
        <f>+$K$338*J342</f>
        <v>35.773415347315286</v>
      </c>
      <c r="L342" s="103" t="s">
        <v>442</v>
      </c>
    </row>
    <row r="343" spans="1:12" x14ac:dyDescent="0.25">
      <c r="A343" s="103" t="s">
        <v>444</v>
      </c>
      <c r="B343" s="130">
        <v>122964.90536038761</v>
      </c>
      <c r="C343" s="130">
        <v>122964.90536038759</v>
      </c>
      <c r="D343" s="130">
        <v>100921.5327547592</v>
      </c>
      <c r="E343" s="130">
        <v>346851.34347553441</v>
      </c>
      <c r="F343" s="130">
        <f t="shared" ref="F343:F366" si="153">+E343*$F$307</f>
        <v>357256.88377980044</v>
      </c>
      <c r="G343" s="130">
        <v>27.007706880739789</v>
      </c>
      <c r="H343" s="130">
        <v>82.755921822204826</v>
      </c>
      <c r="I343" s="139">
        <f t="shared" ref="I343:I366" si="154">+SUM(B343:D343)/1000000</f>
        <v>0.34685134347553442</v>
      </c>
      <c r="J343" s="139">
        <f t="shared" ref="J343:J366" si="155">+I343*78/1000</f>
        <v>2.7054404791091686E-2</v>
      </c>
      <c r="K343" s="150">
        <f t="shared" ref="K343:K366" si="156">+$K$338*J343</f>
        <v>82.921750684696022</v>
      </c>
      <c r="L343" s="103" t="s">
        <v>443</v>
      </c>
    </row>
    <row r="344" spans="1:12" x14ac:dyDescent="0.25">
      <c r="A344" s="103" t="s">
        <v>445</v>
      </c>
      <c r="B344" s="130">
        <v>227677.45911568747</v>
      </c>
      <c r="C344" s="130">
        <v>227677.45911568744</v>
      </c>
      <c r="D344" s="130">
        <v>188390.98824188131</v>
      </c>
      <c r="E344" s="130">
        <v>643745.90647325618</v>
      </c>
      <c r="F344" s="130">
        <f t="shared" si="153"/>
        <v>663058.28366745391</v>
      </c>
      <c r="G344" s="130">
        <v>50.126788743287207</v>
      </c>
      <c r="H344" s="130">
        <v>153.59647632268823</v>
      </c>
      <c r="I344" s="139">
        <f t="shared" si="154"/>
        <v>0.64374590647325614</v>
      </c>
      <c r="J344" s="139">
        <f t="shared" si="155"/>
        <v>5.0212180704913977E-2</v>
      </c>
      <c r="K344" s="150">
        <f t="shared" si="156"/>
        <v>153.90033386056135</v>
      </c>
      <c r="L344" s="103" t="s">
        <v>444</v>
      </c>
    </row>
    <row r="345" spans="1:12" x14ac:dyDescent="0.25">
      <c r="A345" s="103" t="s">
        <v>446</v>
      </c>
      <c r="B345" s="130">
        <v>331162.25696547545</v>
      </c>
      <c r="C345" s="130">
        <v>331162.25696547545</v>
      </c>
      <c r="D345" s="130">
        <v>277183.61002239643</v>
      </c>
      <c r="E345" s="130">
        <v>939508.12395334733</v>
      </c>
      <c r="F345" s="130">
        <f t="shared" si="153"/>
        <v>967693.36767194781</v>
      </c>
      <c r="G345" s="130">
        <v>73.159649238014183</v>
      </c>
      <c r="H345" s="130">
        <v>224.17283479919001</v>
      </c>
      <c r="I345" s="139">
        <f t="shared" si="154"/>
        <v>0.93950812395334737</v>
      </c>
      <c r="J345" s="139">
        <f t="shared" si="155"/>
        <v>7.3281633668361101E-2</v>
      </c>
      <c r="K345" s="150">
        <f t="shared" si="156"/>
        <v>224.60820719352677</v>
      </c>
      <c r="L345" s="103" t="s">
        <v>445</v>
      </c>
    </row>
    <row r="346" spans="1:12" x14ac:dyDescent="0.25">
      <c r="A346" s="103" t="s">
        <v>438</v>
      </c>
      <c r="B346" s="130">
        <v>451562.18276801938</v>
      </c>
      <c r="C346" s="130">
        <v>451562.18276801932</v>
      </c>
      <c r="D346" s="130">
        <v>379287.14865621499</v>
      </c>
      <c r="E346" s="130">
        <v>1282411.5141922538</v>
      </c>
      <c r="F346" s="130">
        <f t="shared" si="153"/>
        <v>1320883.8596180214</v>
      </c>
      <c r="G346" s="130">
        <v>99.862696158438254</v>
      </c>
      <c r="H346" s="130">
        <v>305.99522990735073</v>
      </c>
      <c r="I346" s="139">
        <f t="shared" si="154"/>
        <v>1.2824115141922539</v>
      </c>
      <c r="J346" s="139">
        <f t="shared" si="155"/>
        <v>0.1000280981069958</v>
      </c>
      <c r="K346" s="150">
        <f t="shared" si="156"/>
        <v>306.58612069794214</v>
      </c>
      <c r="L346" s="103" t="s">
        <v>446</v>
      </c>
    </row>
    <row r="347" spans="1:12" x14ac:dyDescent="0.25">
      <c r="A347" s="103" t="s">
        <v>439</v>
      </c>
      <c r="B347" s="130">
        <v>545255.84191399161</v>
      </c>
      <c r="C347" s="130">
        <v>545255.84191399149</v>
      </c>
      <c r="D347" s="130">
        <v>461331.96248600224</v>
      </c>
      <c r="E347" s="130">
        <v>1551843.6463139853</v>
      </c>
      <c r="F347" s="130">
        <f t="shared" si="153"/>
        <v>1598398.955703405</v>
      </c>
      <c r="G347" s="130">
        <v>120.84643208864388</v>
      </c>
      <c r="H347" s="130">
        <v>370.29274386682988</v>
      </c>
      <c r="I347" s="139">
        <f t="shared" si="154"/>
        <v>1.5518436463139853</v>
      </c>
      <c r="J347" s="139">
        <f t="shared" si="155"/>
        <v>0.12104380441249085</v>
      </c>
      <c r="K347" s="150">
        <f t="shared" si="156"/>
        <v>370.99926052428447</v>
      </c>
      <c r="L347" s="103" t="s">
        <v>438</v>
      </c>
    </row>
    <row r="348" spans="1:12" x14ac:dyDescent="0.25">
      <c r="A348" s="103" t="s">
        <v>440</v>
      </c>
      <c r="B348" s="130">
        <v>545737.5</v>
      </c>
      <c r="C348" s="130">
        <v>545737.49999999988</v>
      </c>
      <c r="D348" s="130">
        <v>467775</v>
      </c>
      <c r="E348" s="130">
        <v>1559250</v>
      </c>
      <c r="F348" s="130">
        <f t="shared" si="153"/>
        <v>1606027.5</v>
      </c>
      <c r="G348" s="130">
        <v>121.42818787721318</v>
      </c>
      <c r="H348" s="130">
        <v>372.07533639758594</v>
      </c>
      <c r="I348" s="139">
        <f t="shared" si="154"/>
        <v>1.55925</v>
      </c>
      <c r="J348" s="139">
        <f t="shared" si="155"/>
        <v>0.12162149999999999</v>
      </c>
      <c r="K348" s="150">
        <f t="shared" si="156"/>
        <v>372.76989749999996</v>
      </c>
      <c r="L348" s="103" t="s">
        <v>439</v>
      </c>
    </row>
    <row r="349" spans="1:12" x14ac:dyDescent="0.25">
      <c r="A349" s="103" t="s">
        <v>447</v>
      </c>
      <c r="B349" s="130">
        <v>545737.5</v>
      </c>
      <c r="C349" s="130">
        <v>545737.49999999988</v>
      </c>
      <c r="D349" s="130">
        <v>467775</v>
      </c>
      <c r="E349" s="130">
        <v>1559250</v>
      </c>
      <c r="F349" s="130">
        <f t="shared" si="153"/>
        <v>1606027.5</v>
      </c>
      <c r="G349" s="130">
        <v>121.42818787721318</v>
      </c>
      <c r="H349" s="130">
        <v>372.07533639758594</v>
      </c>
      <c r="I349" s="139">
        <f t="shared" si="154"/>
        <v>1.55925</v>
      </c>
      <c r="J349" s="139">
        <f t="shared" si="155"/>
        <v>0.12162149999999999</v>
      </c>
      <c r="K349" s="150">
        <f t="shared" si="156"/>
        <v>372.76989749999996</v>
      </c>
      <c r="L349" s="103" t="s">
        <v>440</v>
      </c>
    </row>
    <row r="350" spans="1:12" x14ac:dyDescent="0.25">
      <c r="A350" s="103" t="s">
        <v>448</v>
      </c>
      <c r="B350" s="130">
        <v>545737.5</v>
      </c>
      <c r="C350" s="130">
        <v>545737.49999999988</v>
      </c>
      <c r="D350" s="130">
        <v>467775</v>
      </c>
      <c r="E350" s="130">
        <v>1559250</v>
      </c>
      <c r="F350" s="130">
        <f t="shared" si="153"/>
        <v>1606027.5</v>
      </c>
      <c r="G350" s="130">
        <v>121.42818787721318</v>
      </c>
      <c r="H350" s="130">
        <v>372.07533639758594</v>
      </c>
      <c r="I350" s="139">
        <f t="shared" si="154"/>
        <v>1.55925</v>
      </c>
      <c r="J350" s="139">
        <f t="shared" si="155"/>
        <v>0.12162149999999999</v>
      </c>
      <c r="K350" s="150">
        <f t="shared" si="156"/>
        <v>372.76989749999996</v>
      </c>
      <c r="L350" s="103" t="s">
        <v>447</v>
      </c>
    </row>
    <row r="351" spans="1:12" x14ac:dyDescent="0.25">
      <c r="A351" s="103" t="s">
        <v>449</v>
      </c>
      <c r="B351" s="130">
        <v>545737.5</v>
      </c>
      <c r="C351" s="130">
        <v>545737.49999999988</v>
      </c>
      <c r="D351" s="130">
        <v>467775</v>
      </c>
      <c r="E351" s="130">
        <v>1559250</v>
      </c>
      <c r="F351" s="130">
        <f t="shared" si="153"/>
        <v>1606027.5</v>
      </c>
      <c r="G351" s="130">
        <v>121.42818787721318</v>
      </c>
      <c r="H351" s="130">
        <v>372.07533639758594</v>
      </c>
      <c r="I351" s="139">
        <f t="shared" si="154"/>
        <v>1.55925</v>
      </c>
      <c r="J351" s="139">
        <f t="shared" si="155"/>
        <v>0.12162149999999999</v>
      </c>
      <c r="K351" s="150">
        <f t="shared" si="156"/>
        <v>372.76989749999996</v>
      </c>
      <c r="L351" s="103" t="s">
        <v>448</v>
      </c>
    </row>
    <row r="352" spans="1:12" x14ac:dyDescent="0.25">
      <c r="A352" s="103" t="s">
        <v>450</v>
      </c>
      <c r="B352" s="130">
        <v>545737.5</v>
      </c>
      <c r="C352" s="130">
        <v>545737.49999999988</v>
      </c>
      <c r="D352" s="130">
        <v>467775</v>
      </c>
      <c r="E352" s="130">
        <v>1559250</v>
      </c>
      <c r="F352" s="130">
        <f t="shared" si="153"/>
        <v>1606027.5</v>
      </c>
      <c r="G352" s="130">
        <v>121.42818787721318</v>
      </c>
      <c r="H352" s="130">
        <v>372.07533639758594</v>
      </c>
      <c r="I352" s="139">
        <f t="shared" si="154"/>
        <v>1.55925</v>
      </c>
      <c r="J352" s="139">
        <f t="shared" si="155"/>
        <v>0.12162149999999999</v>
      </c>
      <c r="K352" s="150">
        <f t="shared" si="156"/>
        <v>372.76989749999996</v>
      </c>
      <c r="L352" s="103" t="s">
        <v>449</v>
      </c>
    </row>
    <row r="353" spans="1:12" x14ac:dyDescent="0.25">
      <c r="A353" s="103" t="s">
        <v>451</v>
      </c>
      <c r="B353" s="130">
        <v>545737.5</v>
      </c>
      <c r="C353" s="130">
        <v>545737.49999999988</v>
      </c>
      <c r="D353" s="130">
        <v>467775</v>
      </c>
      <c r="E353" s="130">
        <v>1559250</v>
      </c>
      <c r="F353" s="130">
        <f t="shared" si="153"/>
        <v>1606027.5</v>
      </c>
      <c r="G353" s="130">
        <v>121.42818787721318</v>
      </c>
      <c r="H353" s="130">
        <v>372.07533639758594</v>
      </c>
      <c r="I353" s="139">
        <f t="shared" si="154"/>
        <v>1.55925</v>
      </c>
      <c r="J353" s="139">
        <f t="shared" si="155"/>
        <v>0.12162149999999999</v>
      </c>
      <c r="K353" s="150">
        <f t="shared" si="156"/>
        <v>372.76989749999996</v>
      </c>
      <c r="L353" s="103" t="s">
        <v>450</v>
      </c>
    </row>
    <row r="354" spans="1:12" x14ac:dyDescent="0.25">
      <c r="A354" s="103" t="s">
        <v>452</v>
      </c>
      <c r="B354" s="130">
        <v>545737.5</v>
      </c>
      <c r="C354" s="130">
        <v>545737.49999999988</v>
      </c>
      <c r="D354" s="130">
        <v>467775</v>
      </c>
      <c r="E354" s="130">
        <v>1559250</v>
      </c>
      <c r="F354" s="130">
        <f t="shared" si="153"/>
        <v>1606027.5</v>
      </c>
      <c r="G354" s="130">
        <v>121.42818787721318</v>
      </c>
      <c r="H354" s="130">
        <v>372.07533639758594</v>
      </c>
      <c r="I354" s="139">
        <f t="shared" si="154"/>
        <v>1.55925</v>
      </c>
      <c r="J354" s="139">
        <f t="shared" si="155"/>
        <v>0.12162149999999999</v>
      </c>
      <c r="K354" s="150">
        <f t="shared" si="156"/>
        <v>372.76989749999996</v>
      </c>
      <c r="L354" s="103" t="s">
        <v>451</v>
      </c>
    </row>
    <row r="355" spans="1:12" x14ac:dyDescent="0.25">
      <c r="A355" s="103" t="s">
        <v>453</v>
      </c>
      <c r="B355" s="130">
        <v>545737.5</v>
      </c>
      <c r="C355" s="130">
        <v>545737.49999999988</v>
      </c>
      <c r="D355" s="130">
        <v>467775</v>
      </c>
      <c r="E355" s="130">
        <v>1559250</v>
      </c>
      <c r="F355" s="130">
        <f t="shared" si="153"/>
        <v>1606027.5</v>
      </c>
      <c r="G355" s="130">
        <v>121.42818787721318</v>
      </c>
      <c r="H355" s="130">
        <v>372.07533639758594</v>
      </c>
      <c r="I355" s="139">
        <f t="shared" si="154"/>
        <v>1.55925</v>
      </c>
      <c r="J355" s="139">
        <f t="shared" si="155"/>
        <v>0.12162149999999999</v>
      </c>
      <c r="K355" s="150">
        <f t="shared" si="156"/>
        <v>372.76989749999996</v>
      </c>
      <c r="L355" s="103" t="s">
        <v>452</v>
      </c>
    </row>
    <row r="356" spans="1:12" x14ac:dyDescent="0.25">
      <c r="A356" s="103" t="s">
        <v>454</v>
      </c>
      <c r="B356" s="130">
        <v>545737.5</v>
      </c>
      <c r="C356" s="130">
        <v>545737.49999999988</v>
      </c>
      <c r="D356" s="130">
        <v>467775</v>
      </c>
      <c r="E356" s="130">
        <v>1559250</v>
      </c>
      <c r="F356" s="130">
        <f t="shared" si="153"/>
        <v>1606027.5</v>
      </c>
      <c r="G356" s="130">
        <v>121.42818787721318</v>
      </c>
      <c r="H356" s="130">
        <v>372.07533639758594</v>
      </c>
      <c r="I356" s="139">
        <f t="shared" si="154"/>
        <v>1.55925</v>
      </c>
      <c r="J356" s="139">
        <f t="shared" si="155"/>
        <v>0.12162149999999999</v>
      </c>
      <c r="K356" s="150">
        <f t="shared" si="156"/>
        <v>372.76989749999996</v>
      </c>
      <c r="L356" s="103" t="s">
        <v>453</v>
      </c>
    </row>
    <row r="357" spans="1:12" x14ac:dyDescent="0.25">
      <c r="A357" s="103" t="s">
        <v>455</v>
      </c>
      <c r="B357" s="130">
        <v>545737.5</v>
      </c>
      <c r="C357" s="130">
        <v>545737.49999999988</v>
      </c>
      <c r="D357" s="130">
        <v>467775</v>
      </c>
      <c r="E357" s="130">
        <v>1559250</v>
      </c>
      <c r="F357" s="130">
        <f t="shared" si="153"/>
        <v>1606027.5</v>
      </c>
      <c r="G357" s="130">
        <v>121.42818787721318</v>
      </c>
      <c r="H357" s="130">
        <v>372.07533639758594</v>
      </c>
      <c r="I357" s="139">
        <f t="shared" si="154"/>
        <v>1.55925</v>
      </c>
      <c r="J357" s="139">
        <f t="shared" si="155"/>
        <v>0.12162149999999999</v>
      </c>
      <c r="K357" s="150">
        <f t="shared" si="156"/>
        <v>372.76989749999996</v>
      </c>
      <c r="L357" s="103" t="s">
        <v>454</v>
      </c>
    </row>
    <row r="358" spans="1:12" x14ac:dyDescent="0.25">
      <c r="A358" s="103" t="s">
        <v>456</v>
      </c>
      <c r="B358" s="130">
        <v>545737.5</v>
      </c>
      <c r="C358" s="130">
        <v>545737.49999999988</v>
      </c>
      <c r="D358" s="130">
        <v>467775</v>
      </c>
      <c r="E358" s="130">
        <v>1559250</v>
      </c>
      <c r="F358" s="130">
        <f t="shared" si="153"/>
        <v>1606027.5</v>
      </c>
      <c r="G358" s="130">
        <v>121.42818787721318</v>
      </c>
      <c r="H358" s="130">
        <v>372.07533639758594</v>
      </c>
      <c r="I358" s="139">
        <f t="shared" si="154"/>
        <v>1.55925</v>
      </c>
      <c r="J358" s="139">
        <f t="shared" si="155"/>
        <v>0.12162149999999999</v>
      </c>
      <c r="K358" s="150">
        <f t="shared" si="156"/>
        <v>372.76989749999996</v>
      </c>
      <c r="L358" s="103" t="s">
        <v>455</v>
      </c>
    </row>
    <row r="359" spans="1:12" x14ac:dyDescent="0.25">
      <c r="A359" s="103" t="s">
        <v>457</v>
      </c>
      <c r="B359" s="130">
        <v>545737.5</v>
      </c>
      <c r="C359" s="130">
        <v>545737.49999999988</v>
      </c>
      <c r="D359" s="130">
        <v>467775</v>
      </c>
      <c r="E359" s="130">
        <v>1559250</v>
      </c>
      <c r="F359" s="130">
        <f t="shared" si="153"/>
        <v>1606027.5</v>
      </c>
      <c r="G359" s="130">
        <v>121.42818787721318</v>
      </c>
      <c r="H359" s="130">
        <v>372.07533639758594</v>
      </c>
      <c r="I359" s="139">
        <f t="shared" si="154"/>
        <v>1.55925</v>
      </c>
      <c r="J359" s="139">
        <f t="shared" si="155"/>
        <v>0.12162149999999999</v>
      </c>
      <c r="K359" s="150">
        <f t="shared" si="156"/>
        <v>372.76989749999996</v>
      </c>
      <c r="L359" s="103" t="s">
        <v>456</v>
      </c>
    </row>
    <row r="360" spans="1:12" x14ac:dyDescent="0.25">
      <c r="A360" s="103" t="s">
        <v>441</v>
      </c>
      <c r="B360" s="130">
        <v>545737.5</v>
      </c>
      <c r="C360" s="130">
        <v>545737.49999999988</v>
      </c>
      <c r="D360" s="130">
        <v>467775</v>
      </c>
      <c r="E360" s="130">
        <v>1559250</v>
      </c>
      <c r="F360" s="130">
        <f t="shared" si="153"/>
        <v>1606027.5</v>
      </c>
      <c r="G360" s="130">
        <v>121.42818787721318</v>
      </c>
      <c r="H360" s="130">
        <v>372.07533639758594</v>
      </c>
      <c r="I360" s="139">
        <f t="shared" si="154"/>
        <v>1.55925</v>
      </c>
      <c r="J360" s="139">
        <f t="shared" si="155"/>
        <v>0.12162149999999999</v>
      </c>
      <c r="K360" s="150">
        <f t="shared" si="156"/>
        <v>372.76989749999996</v>
      </c>
      <c r="L360" s="103" t="s">
        <v>457</v>
      </c>
    </row>
    <row r="361" spans="1:12" x14ac:dyDescent="0.25">
      <c r="A361" s="103" t="s">
        <v>462</v>
      </c>
      <c r="B361" s="130">
        <v>545737.5</v>
      </c>
      <c r="C361" s="130">
        <v>545737.49999999988</v>
      </c>
      <c r="D361" s="130">
        <v>467775</v>
      </c>
      <c r="E361" s="130">
        <v>1559250</v>
      </c>
      <c r="F361" s="130">
        <f t="shared" si="153"/>
        <v>1606027.5</v>
      </c>
      <c r="G361" s="130">
        <v>121.42818787721318</v>
      </c>
      <c r="H361" s="130">
        <v>372.07533639758594</v>
      </c>
      <c r="I361" s="139">
        <f t="shared" si="154"/>
        <v>1.55925</v>
      </c>
      <c r="J361" s="139">
        <f t="shared" si="155"/>
        <v>0.12162149999999999</v>
      </c>
      <c r="K361" s="150">
        <f t="shared" si="156"/>
        <v>372.76989749999996</v>
      </c>
      <c r="L361" s="103" t="s">
        <v>441</v>
      </c>
    </row>
    <row r="362" spans="1:12" x14ac:dyDescent="0.25">
      <c r="A362" s="103" t="s">
        <v>463</v>
      </c>
      <c r="B362" s="130">
        <v>545737.5</v>
      </c>
      <c r="C362" s="130">
        <v>545737.49999999988</v>
      </c>
      <c r="D362" s="130">
        <v>467775</v>
      </c>
      <c r="E362" s="130">
        <v>1559250</v>
      </c>
      <c r="F362" s="130">
        <f t="shared" si="153"/>
        <v>1606027.5</v>
      </c>
      <c r="G362" s="130">
        <v>121.42818787721318</v>
      </c>
      <c r="H362" s="130">
        <v>372.07533639758594</v>
      </c>
      <c r="I362" s="139">
        <f t="shared" si="154"/>
        <v>1.55925</v>
      </c>
      <c r="J362" s="139">
        <f t="shared" si="155"/>
        <v>0.12162149999999999</v>
      </c>
      <c r="K362" s="150">
        <f t="shared" si="156"/>
        <v>372.76989749999996</v>
      </c>
      <c r="L362" s="103" t="s">
        <v>462</v>
      </c>
    </row>
    <row r="363" spans="1:12" x14ac:dyDescent="0.25">
      <c r="A363" s="103" t="s">
        <v>464</v>
      </c>
      <c r="B363" s="130">
        <v>545737.5</v>
      </c>
      <c r="C363" s="130">
        <v>545737.49999999988</v>
      </c>
      <c r="D363" s="130">
        <v>467775</v>
      </c>
      <c r="E363" s="130">
        <v>1559250</v>
      </c>
      <c r="F363" s="130">
        <f t="shared" si="153"/>
        <v>1606027.5</v>
      </c>
      <c r="G363" s="130">
        <v>121.42818787721318</v>
      </c>
      <c r="H363" s="130">
        <v>372.07533639758594</v>
      </c>
      <c r="I363" s="139">
        <f t="shared" si="154"/>
        <v>1.55925</v>
      </c>
      <c r="J363" s="139">
        <f t="shared" si="155"/>
        <v>0.12162149999999999</v>
      </c>
      <c r="K363" s="150">
        <f t="shared" si="156"/>
        <v>372.76989749999996</v>
      </c>
      <c r="L363" s="103" t="s">
        <v>463</v>
      </c>
    </row>
    <row r="364" spans="1:12" x14ac:dyDescent="0.25">
      <c r="A364" s="103" t="s">
        <v>465</v>
      </c>
      <c r="B364" s="130">
        <v>545737.5</v>
      </c>
      <c r="C364" s="130">
        <v>545737.49999999988</v>
      </c>
      <c r="D364" s="130">
        <v>467775</v>
      </c>
      <c r="E364" s="130">
        <v>1559250</v>
      </c>
      <c r="F364" s="130">
        <f t="shared" si="153"/>
        <v>1606027.5</v>
      </c>
      <c r="G364" s="130">
        <v>121.42818787721318</v>
      </c>
      <c r="H364" s="130">
        <v>372.07533639758594</v>
      </c>
      <c r="I364" s="139">
        <f t="shared" si="154"/>
        <v>1.55925</v>
      </c>
      <c r="J364" s="139">
        <f t="shared" si="155"/>
        <v>0.12162149999999999</v>
      </c>
      <c r="K364" s="150">
        <f t="shared" si="156"/>
        <v>372.76989749999996</v>
      </c>
      <c r="L364" s="103" t="s">
        <v>464</v>
      </c>
    </row>
    <row r="365" spans="1:12" x14ac:dyDescent="0.25">
      <c r="A365" s="103" t="s">
        <v>466</v>
      </c>
      <c r="B365" s="130">
        <v>545737.5</v>
      </c>
      <c r="C365" s="130">
        <v>545737.49999999988</v>
      </c>
      <c r="D365" s="130">
        <v>467775</v>
      </c>
      <c r="E365" s="130">
        <v>1559250</v>
      </c>
      <c r="F365" s="130">
        <f t="shared" si="153"/>
        <v>1606027.5</v>
      </c>
      <c r="G365" s="130">
        <v>121.42818787721318</v>
      </c>
      <c r="H365" s="130">
        <v>372.07533639758594</v>
      </c>
      <c r="I365" s="139">
        <f t="shared" si="154"/>
        <v>1.55925</v>
      </c>
      <c r="J365" s="139">
        <f t="shared" si="155"/>
        <v>0.12162149999999999</v>
      </c>
      <c r="K365" s="150">
        <f t="shared" si="156"/>
        <v>372.76989749999996</v>
      </c>
      <c r="L365" s="103" t="s">
        <v>465</v>
      </c>
    </row>
    <row r="366" spans="1:12" x14ac:dyDescent="0.25">
      <c r="A366" s="103" t="s">
        <v>467</v>
      </c>
      <c r="B366" s="130">
        <v>545737.5</v>
      </c>
      <c r="C366" s="130">
        <v>545737.49999999988</v>
      </c>
      <c r="D366" s="130">
        <v>467775</v>
      </c>
      <c r="E366" s="130">
        <v>1559250</v>
      </c>
      <c r="F366" s="130">
        <f t="shared" si="153"/>
        <v>1606027.5</v>
      </c>
      <c r="G366" s="130">
        <v>121.42818787721318</v>
      </c>
      <c r="H366" s="130">
        <v>372.07533639758594</v>
      </c>
      <c r="I366" s="139">
        <f t="shared" si="154"/>
        <v>1.55925</v>
      </c>
      <c r="J366" s="139">
        <f t="shared" si="155"/>
        <v>0.12162149999999999</v>
      </c>
      <c r="K366" s="150">
        <f t="shared" si="156"/>
        <v>372.76989749999996</v>
      </c>
      <c r="L366" s="103" t="s">
        <v>466</v>
      </c>
    </row>
    <row r="367" spans="1:12" x14ac:dyDescent="0.25">
      <c r="L367" s="103" t="s">
        <v>467</v>
      </c>
    </row>
  </sheetData>
  <mergeCells count="10">
    <mergeCell ref="A3:H3"/>
    <mergeCell ref="A4:H4"/>
    <mergeCell ref="A5:H5"/>
    <mergeCell ref="A6:H6"/>
    <mergeCell ref="A7:H7"/>
    <mergeCell ref="AI252:AI253"/>
    <mergeCell ref="AE262:AE263"/>
    <mergeCell ref="AD238:AD239"/>
    <mergeCell ref="AE238:AE239"/>
    <mergeCell ref="AD236:AI236"/>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FF00"/>
  </sheetPr>
  <dimension ref="A1:H26"/>
  <sheetViews>
    <sheetView workbookViewId="0">
      <pane xSplit="2" ySplit="2" topLeftCell="C39" activePane="bottomRight" state="frozen"/>
      <selection pane="topRight" activeCell="C1" sqref="C1"/>
      <selection pane="bottomLeft" activeCell="A3" sqref="A3"/>
      <selection pane="bottomRight" activeCell="A19" sqref="A19"/>
    </sheetView>
  </sheetViews>
  <sheetFormatPr defaultRowHeight="15" x14ac:dyDescent="0.3"/>
  <cols>
    <col min="1" max="1" width="43.42578125" style="1" customWidth="1"/>
    <col min="2" max="2" width="9.42578125" style="1" customWidth="1"/>
    <col min="3" max="4" width="7.42578125" style="1" customWidth="1"/>
    <col min="5" max="5" width="9.85546875" style="1" customWidth="1"/>
    <col min="6" max="6" width="121.85546875" style="1" customWidth="1"/>
    <col min="7" max="16384" width="9.140625" style="1"/>
  </cols>
  <sheetData>
    <row r="1" spans="1:6" x14ac:dyDescent="0.3">
      <c r="A1" s="27" t="s">
        <v>50</v>
      </c>
      <c r="B1" s="26"/>
      <c r="C1" s="416" t="s">
        <v>118</v>
      </c>
      <c r="D1" s="416"/>
      <c r="E1" s="416"/>
      <c r="F1" s="26"/>
    </row>
    <row r="2" spans="1:6" ht="27" x14ac:dyDescent="0.3">
      <c r="A2" s="79" t="s">
        <v>73</v>
      </c>
      <c r="B2" s="87" t="s">
        <v>47</v>
      </c>
      <c r="C2" s="87" t="s">
        <v>134</v>
      </c>
      <c r="D2" s="81" t="s">
        <v>135</v>
      </c>
      <c r="E2" s="85" t="s">
        <v>14</v>
      </c>
      <c r="F2" s="85" t="s">
        <v>146</v>
      </c>
    </row>
    <row r="3" spans="1:6" ht="23.25" customHeight="1" x14ac:dyDescent="0.3">
      <c r="A3" s="26" t="s">
        <v>179</v>
      </c>
      <c r="B3" s="80" t="s">
        <v>51</v>
      </c>
      <c r="C3" s="206">
        <f>2.136*365</f>
        <v>779.6400000000001</v>
      </c>
      <c r="D3" s="206">
        <f>6.869*365</f>
        <v>2507.1849999999999</v>
      </c>
      <c r="E3" s="206">
        <f>4.571*365</f>
        <v>1668.415</v>
      </c>
      <c r="F3" s="208" t="s">
        <v>330</v>
      </c>
    </row>
    <row r="4" spans="1:6" x14ac:dyDescent="0.3">
      <c r="A4" s="26" t="s">
        <v>52</v>
      </c>
      <c r="B4" s="80" t="s">
        <v>53</v>
      </c>
      <c r="C4" s="80">
        <v>4</v>
      </c>
      <c r="D4" s="80">
        <v>3</v>
      </c>
      <c r="E4" s="80">
        <v>4</v>
      </c>
      <c r="F4" s="80" t="s">
        <v>147</v>
      </c>
    </row>
    <row r="5" spans="1:6" x14ac:dyDescent="0.3">
      <c r="A5" s="36" t="s">
        <v>77</v>
      </c>
      <c r="B5" s="80" t="s">
        <v>54</v>
      </c>
      <c r="C5" s="80">
        <v>5</v>
      </c>
      <c r="D5" s="80">
        <v>5</v>
      </c>
      <c r="E5" s="80">
        <v>5</v>
      </c>
      <c r="F5" s="80" t="s">
        <v>148</v>
      </c>
    </row>
    <row r="6" spans="1:6" ht="30" customHeight="1" x14ac:dyDescent="0.3">
      <c r="A6" s="10" t="s">
        <v>178</v>
      </c>
      <c r="B6" s="10" t="s">
        <v>137</v>
      </c>
      <c r="C6" s="209">
        <v>0.01</v>
      </c>
      <c r="D6" s="209">
        <v>0.01</v>
      </c>
      <c r="E6" s="209">
        <v>0.01</v>
      </c>
      <c r="F6" s="207" t="s">
        <v>331</v>
      </c>
    </row>
    <row r="7" spans="1:6" x14ac:dyDescent="0.3">
      <c r="A7" s="36" t="s">
        <v>78</v>
      </c>
      <c r="B7" s="80"/>
      <c r="C7" s="86">
        <v>0.9</v>
      </c>
      <c r="D7" s="86">
        <v>0.9</v>
      </c>
      <c r="E7" s="86">
        <v>0.9</v>
      </c>
      <c r="F7" s="80" t="s">
        <v>148</v>
      </c>
    </row>
    <row r="8" spans="1:6" x14ac:dyDescent="0.3">
      <c r="A8" s="36" t="s">
        <v>79</v>
      </c>
      <c r="B8" s="80"/>
      <c r="C8" s="86">
        <v>0.9</v>
      </c>
      <c r="D8" s="86">
        <v>0.9</v>
      </c>
      <c r="E8" s="86">
        <v>0.9</v>
      </c>
      <c r="F8" s="80" t="s">
        <v>148</v>
      </c>
    </row>
    <row r="9" spans="1:6" x14ac:dyDescent="0.3">
      <c r="A9" s="36" t="s">
        <v>149</v>
      </c>
      <c r="B9" s="80" t="s">
        <v>137</v>
      </c>
      <c r="C9" s="86">
        <f>F22+(F21*1/3)</f>
        <v>0.2</v>
      </c>
      <c r="D9" s="86">
        <f>F20+(F21*2/3)</f>
        <v>0.5</v>
      </c>
      <c r="E9" s="86">
        <f>F23</f>
        <v>0.3</v>
      </c>
      <c r="F9" s="80" t="s">
        <v>164</v>
      </c>
    </row>
    <row r="10" spans="1:6" ht="18.75" customHeight="1" x14ac:dyDescent="0.3">
      <c r="A10" s="36" t="s">
        <v>157</v>
      </c>
      <c r="B10" s="80"/>
      <c r="C10" s="86">
        <f>F22/C9</f>
        <v>0.5</v>
      </c>
      <c r="D10" s="86"/>
      <c r="E10" s="86"/>
      <c r="F10" s="80"/>
    </row>
    <row r="11" spans="1:6" x14ac:dyDescent="0.3">
      <c r="A11" s="36" t="s">
        <v>158</v>
      </c>
      <c r="B11" s="80"/>
      <c r="C11" s="86">
        <f>100%-C10</f>
        <v>0.5</v>
      </c>
      <c r="D11" s="80"/>
      <c r="E11" s="80"/>
      <c r="F11" s="80"/>
    </row>
    <row r="12" spans="1:6" ht="18.75" customHeight="1" x14ac:dyDescent="0.3">
      <c r="A12" s="49"/>
    </row>
    <row r="13" spans="1:6" ht="27" x14ac:dyDescent="0.3">
      <c r="A13" s="88" t="s">
        <v>154</v>
      </c>
      <c r="B13" s="81" t="s">
        <v>75</v>
      </c>
      <c r="C13" s="81" t="s">
        <v>74</v>
      </c>
      <c r="D13" s="82"/>
    </row>
    <row r="14" spans="1:6" x14ac:dyDescent="0.3">
      <c r="A14" s="80" t="s">
        <v>303</v>
      </c>
      <c r="B14" s="86">
        <v>0.35</v>
      </c>
      <c r="C14" s="358">
        <v>0.45</v>
      </c>
      <c r="D14" s="295">
        <v>0.05</v>
      </c>
      <c r="E14" s="296">
        <v>0.05</v>
      </c>
      <c r="F14" s="26" t="s">
        <v>148</v>
      </c>
    </row>
    <row r="15" spans="1:6" ht="30" x14ac:dyDescent="0.3">
      <c r="A15" s="205" t="s">
        <v>304</v>
      </c>
      <c r="B15" s="86">
        <v>0.35</v>
      </c>
      <c r="C15" s="358">
        <v>0.38</v>
      </c>
      <c r="D15" s="295">
        <v>0.05</v>
      </c>
      <c r="E15" s="296">
        <v>0.05</v>
      </c>
      <c r="F15" s="26" t="s">
        <v>148</v>
      </c>
    </row>
    <row r="16" spans="1:6" ht="30" x14ac:dyDescent="0.3">
      <c r="A16" s="205" t="s">
        <v>306</v>
      </c>
      <c r="B16" s="86">
        <v>0.35</v>
      </c>
      <c r="C16" s="86">
        <v>0.36</v>
      </c>
      <c r="D16" s="295">
        <v>0.05</v>
      </c>
      <c r="E16" s="296">
        <v>0.05</v>
      </c>
      <c r="F16" s="26" t="s">
        <v>148</v>
      </c>
    </row>
    <row r="17" spans="1:8" ht="30" x14ac:dyDescent="0.3">
      <c r="A17" s="205" t="s">
        <v>305</v>
      </c>
      <c r="B17" s="86">
        <v>0.35</v>
      </c>
      <c r="C17" s="358">
        <v>0.37</v>
      </c>
      <c r="D17" s="295">
        <v>0.05</v>
      </c>
      <c r="E17" s="296">
        <v>0.05</v>
      </c>
      <c r="F17" s="26" t="s">
        <v>148</v>
      </c>
    </row>
    <row r="19" spans="1:8" ht="30" x14ac:dyDescent="0.3">
      <c r="A19" s="88"/>
      <c r="B19" s="81"/>
      <c r="C19" s="81"/>
      <c r="D19" s="90"/>
      <c r="E19" s="84"/>
      <c r="F19" s="83" t="s">
        <v>165</v>
      </c>
      <c r="G19" s="83" t="s">
        <v>153</v>
      </c>
      <c r="H19" s="84"/>
    </row>
    <row r="20" spans="1:8" x14ac:dyDescent="0.3">
      <c r="A20" s="84"/>
      <c r="B20" s="84"/>
      <c r="C20" s="84"/>
      <c r="D20" s="84"/>
      <c r="E20" s="84" t="s">
        <v>150</v>
      </c>
      <c r="F20" s="89">
        <v>0.3</v>
      </c>
      <c r="G20" s="84" t="s">
        <v>150</v>
      </c>
      <c r="H20" s="84"/>
    </row>
    <row r="21" spans="1:8" x14ac:dyDescent="0.3">
      <c r="A21" s="84"/>
      <c r="B21" s="84"/>
      <c r="C21" s="84"/>
      <c r="D21" s="84"/>
      <c r="E21" s="84" t="s">
        <v>12</v>
      </c>
      <c r="F21" s="89">
        <v>0.3</v>
      </c>
      <c r="G21" s="84" t="s">
        <v>197</v>
      </c>
      <c r="H21" s="84"/>
    </row>
    <row r="22" spans="1:8" x14ac:dyDescent="0.3">
      <c r="A22" s="84"/>
      <c r="B22" s="84"/>
      <c r="C22" s="84"/>
      <c r="D22" s="84"/>
      <c r="E22" s="84" t="s">
        <v>151</v>
      </c>
      <c r="F22" s="89">
        <v>0.1</v>
      </c>
      <c r="G22" s="84" t="s">
        <v>151</v>
      </c>
      <c r="H22" s="84"/>
    </row>
    <row r="23" spans="1:8" x14ac:dyDescent="0.3">
      <c r="A23" s="82"/>
      <c r="B23" s="91"/>
      <c r="C23" s="84"/>
      <c r="D23" s="82"/>
      <c r="E23" s="84" t="s">
        <v>152</v>
      </c>
      <c r="F23" s="89">
        <v>0.3</v>
      </c>
      <c r="G23" s="84" t="s">
        <v>152</v>
      </c>
      <c r="H23" s="84"/>
    </row>
    <row r="26" spans="1:8" x14ac:dyDescent="0.3">
      <c r="A26" s="1" t="s">
        <v>334</v>
      </c>
      <c r="B26" s="1" t="s">
        <v>335</v>
      </c>
      <c r="C26" s="1">
        <v>305</v>
      </c>
      <c r="D26" s="1">
        <v>305</v>
      </c>
      <c r="E26" s="1">
        <v>305</v>
      </c>
    </row>
  </sheetData>
  <mergeCells count="1">
    <mergeCell ref="C1:E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142"/>
  <sheetViews>
    <sheetView workbookViewId="0">
      <pane xSplit="3" ySplit="1" topLeftCell="D2" activePane="bottomRight" state="frozen"/>
      <selection pane="topRight" activeCell="C1" sqref="C1"/>
      <selection pane="bottomLeft" activeCell="A2" sqref="A2"/>
      <selection pane="bottomRight" activeCell="F64" sqref="F64"/>
    </sheetView>
  </sheetViews>
  <sheetFormatPr defaultRowHeight="15" x14ac:dyDescent="0.3"/>
  <cols>
    <col min="1" max="1" width="14.140625" style="1" customWidth="1"/>
    <col min="2" max="2" width="39.42578125" style="1" customWidth="1"/>
    <col min="3" max="3" width="22.7109375" style="1" customWidth="1"/>
    <col min="4" max="4" width="15.85546875" style="1" customWidth="1"/>
    <col min="5" max="5" width="12.5703125" style="1" customWidth="1"/>
    <col min="6" max="6" width="10" style="1" bestFit="1" customWidth="1"/>
    <col min="7" max="7" width="10.85546875" style="1" bestFit="1" customWidth="1"/>
    <col min="8" max="9" width="11" style="1" bestFit="1" customWidth="1"/>
    <col min="10" max="11" width="11.140625" style="1" bestFit="1" customWidth="1"/>
    <col min="12" max="13" width="12" style="1" bestFit="1" customWidth="1"/>
    <col min="14" max="14" width="11.85546875" style="1" bestFit="1" customWidth="1"/>
    <col min="15" max="16" width="12" style="1" bestFit="1" customWidth="1"/>
    <col min="17" max="17" width="13.42578125" style="1" bestFit="1" customWidth="1"/>
    <col min="18" max="18" width="13.5703125" style="1" bestFit="1" customWidth="1"/>
    <col min="19" max="19" width="13.42578125" style="1" bestFit="1" customWidth="1"/>
    <col min="20" max="20" width="13.5703125" style="1" bestFit="1" customWidth="1"/>
    <col min="21" max="21" width="12.85546875" style="1" bestFit="1" customWidth="1"/>
    <col min="22" max="22" width="13.140625" style="1" bestFit="1" customWidth="1"/>
    <col min="23" max="23" width="13.42578125" style="1" bestFit="1" customWidth="1"/>
    <col min="24" max="24" width="13" style="1" bestFit="1" customWidth="1"/>
    <col min="25" max="26" width="13.140625" style="1" bestFit="1" customWidth="1"/>
    <col min="27" max="29" width="13.42578125" style="1" bestFit="1" customWidth="1"/>
    <col min="30" max="16384" width="9.140625" style="1"/>
  </cols>
  <sheetData>
    <row r="1" spans="2:30" x14ac:dyDescent="0.3">
      <c r="B1" s="76"/>
      <c r="C1" s="92" t="s">
        <v>47</v>
      </c>
      <c r="D1" s="200"/>
      <c r="E1" s="53" t="s">
        <v>4</v>
      </c>
      <c r="F1" s="53" t="s">
        <v>5</v>
      </c>
      <c r="G1" s="53" t="s">
        <v>6</v>
      </c>
      <c r="H1" s="53" t="s">
        <v>7</v>
      </c>
      <c r="I1" s="53" t="s">
        <v>8</v>
      </c>
      <c r="J1" s="53" t="s">
        <v>9</v>
      </c>
      <c r="K1" s="53" t="s">
        <v>48</v>
      </c>
      <c r="L1" s="27" t="s">
        <v>49</v>
      </c>
      <c r="M1" s="27" t="s">
        <v>121</v>
      </c>
      <c r="N1" s="27" t="s">
        <v>122</v>
      </c>
      <c r="O1" s="27" t="s">
        <v>123</v>
      </c>
      <c r="P1" s="27" t="s">
        <v>124</v>
      </c>
      <c r="Q1" s="27" t="s">
        <v>125</v>
      </c>
      <c r="R1" s="27" t="s">
        <v>126</v>
      </c>
      <c r="S1" s="27" t="s">
        <v>127</v>
      </c>
      <c r="T1" s="27" t="s">
        <v>196</v>
      </c>
      <c r="U1" s="54" t="s">
        <v>167</v>
      </c>
      <c r="V1" s="54" t="s">
        <v>168</v>
      </c>
      <c r="W1" s="54" t="s">
        <v>169</v>
      </c>
      <c r="X1" s="54" t="s">
        <v>170</v>
      </c>
      <c r="Y1" s="54" t="s">
        <v>171</v>
      </c>
      <c r="Z1" s="54" t="s">
        <v>172</v>
      </c>
      <c r="AA1" s="54" t="s">
        <v>173</v>
      </c>
      <c r="AB1" s="54" t="s">
        <v>174</v>
      </c>
      <c r="AC1" s="54" t="s">
        <v>175</v>
      </c>
      <c r="AD1" s="54"/>
    </row>
    <row r="2" spans="2:30" x14ac:dyDescent="0.3">
      <c r="B2" s="96"/>
      <c r="C2" s="97"/>
      <c r="D2" s="97"/>
      <c r="E2" s="98"/>
      <c r="F2" s="94"/>
      <c r="G2" s="94"/>
      <c r="H2" s="94"/>
      <c r="I2" s="94"/>
      <c r="J2" s="94"/>
      <c r="K2" s="94"/>
      <c r="L2" s="95"/>
      <c r="M2" s="95"/>
      <c r="N2" s="95"/>
      <c r="O2" s="95"/>
      <c r="P2" s="95"/>
    </row>
    <row r="3" spans="2:30" s="3" customFormat="1" hidden="1" x14ac:dyDescent="0.3">
      <c r="B3" s="418"/>
      <c r="C3" s="418"/>
      <c r="D3" s="418"/>
      <c r="E3" s="418"/>
    </row>
    <row r="4" spans="2:30" s="3" customFormat="1" hidden="1" x14ac:dyDescent="0.3">
      <c r="B4" s="418"/>
      <c r="C4" s="418"/>
      <c r="D4" s="418"/>
      <c r="E4" s="418"/>
    </row>
    <row r="5" spans="2:30" s="3" customFormat="1" hidden="1" x14ac:dyDescent="0.3">
      <c r="B5" s="54"/>
      <c r="C5" s="54"/>
      <c r="D5" s="54"/>
      <c r="E5" s="54"/>
    </row>
    <row r="6" spans="2:30" s="3" customFormat="1" hidden="1" x14ac:dyDescent="0.3">
      <c r="B6" s="418"/>
      <c r="C6" s="418"/>
      <c r="D6" s="418"/>
      <c r="E6" s="418"/>
    </row>
    <row r="7" spans="2:30" s="3" customFormat="1" hidden="1" x14ac:dyDescent="0.3">
      <c r="E7" s="400"/>
    </row>
    <row r="8" spans="2:30" s="3" customFormat="1" ht="15.75" hidden="1" customHeight="1" x14ac:dyDescent="0.3">
      <c r="E8" s="400"/>
    </row>
    <row r="9" spans="2:30" s="3" customFormat="1" hidden="1" x14ac:dyDescent="0.3">
      <c r="E9" s="400"/>
    </row>
    <row r="10" spans="2:30" s="3" customFormat="1" ht="18" hidden="1" customHeight="1" x14ac:dyDescent="0.3">
      <c r="E10" s="400"/>
    </row>
    <row r="11" spans="2:30" s="3" customFormat="1" hidden="1" x14ac:dyDescent="0.3"/>
    <row r="12" spans="2:30" s="3" customFormat="1" hidden="1" x14ac:dyDescent="0.3"/>
    <row r="13" spans="2:30" s="3" customFormat="1" ht="20.25" hidden="1" customHeight="1" x14ac:dyDescent="0.3">
      <c r="E13" s="400"/>
    </row>
    <row r="14" spans="2:30" s="3" customFormat="1" hidden="1" x14ac:dyDescent="0.3"/>
    <row r="15" spans="2:30" s="3" customFormat="1" hidden="1" x14ac:dyDescent="0.3"/>
    <row r="16" spans="2:30" s="3" customFormat="1" hidden="1" x14ac:dyDescent="0.3"/>
    <row r="17" spans="2:5" s="3" customFormat="1" hidden="1" x14ac:dyDescent="0.3"/>
    <row r="18" spans="2:5" s="3" customFormat="1" hidden="1" x14ac:dyDescent="0.3"/>
    <row r="19" spans="2:5" s="3" customFormat="1" hidden="1" x14ac:dyDescent="0.3"/>
    <row r="20" spans="2:5" s="3" customFormat="1" hidden="1" x14ac:dyDescent="0.3"/>
    <row r="21" spans="2:5" s="3" customFormat="1" hidden="1" x14ac:dyDescent="0.3"/>
    <row r="22" spans="2:5" s="3" customFormat="1" hidden="1" x14ac:dyDescent="0.3"/>
    <row r="23" spans="2:5" s="3" customFormat="1" hidden="1" x14ac:dyDescent="0.3"/>
    <row r="24" spans="2:5" s="3" customFormat="1" hidden="1" x14ac:dyDescent="0.3">
      <c r="B24" s="418"/>
      <c r="C24" s="418"/>
      <c r="D24" s="418"/>
      <c r="E24" s="418"/>
    </row>
    <row r="25" spans="2:5" s="3" customFormat="1" hidden="1" x14ac:dyDescent="0.3"/>
    <row r="26" spans="2:5" s="3" customFormat="1" hidden="1" x14ac:dyDescent="0.3"/>
    <row r="27" spans="2:5" s="3" customFormat="1" hidden="1" x14ac:dyDescent="0.3"/>
    <row r="28" spans="2:5" s="3" customFormat="1" hidden="1" x14ac:dyDescent="0.3"/>
    <row r="29" spans="2:5" s="3" customFormat="1" hidden="1" x14ac:dyDescent="0.3"/>
    <row r="30" spans="2:5" s="3" customFormat="1" hidden="1" x14ac:dyDescent="0.3"/>
    <row r="31" spans="2:5" s="3" customFormat="1" hidden="1" x14ac:dyDescent="0.3"/>
    <row r="32" spans="2:5" s="3" customFormat="1" hidden="1" x14ac:dyDescent="0.3"/>
    <row r="33" spans="2:29" s="3" customFormat="1" hidden="1" x14ac:dyDescent="0.3"/>
    <row r="34" spans="2:29" s="3" customFormat="1" hidden="1" x14ac:dyDescent="0.3">
      <c r="B34" s="54"/>
      <c r="C34" s="54"/>
      <c r="D34" s="54"/>
    </row>
    <row r="35" spans="2:29" x14ac:dyDescent="0.3">
      <c r="B35" s="419" t="s">
        <v>76</v>
      </c>
      <c r="C35" s="420"/>
      <c r="D35" s="420"/>
      <c r="E35" s="421"/>
    </row>
    <row r="36" spans="2:29" x14ac:dyDescent="0.3">
      <c r="B36" s="422" t="s">
        <v>260</v>
      </c>
      <c r="C36" s="423"/>
      <c r="D36" s="423"/>
      <c r="E36" s="424"/>
    </row>
    <row r="37" spans="2:29" x14ac:dyDescent="0.3">
      <c r="B37" s="422" t="s">
        <v>261</v>
      </c>
      <c r="C37" s="423"/>
      <c r="D37" s="423"/>
      <c r="E37" s="424"/>
    </row>
    <row r="38" spans="2:29" x14ac:dyDescent="0.3">
      <c r="B38" s="422" t="s">
        <v>317</v>
      </c>
      <c r="C38" s="423"/>
      <c r="D38" s="423"/>
      <c r="E38" s="424"/>
    </row>
    <row r="40" spans="2:29" ht="15.75" thickBot="1" x14ac:dyDescent="0.35">
      <c r="B40" s="417" t="s">
        <v>316</v>
      </c>
      <c r="C40" s="417"/>
      <c r="D40" s="201"/>
    </row>
    <row r="41" spans="2:29" x14ac:dyDescent="0.3">
      <c r="B41" s="194" t="s">
        <v>217</v>
      </c>
      <c r="C41" s="195"/>
      <c r="D41" s="195"/>
      <c r="E41" s="196" t="s">
        <v>4</v>
      </c>
      <c r="F41" s="196" t="s">
        <v>5</v>
      </c>
      <c r="G41" s="196" t="s">
        <v>6</v>
      </c>
      <c r="H41" s="196" t="s">
        <v>7</v>
      </c>
      <c r="I41" s="196" t="s">
        <v>8</v>
      </c>
      <c r="J41" s="196" t="s">
        <v>9</v>
      </c>
      <c r="K41" s="196" t="s">
        <v>48</v>
      </c>
      <c r="L41" s="197" t="s">
        <v>49</v>
      </c>
      <c r="M41" s="197" t="s">
        <v>121</v>
      </c>
      <c r="N41" s="197" t="s">
        <v>122</v>
      </c>
      <c r="O41" s="198" t="s">
        <v>123</v>
      </c>
      <c r="P41" s="190" t="s">
        <v>124</v>
      </c>
      <c r="Q41" s="27" t="s">
        <v>125</v>
      </c>
      <c r="R41" s="27" t="s">
        <v>126</v>
      </c>
      <c r="S41" s="27" t="s">
        <v>127</v>
      </c>
      <c r="T41" s="27" t="s">
        <v>196</v>
      </c>
      <c r="U41" s="54" t="s">
        <v>167</v>
      </c>
      <c r="V41" s="54" t="s">
        <v>168</v>
      </c>
      <c r="W41" s="54" t="s">
        <v>169</v>
      </c>
      <c r="X41" s="54" t="s">
        <v>170</v>
      </c>
      <c r="Y41" s="54" t="s">
        <v>171</v>
      </c>
      <c r="Z41" s="54" t="s">
        <v>172</v>
      </c>
      <c r="AA41" s="54" t="s">
        <v>173</v>
      </c>
      <c r="AB41" s="54" t="s">
        <v>174</v>
      </c>
      <c r="AC41" s="54" t="s">
        <v>175</v>
      </c>
    </row>
    <row r="42" spans="2:29" x14ac:dyDescent="0.3">
      <c r="B42" s="223" t="s">
        <v>218</v>
      </c>
      <c r="C42" s="26"/>
      <c r="D42" s="26"/>
      <c r="E42" s="26"/>
      <c r="F42" s="26"/>
      <c r="G42" s="26"/>
      <c r="H42" s="26"/>
      <c r="I42" s="26"/>
      <c r="J42" s="26"/>
      <c r="K42" s="26"/>
      <c r="L42" s="26"/>
      <c r="M42" s="26"/>
      <c r="N42" s="26"/>
      <c r="O42" s="99"/>
      <c r="P42" s="191"/>
      <c r="Q42" s="26"/>
      <c r="R42" s="26"/>
      <c r="S42" s="26"/>
      <c r="T42" s="26"/>
      <c r="U42" s="26"/>
      <c r="V42" s="26"/>
      <c r="W42" s="26"/>
      <c r="X42" s="26"/>
      <c r="Y42" s="26"/>
      <c r="Z42" s="26"/>
      <c r="AA42" s="26"/>
      <c r="AB42" s="26"/>
      <c r="AC42" s="26"/>
    </row>
    <row r="43" spans="2:29" x14ac:dyDescent="0.3">
      <c r="B43" s="224" t="s">
        <v>312</v>
      </c>
      <c r="C43" s="78" t="s">
        <v>222</v>
      </c>
      <c r="D43" s="26" t="s">
        <v>31</v>
      </c>
      <c r="E43" s="11">
        <f>SUM(E44:E46)</f>
        <v>0</v>
      </c>
      <c r="F43" s="11">
        <f t="shared" ref="F43:AC43" si="0">SUM(F44:F46)</f>
        <v>11.650169539916643</v>
      </c>
      <c r="G43" s="11">
        <f t="shared" si="0"/>
        <v>27.007706880739793</v>
      </c>
      <c r="H43" s="11">
        <f t="shared" si="0"/>
        <v>50.126788743287207</v>
      </c>
      <c r="I43" s="11">
        <f t="shared" si="0"/>
        <v>73.159649238014168</v>
      </c>
      <c r="J43" s="11">
        <f t="shared" si="0"/>
        <v>99.862696158438254</v>
      </c>
      <c r="K43" s="11">
        <f t="shared" si="0"/>
        <v>120.84643208864388</v>
      </c>
      <c r="L43" s="11">
        <f t="shared" si="0"/>
        <v>121.42818787721316</v>
      </c>
      <c r="M43" s="11">
        <f t="shared" si="0"/>
        <v>121.42818787721316</v>
      </c>
      <c r="N43" s="11">
        <f t="shared" si="0"/>
        <v>121.42818787721316</v>
      </c>
      <c r="O43" s="11">
        <f t="shared" si="0"/>
        <v>121.42818787721316</v>
      </c>
      <c r="P43" s="11">
        <f t="shared" si="0"/>
        <v>121.42818787721316</v>
      </c>
      <c r="Q43" s="11">
        <f t="shared" si="0"/>
        <v>121.42818787721316</v>
      </c>
      <c r="R43" s="11">
        <f t="shared" si="0"/>
        <v>121.42818787721316</v>
      </c>
      <c r="S43" s="11">
        <f t="shared" si="0"/>
        <v>121.42818787721316</v>
      </c>
      <c r="T43" s="11">
        <f t="shared" si="0"/>
        <v>121.42818787721316</v>
      </c>
      <c r="U43" s="11">
        <f t="shared" si="0"/>
        <v>121.42818787721316</v>
      </c>
      <c r="V43" s="11">
        <f t="shared" si="0"/>
        <v>121.42818787721316</v>
      </c>
      <c r="W43" s="11">
        <f t="shared" si="0"/>
        <v>121.42818787721316</v>
      </c>
      <c r="X43" s="11">
        <f t="shared" si="0"/>
        <v>121.42818787721316</v>
      </c>
      <c r="Y43" s="11">
        <f t="shared" si="0"/>
        <v>121.42818787721316</v>
      </c>
      <c r="Z43" s="11">
        <f t="shared" si="0"/>
        <v>121.42818787721316</v>
      </c>
      <c r="AA43" s="11">
        <f t="shared" si="0"/>
        <v>121.42818787721316</v>
      </c>
      <c r="AB43" s="11">
        <f t="shared" si="0"/>
        <v>121.42818787721316</v>
      </c>
      <c r="AC43" s="11">
        <f t="shared" si="0"/>
        <v>121.42818787721316</v>
      </c>
    </row>
    <row r="44" spans="2:29" x14ac:dyDescent="0.3">
      <c r="B44" s="204"/>
      <c r="C44" s="26"/>
      <c r="D44" s="26" t="s">
        <v>321</v>
      </c>
      <c r="E44" s="11">
        <v>0</v>
      </c>
      <c r="F44" s="11">
        <v>1.9707820135961329</v>
      </c>
      <c r="G44" s="11">
        <v>4.5222524293558406</v>
      </c>
      <c r="H44" s="11">
        <v>8.3732422643507132</v>
      </c>
      <c r="I44" s="11">
        <v>12.179079198929937</v>
      </c>
      <c r="J44" s="11">
        <v>16.606999956962884</v>
      </c>
      <c r="K44" s="11">
        <v>20.052750404591055</v>
      </c>
      <c r="L44" s="11">
        <v>20.070464234754116</v>
      </c>
      <c r="M44" s="11">
        <v>20.070464234754116</v>
      </c>
      <c r="N44" s="11">
        <v>20.070464234754116</v>
      </c>
      <c r="O44" s="11">
        <v>20.070464234754116</v>
      </c>
      <c r="P44" s="11">
        <v>20.070464234754116</v>
      </c>
      <c r="Q44" s="11">
        <v>20.070464234754116</v>
      </c>
      <c r="R44" s="11">
        <v>20.070464234754116</v>
      </c>
      <c r="S44" s="11">
        <v>20.070464234754116</v>
      </c>
      <c r="T44" s="11">
        <v>20.070464234754116</v>
      </c>
      <c r="U44" s="11">
        <v>20.070464234754116</v>
      </c>
      <c r="V44" s="11">
        <v>20.070464234754116</v>
      </c>
      <c r="W44" s="11">
        <v>20.070464234754116</v>
      </c>
      <c r="X44" s="11">
        <v>20.070464234754116</v>
      </c>
      <c r="Y44" s="11">
        <v>20.070464234754116</v>
      </c>
      <c r="Z44" s="11">
        <v>20.070464234754116</v>
      </c>
      <c r="AA44" s="11">
        <v>20.070464234754116</v>
      </c>
      <c r="AB44" s="11">
        <v>20.070464234754116</v>
      </c>
      <c r="AC44" s="11">
        <v>20.070464234754116</v>
      </c>
    </row>
    <row r="45" spans="2:29" x14ac:dyDescent="0.3">
      <c r="B45" s="204"/>
      <c r="C45" s="26"/>
      <c r="D45" s="26" t="s">
        <v>318</v>
      </c>
      <c r="E45" s="11">
        <v>0</v>
      </c>
      <c r="F45" s="11">
        <v>6.3376880390411214</v>
      </c>
      <c r="G45" s="11">
        <v>14.542767760882619</v>
      </c>
      <c r="H45" s="11">
        <v>26.926873180629695</v>
      </c>
      <c r="I45" s="11">
        <v>39.165774820903415</v>
      </c>
      <c r="J45" s="11">
        <v>53.40518853201219</v>
      </c>
      <c r="K45" s="11">
        <v>64.486115416262123</v>
      </c>
      <c r="L45" s="11">
        <v>64.543079975901662</v>
      </c>
      <c r="M45" s="11">
        <v>64.543079975901662</v>
      </c>
      <c r="N45" s="11">
        <v>64.543079975901662</v>
      </c>
      <c r="O45" s="11">
        <v>64.543079975901662</v>
      </c>
      <c r="P45" s="11">
        <v>64.543079975901662</v>
      </c>
      <c r="Q45" s="11">
        <v>64.543079975901662</v>
      </c>
      <c r="R45" s="11">
        <v>64.543079975901662</v>
      </c>
      <c r="S45" s="11">
        <v>64.543079975901662</v>
      </c>
      <c r="T45" s="11">
        <v>64.543079975901662</v>
      </c>
      <c r="U45" s="11">
        <v>64.543079975901662</v>
      </c>
      <c r="V45" s="11">
        <v>64.543079975901662</v>
      </c>
      <c r="W45" s="11">
        <v>64.543079975901662</v>
      </c>
      <c r="X45" s="11">
        <v>64.543079975901662</v>
      </c>
      <c r="Y45" s="11">
        <v>64.543079975901662</v>
      </c>
      <c r="Z45" s="11">
        <v>64.543079975901662</v>
      </c>
      <c r="AA45" s="11">
        <v>64.543079975901662</v>
      </c>
      <c r="AB45" s="11">
        <v>64.543079975901662</v>
      </c>
      <c r="AC45" s="11">
        <v>64.543079975901662</v>
      </c>
    </row>
    <row r="46" spans="2:29" x14ac:dyDescent="0.3">
      <c r="B46" s="204"/>
      <c r="C46" s="26"/>
      <c r="D46" s="26" t="s">
        <v>319</v>
      </c>
      <c r="E46" s="11">
        <v>0</v>
      </c>
      <c r="F46" s="11">
        <v>3.3416994872793877</v>
      </c>
      <c r="G46" s="11">
        <v>7.9426866905013318</v>
      </c>
      <c r="H46" s="11">
        <v>14.826673298306803</v>
      </c>
      <c r="I46" s="11">
        <v>21.814795218180819</v>
      </c>
      <c r="J46" s="11">
        <v>29.850507669463184</v>
      </c>
      <c r="K46" s="11">
        <v>36.307566267790705</v>
      </c>
      <c r="L46" s="11">
        <v>36.814643666557394</v>
      </c>
      <c r="M46" s="11">
        <v>36.814643666557394</v>
      </c>
      <c r="N46" s="11">
        <v>36.814643666557394</v>
      </c>
      <c r="O46" s="11">
        <v>36.814643666557394</v>
      </c>
      <c r="P46" s="11">
        <v>36.814643666557394</v>
      </c>
      <c r="Q46" s="11">
        <v>36.814643666557394</v>
      </c>
      <c r="R46" s="11">
        <v>36.814643666557394</v>
      </c>
      <c r="S46" s="11">
        <v>36.814643666557394</v>
      </c>
      <c r="T46" s="11">
        <v>36.814643666557394</v>
      </c>
      <c r="U46" s="11">
        <v>36.814643666557394</v>
      </c>
      <c r="V46" s="11">
        <v>36.814643666557394</v>
      </c>
      <c r="W46" s="11">
        <v>36.814643666557394</v>
      </c>
      <c r="X46" s="11">
        <v>36.814643666557394</v>
      </c>
      <c r="Y46" s="11">
        <v>36.814643666557394</v>
      </c>
      <c r="Z46" s="11">
        <v>36.814643666557394</v>
      </c>
      <c r="AA46" s="11">
        <v>36.814643666557394</v>
      </c>
      <c r="AB46" s="11">
        <v>36.814643666557394</v>
      </c>
      <c r="AC46" s="11">
        <v>36.814643666557394</v>
      </c>
    </row>
    <row r="47" spans="2:29" x14ac:dyDescent="0.3">
      <c r="B47" s="204"/>
      <c r="C47" s="26"/>
      <c r="D47" s="26"/>
      <c r="E47" s="11"/>
      <c r="F47" s="11"/>
      <c r="G47" s="11"/>
      <c r="H47" s="11"/>
      <c r="I47" s="11"/>
      <c r="J47" s="11"/>
      <c r="K47" s="11"/>
      <c r="L47" s="11"/>
      <c r="M47" s="11"/>
      <c r="N47" s="11"/>
      <c r="O47" s="11"/>
      <c r="P47" s="11"/>
      <c r="Q47" s="11"/>
      <c r="R47" s="11"/>
      <c r="S47" s="11"/>
      <c r="T47" s="11"/>
      <c r="U47" s="11"/>
      <c r="V47" s="11"/>
      <c r="W47" s="11"/>
      <c r="X47" s="11"/>
      <c r="Y47" s="11"/>
      <c r="Z47" s="11"/>
      <c r="AA47" s="11"/>
      <c r="AB47" s="11"/>
      <c r="AC47" s="11"/>
    </row>
    <row r="48" spans="2:29" x14ac:dyDescent="0.3">
      <c r="B48" s="225" t="s">
        <v>313</v>
      </c>
      <c r="C48" s="78" t="s">
        <v>222</v>
      </c>
      <c r="D48" s="26" t="s">
        <v>31</v>
      </c>
      <c r="E48" s="11">
        <f>SUM(E49:E51)</f>
        <v>0</v>
      </c>
      <c r="F48" s="11">
        <f t="shared" ref="F48:AC48" si="1">SUM(F49:F51)</f>
        <v>5.357905999755487</v>
      </c>
      <c r="G48" s="11">
        <f t="shared" si="1"/>
        <v>87.534777625407685</v>
      </c>
      <c r="H48" s="11">
        <f t="shared" si="1"/>
        <v>197.62384289235627</v>
      </c>
      <c r="I48" s="11">
        <f t="shared" si="1"/>
        <v>350.37972720922653</v>
      </c>
      <c r="J48" s="11">
        <f t="shared" si="1"/>
        <v>559.22822373213489</v>
      </c>
      <c r="K48" s="11">
        <f t="shared" si="1"/>
        <v>745.78771228246194</v>
      </c>
      <c r="L48" s="11">
        <f t="shared" si="1"/>
        <v>754.64348942047752</v>
      </c>
      <c r="M48" s="11">
        <f t="shared" si="1"/>
        <v>754.64348942047752</v>
      </c>
      <c r="N48" s="11">
        <f t="shared" si="1"/>
        <v>754.64348942047752</v>
      </c>
      <c r="O48" s="11">
        <f t="shared" si="1"/>
        <v>754.64348942047752</v>
      </c>
      <c r="P48" s="11">
        <f t="shared" si="1"/>
        <v>754.64348942047752</v>
      </c>
      <c r="Q48" s="11">
        <f t="shared" si="1"/>
        <v>754.64348942047752</v>
      </c>
      <c r="R48" s="11">
        <f t="shared" si="1"/>
        <v>754.64348942047752</v>
      </c>
      <c r="S48" s="11">
        <f t="shared" si="1"/>
        <v>754.64348942047752</v>
      </c>
      <c r="T48" s="11">
        <f t="shared" si="1"/>
        <v>754.64348942047752</v>
      </c>
      <c r="U48" s="11">
        <f t="shared" si="1"/>
        <v>754.64348942047752</v>
      </c>
      <c r="V48" s="11">
        <f t="shared" si="1"/>
        <v>754.64348942047752</v>
      </c>
      <c r="W48" s="11">
        <f t="shared" si="1"/>
        <v>754.64348942047752</v>
      </c>
      <c r="X48" s="11">
        <f t="shared" si="1"/>
        <v>754.64348942047752</v>
      </c>
      <c r="Y48" s="11">
        <f t="shared" si="1"/>
        <v>754.64348942047752</v>
      </c>
      <c r="Z48" s="11">
        <f t="shared" si="1"/>
        <v>754.64348942047752</v>
      </c>
      <c r="AA48" s="11">
        <f t="shared" si="1"/>
        <v>754.64348942047752</v>
      </c>
      <c r="AB48" s="11">
        <f t="shared" si="1"/>
        <v>754.64348942047752</v>
      </c>
      <c r="AC48" s="11">
        <f t="shared" si="1"/>
        <v>754.64348942047752</v>
      </c>
    </row>
    <row r="49" spans="2:29" x14ac:dyDescent="0.3">
      <c r="B49" s="204"/>
      <c r="C49" s="26"/>
      <c r="D49" s="26" t="s">
        <v>321</v>
      </c>
      <c r="E49" s="11">
        <f>'NDSP Bull, SS &amp; Non-NDSP AI'!C48</f>
        <v>0</v>
      </c>
      <c r="F49" s="11">
        <v>0.44603571300179473</v>
      </c>
      <c r="G49" s="11">
        <v>7.2780349990795568</v>
      </c>
      <c r="H49" s="11">
        <v>16.304051006235333</v>
      </c>
      <c r="I49" s="11">
        <v>28.841242471435383</v>
      </c>
      <c r="J49" s="11">
        <v>45.977837878495343</v>
      </c>
      <c r="K49" s="11">
        <v>61.16745705731104</v>
      </c>
      <c r="L49" s="11">
        <v>61.605904582539281</v>
      </c>
      <c r="M49" s="11">
        <v>61.605904582539281</v>
      </c>
      <c r="N49" s="11">
        <v>61.605904582539281</v>
      </c>
      <c r="O49" s="11">
        <v>61.605904582539281</v>
      </c>
      <c r="P49" s="11">
        <v>61.605904582539281</v>
      </c>
      <c r="Q49" s="11">
        <v>61.605904582539281</v>
      </c>
      <c r="R49" s="11">
        <v>61.605904582539281</v>
      </c>
      <c r="S49" s="11">
        <v>61.605904582539281</v>
      </c>
      <c r="T49" s="11">
        <v>61.605904582539281</v>
      </c>
      <c r="U49" s="11">
        <v>61.605904582539281</v>
      </c>
      <c r="V49" s="11">
        <v>61.605904582539281</v>
      </c>
      <c r="W49" s="11">
        <v>61.605904582539281</v>
      </c>
      <c r="X49" s="11">
        <v>61.605904582539281</v>
      </c>
      <c r="Y49" s="11">
        <v>61.605904582539281</v>
      </c>
      <c r="Z49" s="11">
        <v>61.605904582539281</v>
      </c>
      <c r="AA49" s="11">
        <v>61.605904582539281</v>
      </c>
      <c r="AB49" s="11">
        <v>61.605904582539281</v>
      </c>
      <c r="AC49" s="11">
        <v>61.605904582539281</v>
      </c>
    </row>
    <row r="50" spans="2:29" x14ac:dyDescent="0.3">
      <c r="B50" s="204"/>
      <c r="C50" s="26"/>
      <c r="D50" s="26" t="s">
        <v>318</v>
      </c>
      <c r="E50" s="11">
        <f>'NDSP Bull, SS &amp; Non-NDSP AI'!C95</f>
        <v>0</v>
      </c>
      <c r="F50" s="11">
        <v>3.585930843409793</v>
      </c>
      <c r="G50" s="11">
        <v>58.51219851202886</v>
      </c>
      <c r="H50" s="11">
        <v>131.07739508641208</v>
      </c>
      <c r="I50" s="11">
        <v>231.87089716326034</v>
      </c>
      <c r="J50" s="11">
        <v>369.64158285040321</v>
      </c>
      <c r="K50" s="11">
        <v>491.75943647784351</v>
      </c>
      <c r="L50" s="11">
        <v>495.28436163092488</v>
      </c>
      <c r="M50" s="11">
        <v>495.28436163092488</v>
      </c>
      <c r="N50" s="11">
        <v>495.28436163092488</v>
      </c>
      <c r="O50" s="11">
        <v>495.28436163092488</v>
      </c>
      <c r="P50" s="11">
        <v>495.28436163092488</v>
      </c>
      <c r="Q50" s="11">
        <v>495.28436163092488</v>
      </c>
      <c r="R50" s="11">
        <v>495.28436163092488</v>
      </c>
      <c r="S50" s="11">
        <v>495.28436163092488</v>
      </c>
      <c r="T50" s="11">
        <v>495.28436163092488</v>
      </c>
      <c r="U50" s="11">
        <v>495.28436163092488</v>
      </c>
      <c r="V50" s="11">
        <v>495.28436163092488</v>
      </c>
      <c r="W50" s="11">
        <v>495.28436163092488</v>
      </c>
      <c r="X50" s="11">
        <v>495.28436163092488</v>
      </c>
      <c r="Y50" s="11">
        <v>495.28436163092488</v>
      </c>
      <c r="Z50" s="11">
        <v>495.28436163092488</v>
      </c>
      <c r="AA50" s="11">
        <v>495.28436163092488</v>
      </c>
      <c r="AB50" s="11">
        <v>495.28436163092488</v>
      </c>
      <c r="AC50" s="11">
        <v>495.28436163092488</v>
      </c>
    </row>
    <row r="51" spans="2:29" x14ac:dyDescent="0.3">
      <c r="B51" s="204"/>
      <c r="C51" s="26"/>
      <c r="D51" s="26" t="s">
        <v>319</v>
      </c>
      <c r="E51" s="11">
        <f>'NDSP Bull, SS &amp; Non-NDSP AI'!C124</f>
        <v>0</v>
      </c>
      <c r="F51" s="11">
        <v>1.3259394433438993</v>
      </c>
      <c r="G51" s="11">
        <v>21.74454411429927</v>
      </c>
      <c r="H51" s="11">
        <v>50.24239679970885</v>
      </c>
      <c r="I51" s="11">
        <v>89.667587574530785</v>
      </c>
      <c r="J51" s="11">
        <v>143.6088030032364</v>
      </c>
      <c r="K51" s="11">
        <v>192.86081874730738</v>
      </c>
      <c r="L51" s="11">
        <v>197.75322320701329</v>
      </c>
      <c r="M51" s="11">
        <v>197.75322320701329</v>
      </c>
      <c r="N51" s="11">
        <v>197.75322320701329</v>
      </c>
      <c r="O51" s="11">
        <v>197.75322320701329</v>
      </c>
      <c r="P51" s="11">
        <v>197.75322320701329</v>
      </c>
      <c r="Q51" s="11">
        <v>197.75322320701329</v>
      </c>
      <c r="R51" s="11">
        <v>197.75322320701329</v>
      </c>
      <c r="S51" s="11">
        <v>197.75322320701329</v>
      </c>
      <c r="T51" s="11">
        <v>197.75322320701329</v>
      </c>
      <c r="U51" s="11">
        <v>197.75322320701329</v>
      </c>
      <c r="V51" s="11">
        <v>197.75322320701329</v>
      </c>
      <c r="W51" s="11">
        <v>197.75322320701329</v>
      </c>
      <c r="X51" s="11">
        <v>197.75322320701329</v>
      </c>
      <c r="Y51" s="11">
        <v>197.75322320701329</v>
      </c>
      <c r="Z51" s="11">
        <v>197.75322320701329</v>
      </c>
      <c r="AA51" s="11">
        <v>197.75322320701329</v>
      </c>
      <c r="AB51" s="11">
        <v>197.75322320701329</v>
      </c>
      <c r="AC51" s="11">
        <v>197.75322320701329</v>
      </c>
    </row>
    <row r="52" spans="2:29" x14ac:dyDescent="0.3">
      <c r="B52" s="204"/>
      <c r="C52" s="26"/>
      <c r="D52" s="26"/>
      <c r="E52" s="11"/>
      <c r="F52" s="11"/>
      <c r="G52" s="11"/>
      <c r="H52" s="11"/>
      <c r="I52" s="11"/>
      <c r="J52" s="11"/>
      <c r="K52" s="11"/>
      <c r="L52" s="11"/>
      <c r="M52" s="11"/>
      <c r="N52" s="11"/>
      <c r="O52" s="11"/>
      <c r="P52" s="11"/>
      <c r="Q52" s="11"/>
      <c r="R52" s="11"/>
      <c r="S52" s="11"/>
      <c r="T52" s="11"/>
      <c r="U52" s="11"/>
      <c r="V52" s="11"/>
      <c r="W52" s="11"/>
      <c r="X52" s="11"/>
      <c r="Y52" s="11"/>
      <c r="Z52" s="11"/>
      <c r="AA52" s="11"/>
      <c r="AB52" s="11"/>
      <c r="AC52" s="11"/>
    </row>
    <row r="53" spans="2:29" ht="30" hidden="1" x14ac:dyDescent="0.3">
      <c r="B53" s="203" t="s">
        <v>314</v>
      </c>
      <c r="C53" s="78" t="s">
        <v>222</v>
      </c>
      <c r="D53" s="26" t="s">
        <v>31</v>
      </c>
      <c r="E53" s="11">
        <f>SUM(E54:E56)</f>
        <v>0</v>
      </c>
      <c r="F53" s="11">
        <f t="shared" ref="F53:AC53" si="2">SUM(F54:F56)</f>
        <v>0</v>
      </c>
      <c r="G53" s="11">
        <f t="shared" si="2"/>
        <v>0</v>
      </c>
      <c r="H53" s="11">
        <f t="shared" si="2"/>
        <v>0</v>
      </c>
      <c r="I53" s="11">
        <f t="shared" si="2"/>
        <v>0</v>
      </c>
      <c r="J53" s="11">
        <f t="shared" si="2"/>
        <v>0</v>
      </c>
      <c r="K53" s="11">
        <f t="shared" si="2"/>
        <v>0</v>
      </c>
      <c r="L53" s="11">
        <f t="shared" si="2"/>
        <v>0</v>
      </c>
      <c r="M53" s="11">
        <f t="shared" si="2"/>
        <v>0</v>
      </c>
      <c r="N53" s="11">
        <f t="shared" si="2"/>
        <v>0</v>
      </c>
      <c r="O53" s="11">
        <f t="shared" si="2"/>
        <v>0</v>
      </c>
      <c r="P53" s="11">
        <f t="shared" si="2"/>
        <v>0</v>
      </c>
      <c r="Q53" s="11">
        <f t="shared" si="2"/>
        <v>0</v>
      </c>
      <c r="R53" s="11">
        <f t="shared" si="2"/>
        <v>0</v>
      </c>
      <c r="S53" s="11">
        <f t="shared" si="2"/>
        <v>0</v>
      </c>
      <c r="T53" s="11">
        <f t="shared" si="2"/>
        <v>0</v>
      </c>
      <c r="U53" s="11">
        <f t="shared" si="2"/>
        <v>0</v>
      </c>
      <c r="V53" s="11">
        <f t="shared" si="2"/>
        <v>0</v>
      </c>
      <c r="W53" s="11">
        <f t="shared" si="2"/>
        <v>0</v>
      </c>
      <c r="X53" s="11">
        <f t="shared" si="2"/>
        <v>0</v>
      </c>
      <c r="Y53" s="11">
        <f t="shared" si="2"/>
        <v>0</v>
      </c>
      <c r="Z53" s="11">
        <f t="shared" si="2"/>
        <v>0</v>
      </c>
      <c r="AA53" s="11">
        <f t="shared" si="2"/>
        <v>0</v>
      </c>
      <c r="AB53" s="11">
        <f t="shared" si="2"/>
        <v>0</v>
      </c>
      <c r="AC53" s="11">
        <f t="shared" si="2"/>
        <v>0</v>
      </c>
    </row>
    <row r="54" spans="2:29" hidden="1" x14ac:dyDescent="0.3">
      <c r="B54" s="203"/>
      <c r="C54" s="78"/>
      <c r="D54" s="26" t="s">
        <v>321</v>
      </c>
      <c r="E54" s="11">
        <f>'NDSP-Bull &amp; Non-NDSP SS,AI'!C39</f>
        <v>0</v>
      </c>
      <c r="F54" s="11">
        <f>'NDSP-Bull &amp; Non-NDSP SS,AI'!D39</f>
        <v>0</v>
      </c>
      <c r="G54" s="11">
        <f>'NDSP-Bull &amp; Non-NDSP SS,AI'!E39</f>
        <v>0</v>
      </c>
      <c r="H54" s="11">
        <f>'NDSP-Bull &amp; Non-NDSP SS,AI'!F39</f>
        <v>0</v>
      </c>
      <c r="I54" s="11">
        <f>'NDSP-Bull &amp; Non-NDSP SS,AI'!G39</f>
        <v>0</v>
      </c>
      <c r="J54" s="11">
        <f>'NDSP-Bull &amp; Non-NDSP SS,AI'!H39</f>
        <v>0</v>
      </c>
      <c r="K54" s="11">
        <f>'NDSP-Bull &amp; Non-NDSP SS,AI'!I39</f>
        <v>0</v>
      </c>
      <c r="L54" s="11">
        <f>'NDSP-Bull &amp; Non-NDSP SS,AI'!J39</f>
        <v>0</v>
      </c>
      <c r="M54" s="11">
        <f>'NDSP-Bull &amp; Non-NDSP SS,AI'!K39</f>
        <v>0</v>
      </c>
      <c r="N54" s="11">
        <f>'NDSP-Bull &amp; Non-NDSP SS,AI'!L39</f>
        <v>0</v>
      </c>
      <c r="O54" s="11">
        <f>'NDSP-Bull &amp; Non-NDSP SS,AI'!M39</f>
        <v>0</v>
      </c>
      <c r="P54" s="11">
        <f>'NDSP-Bull &amp; Non-NDSP SS,AI'!N39</f>
        <v>0</v>
      </c>
      <c r="Q54" s="11">
        <f>'NDSP-Bull &amp; Non-NDSP SS,AI'!O39</f>
        <v>0</v>
      </c>
      <c r="R54" s="11">
        <f>'NDSP-Bull &amp; Non-NDSP SS,AI'!P39</f>
        <v>0</v>
      </c>
      <c r="S54" s="11">
        <f>'NDSP-Bull &amp; Non-NDSP SS,AI'!Q39</f>
        <v>0</v>
      </c>
      <c r="T54" s="11">
        <f>'NDSP-Bull &amp; Non-NDSP SS,AI'!R39</f>
        <v>0</v>
      </c>
      <c r="U54" s="11">
        <f>'NDSP-Bull &amp; Non-NDSP SS,AI'!S39</f>
        <v>0</v>
      </c>
      <c r="V54" s="11">
        <f>'NDSP-Bull &amp; Non-NDSP SS,AI'!T39</f>
        <v>0</v>
      </c>
      <c r="W54" s="11">
        <f>'NDSP-Bull &amp; Non-NDSP SS,AI'!U39</f>
        <v>0</v>
      </c>
      <c r="X54" s="11">
        <f>'NDSP-Bull &amp; Non-NDSP SS,AI'!V39</f>
        <v>0</v>
      </c>
      <c r="Y54" s="11">
        <f>'NDSP-Bull &amp; Non-NDSP SS,AI'!W39</f>
        <v>0</v>
      </c>
      <c r="Z54" s="11">
        <f>'NDSP-Bull &amp; Non-NDSP SS,AI'!X39</f>
        <v>0</v>
      </c>
      <c r="AA54" s="11">
        <f>'NDSP-Bull &amp; Non-NDSP SS,AI'!Y39</f>
        <v>0</v>
      </c>
      <c r="AB54" s="11">
        <f>'NDSP-Bull &amp; Non-NDSP SS,AI'!Z39</f>
        <v>0</v>
      </c>
      <c r="AC54" s="11">
        <f>'NDSP-Bull &amp; Non-NDSP SS,AI'!AA39</f>
        <v>0</v>
      </c>
    </row>
    <row r="55" spans="2:29" hidden="1" x14ac:dyDescent="0.3">
      <c r="B55" s="203"/>
      <c r="C55" s="78"/>
      <c r="D55" s="26" t="s">
        <v>318</v>
      </c>
      <c r="E55" s="11">
        <f>'NDSP-Bull &amp; Non-NDSP SS,AI'!C86</f>
        <v>0</v>
      </c>
      <c r="F55" s="11">
        <f>'NDSP-Bull &amp; Non-NDSP SS,AI'!D86</f>
        <v>0</v>
      </c>
      <c r="G55" s="11">
        <f>'NDSP-Bull &amp; Non-NDSP SS,AI'!E86</f>
        <v>0</v>
      </c>
      <c r="H55" s="11">
        <f>'NDSP-Bull &amp; Non-NDSP SS,AI'!F86</f>
        <v>0</v>
      </c>
      <c r="I55" s="11">
        <f>'NDSP-Bull &amp; Non-NDSP SS,AI'!G86</f>
        <v>0</v>
      </c>
      <c r="J55" s="11">
        <f>'NDSP-Bull &amp; Non-NDSP SS,AI'!H86</f>
        <v>0</v>
      </c>
      <c r="K55" s="11">
        <f>'NDSP-Bull &amp; Non-NDSP SS,AI'!I86</f>
        <v>0</v>
      </c>
      <c r="L55" s="11">
        <f>'NDSP-Bull &amp; Non-NDSP SS,AI'!J86</f>
        <v>0</v>
      </c>
      <c r="M55" s="11">
        <f>'NDSP-Bull &amp; Non-NDSP SS,AI'!K86</f>
        <v>0</v>
      </c>
      <c r="N55" s="11">
        <f>'NDSP-Bull &amp; Non-NDSP SS,AI'!L86</f>
        <v>0</v>
      </c>
      <c r="O55" s="11">
        <f>'NDSP-Bull &amp; Non-NDSP SS,AI'!M86</f>
        <v>0</v>
      </c>
      <c r="P55" s="11">
        <f>'NDSP-Bull &amp; Non-NDSP SS,AI'!N86</f>
        <v>0</v>
      </c>
      <c r="Q55" s="11">
        <f>'NDSP-Bull &amp; Non-NDSP SS,AI'!O86</f>
        <v>0</v>
      </c>
      <c r="R55" s="11">
        <f>'NDSP-Bull &amp; Non-NDSP SS,AI'!P86</f>
        <v>0</v>
      </c>
      <c r="S55" s="11">
        <f>'NDSP-Bull &amp; Non-NDSP SS,AI'!Q86</f>
        <v>0</v>
      </c>
      <c r="T55" s="11">
        <f>'NDSP-Bull &amp; Non-NDSP SS,AI'!R86</f>
        <v>0</v>
      </c>
      <c r="U55" s="11">
        <f>'NDSP-Bull &amp; Non-NDSP SS,AI'!S86</f>
        <v>0</v>
      </c>
      <c r="V55" s="11">
        <f>'NDSP-Bull &amp; Non-NDSP SS,AI'!T86</f>
        <v>0</v>
      </c>
      <c r="W55" s="11">
        <f>'NDSP-Bull &amp; Non-NDSP SS,AI'!U86</f>
        <v>0</v>
      </c>
      <c r="X55" s="11">
        <f>'NDSP-Bull &amp; Non-NDSP SS,AI'!V86</f>
        <v>0</v>
      </c>
      <c r="Y55" s="11">
        <f>'NDSP-Bull &amp; Non-NDSP SS,AI'!W86</f>
        <v>0</v>
      </c>
      <c r="Z55" s="11">
        <f>'NDSP-Bull &amp; Non-NDSP SS,AI'!X86</f>
        <v>0</v>
      </c>
      <c r="AA55" s="11">
        <f>'NDSP-Bull &amp; Non-NDSP SS,AI'!Y86</f>
        <v>0</v>
      </c>
      <c r="AB55" s="11">
        <f>'NDSP-Bull &amp; Non-NDSP SS,AI'!Z86</f>
        <v>0</v>
      </c>
      <c r="AC55" s="11">
        <f>'NDSP-Bull &amp; Non-NDSP SS,AI'!AA86</f>
        <v>0</v>
      </c>
    </row>
    <row r="56" spans="2:29" hidden="1" x14ac:dyDescent="0.3">
      <c r="B56" s="203"/>
      <c r="C56" s="78"/>
      <c r="D56" s="26" t="s">
        <v>319</v>
      </c>
      <c r="E56" s="11">
        <f>'NDSP-Bull &amp; Non-NDSP SS,AI'!C115</f>
        <v>0</v>
      </c>
      <c r="F56" s="11">
        <f>'NDSP-Bull &amp; Non-NDSP SS,AI'!D115</f>
        <v>0</v>
      </c>
      <c r="G56" s="11">
        <f>'NDSP-Bull &amp; Non-NDSP SS,AI'!E115</f>
        <v>0</v>
      </c>
      <c r="H56" s="11">
        <f>'NDSP-Bull &amp; Non-NDSP SS,AI'!F115</f>
        <v>0</v>
      </c>
      <c r="I56" s="11">
        <f>'NDSP-Bull &amp; Non-NDSP SS,AI'!G115</f>
        <v>0</v>
      </c>
      <c r="J56" s="11">
        <f>'NDSP-Bull &amp; Non-NDSP SS,AI'!H115</f>
        <v>0</v>
      </c>
      <c r="K56" s="11">
        <f>'NDSP-Bull &amp; Non-NDSP SS,AI'!I115</f>
        <v>0</v>
      </c>
      <c r="L56" s="11">
        <f>'NDSP-Bull &amp; Non-NDSP SS,AI'!J115</f>
        <v>0</v>
      </c>
      <c r="M56" s="11">
        <f>'NDSP-Bull &amp; Non-NDSP SS,AI'!K115</f>
        <v>0</v>
      </c>
      <c r="N56" s="11">
        <f>'NDSP-Bull &amp; Non-NDSP SS,AI'!L115</f>
        <v>0</v>
      </c>
      <c r="O56" s="11">
        <f>'NDSP-Bull &amp; Non-NDSP SS,AI'!M115</f>
        <v>0</v>
      </c>
      <c r="P56" s="11">
        <f>'NDSP-Bull &amp; Non-NDSP SS,AI'!N115</f>
        <v>0</v>
      </c>
      <c r="Q56" s="11">
        <f>'NDSP-Bull &amp; Non-NDSP SS,AI'!O115</f>
        <v>0</v>
      </c>
      <c r="R56" s="11">
        <f>'NDSP-Bull &amp; Non-NDSP SS,AI'!P115</f>
        <v>0</v>
      </c>
      <c r="S56" s="11">
        <f>'NDSP-Bull &amp; Non-NDSP SS,AI'!Q115</f>
        <v>0</v>
      </c>
      <c r="T56" s="11">
        <f>'NDSP-Bull &amp; Non-NDSP SS,AI'!R115</f>
        <v>0</v>
      </c>
      <c r="U56" s="11">
        <f>'NDSP-Bull &amp; Non-NDSP SS,AI'!S115</f>
        <v>0</v>
      </c>
      <c r="V56" s="11">
        <f>'NDSP-Bull &amp; Non-NDSP SS,AI'!T115</f>
        <v>0</v>
      </c>
      <c r="W56" s="11">
        <f>'NDSP-Bull &amp; Non-NDSP SS,AI'!U115</f>
        <v>0</v>
      </c>
      <c r="X56" s="11">
        <f>'NDSP-Bull &amp; Non-NDSP SS,AI'!V115</f>
        <v>0</v>
      </c>
      <c r="Y56" s="11">
        <f>'NDSP-Bull &amp; Non-NDSP SS,AI'!W115</f>
        <v>0</v>
      </c>
      <c r="Z56" s="11">
        <f>'NDSP-Bull &amp; Non-NDSP SS,AI'!X115</f>
        <v>0</v>
      </c>
      <c r="AA56" s="11">
        <f>'NDSP-Bull &amp; Non-NDSP SS,AI'!Y115</f>
        <v>0</v>
      </c>
      <c r="AB56" s="11">
        <f>'NDSP-Bull &amp; Non-NDSP SS,AI'!Z115</f>
        <v>0</v>
      </c>
      <c r="AC56" s="11">
        <f>'NDSP-Bull &amp; Non-NDSP SS,AI'!AA115</f>
        <v>0</v>
      </c>
    </row>
    <row r="57" spans="2:29" x14ac:dyDescent="0.3">
      <c r="B57" s="203"/>
      <c r="C57" s="78"/>
      <c r="D57" s="26"/>
      <c r="E57" s="11"/>
      <c r="F57" s="11"/>
      <c r="G57" s="11"/>
      <c r="H57" s="11"/>
      <c r="I57" s="11"/>
      <c r="J57" s="11"/>
      <c r="K57" s="11"/>
      <c r="L57" s="11"/>
      <c r="M57" s="11"/>
      <c r="N57" s="11"/>
      <c r="O57" s="11"/>
      <c r="P57" s="11"/>
      <c r="Q57" s="11"/>
      <c r="R57" s="11"/>
      <c r="S57" s="11"/>
      <c r="T57" s="11"/>
      <c r="U57" s="11"/>
      <c r="V57" s="11"/>
      <c r="W57" s="11"/>
      <c r="X57" s="11"/>
      <c r="Y57" s="11"/>
      <c r="Z57" s="11"/>
      <c r="AA57" s="11"/>
      <c r="AB57" s="11"/>
      <c r="AC57" s="11"/>
    </row>
    <row r="58" spans="2:29" ht="18.75" customHeight="1" x14ac:dyDescent="0.3">
      <c r="B58" s="203" t="s">
        <v>315</v>
      </c>
      <c r="C58" s="78" t="s">
        <v>222</v>
      </c>
      <c r="D58" s="26" t="s">
        <v>31</v>
      </c>
      <c r="E58" s="11">
        <f>SUM(E59:E61)</f>
        <v>0</v>
      </c>
      <c r="F58" s="11">
        <f t="shared" ref="F58:AC58" si="3">SUM(F59:F61)</f>
        <v>260.61761557046736</v>
      </c>
      <c r="G58" s="11">
        <f t="shared" si="3"/>
        <v>354.67997872505998</v>
      </c>
      <c r="H58" s="11">
        <f t="shared" si="3"/>
        <v>401.21770182607241</v>
      </c>
      <c r="I58" s="11">
        <f t="shared" si="3"/>
        <v>363.8356115628722</v>
      </c>
      <c r="J58" s="11">
        <f t="shared" si="3"/>
        <v>277.11838978256077</v>
      </c>
      <c r="K58" s="11">
        <f t="shared" si="3"/>
        <v>202.43191880201417</v>
      </c>
      <c r="L58" s="11">
        <f t="shared" si="3"/>
        <v>198.61393490429174</v>
      </c>
      <c r="M58" s="11">
        <f t="shared" si="3"/>
        <v>198.61393490429174</v>
      </c>
      <c r="N58" s="11">
        <f t="shared" si="3"/>
        <v>198.61393490429174</v>
      </c>
      <c r="O58" s="11">
        <f t="shared" si="3"/>
        <v>198.61393490429174</v>
      </c>
      <c r="P58" s="11">
        <f t="shared" si="3"/>
        <v>198.61393490429174</v>
      </c>
      <c r="Q58" s="11">
        <f t="shared" si="3"/>
        <v>198.61393490429174</v>
      </c>
      <c r="R58" s="11">
        <f t="shared" si="3"/>
        <v>198.61393490429174</v>
      </c>
      <c r="S58" s="11">
        <f t="shared" si="3"/>
        <v>198.61393490429174</v>
      </c>
      <c r="T58" s="11">
        <f t="shared" si="3"/>
        <v>198.61393490429174</v>
      </c>
      <c r="U58" s="11">
        <f t="shared" si="3"/>
        <v>198.61393490429174</v>
      </c>
      <c r="V58" s="11">
        <f t="shared" si="3"/>
        <v>198.61393490429174</v>
      </c>
      <c r="W58" s="11">
        <f t="shared" si="3"/>
        <v>198.61393490429174</v>
      </c>
      <c r="X58" s="11">
        <f t="shared" si="3"/>
        <v>198.61393490429174</v>
      </c>
      <c r="Y58" s="11">
        <f t="shared" si="3"/>
        <v>198.61393490429174</v>
      </c>
      <c r="Z58" s="11">
        <f t="shared" si="3"/>
        <v>198.61393490429174</v>
      </c>
      <c r="AA58" s="11">
        <f t="shared" si="3"/>
        <v>198.61393490429174</v>
      </c>
      <c r="AB58" s="11">
        <f t="shared" si="3"/>
        <v>198.61393490429174</v>
      </c>
      <c r="AC58" s="11">
        <f t="shared" si="3"/>
        <v>198.61393490429174</v>
      </c>
    </row>
    <row r="59" spans="2:29" ht="18.75" customHeight="1" x14ac:dyDescent="0.3">
      <c r="B59" s="203"/>
      <c r="C59" s="78"/>
      <c r="D59" s="26" t="s">
        <v>321</v>
      </c>
      <c r="E59" s="11">
        <v>0</v>
      </c>
      <c r="F59" s="11">
        <v>21.694286513531399</v>
      </c>
      <c r="G59" s="11">
        <v>29.082839799227553</v>
      </c>
      <c r="H59" s="11">
        <v>32.821471356817696</v>
      </c>
      <c r="I59" s="11">
        <v>29.638272446686337</v>
      </c>
      <c r="J59" s="11">
        <v>22.486973382156133</v>
      </c>
      <c r="K59" s="11">
        <v>16.413134127499781</v>
      </c>
      <c r="L59" s="11">
        <v>16.214002100346544</v>
      </c>
      <c r="M59" s="11">
        <v>16.214002100346544</v>
      </c>
      <c r="N59" s="11">
        <v>16.214002100346544</v>
      </c>
      <c r="O59" s="11">
        <v>16.214002100346544</v>
      </c>
      <c r="P59" s="11">
        <v>16.214002100346544</v>
      </c>
      <c r="Q59" s="11">
        <v>16.214002100346544</v>
      </c>
      <c r="R59" s="11">
        <v>16.214002100346544</v>
      </c>
      <c r="S59" s="11">
        <v>16.214002100346544</v>
      </c>
      <c r="T59" s="11">
        <v>16.214002100346544</v>
      </c>
      <c r="U59" s="11">
        <v>16.214002100346544</v>
      </c>
      <c r="V59" s="11">
        <v>16.214002100346544</v>
      </c>
      <c r="W59" s="11">
        <v>16.214002100346544</v>
      </c>
      <c r="X59" s="11">
        <v>16.214002100346544</v>
      </c>
      <c r="Y59" s="11">
        <v>16.214002100346544</v>
      </c>
      <c r="Z59" s="11">
        <v>16.214002100346544</v>
      </c>
      <c r="AA59" s="11">
        <v>16.214002100346544</v>
      </c>
      <c r="AB59" s="11">
        <v>16.214002100346544</v>
      </c>
      <c r="AC59" s="11">
        <v>16.214002100346544</v>
      </c>
    </row>
    <row r="60" spans="2:29" ht="18.75" customHeight="1" x14ac:dyDescent="0.3">
      <c r="B60" s="203"/>
      <c r="C60" s="78"/>
      <c r="D60" s="26" t="s">
        <v>318</v>
      </c>
      <c r="E60" s="11">
        <v>0</v>
      </c>
      <c r="F60" s="11">
        <v>174.41251645768628</v>
      </c>
      <c r="G60" s="11">
        <v>233.81323335778796</v>
      </c>
      <c r="H60" s="11">
        <v>263.87018580287997</v>
      </c>
      <c r="I60" s="11">
        <v>238.27866741138624</v>
      </c>
      <c r="J60" s="11">
        <v>180.78537003982967</v>
      </c>
      <c r="K60" s="11">
        <v>131.95437537663381</v>
      </c>
      <c r="L60" s="11">
        <v>130.35344151133</v>
      </c>
      <c r="M60" s="11">
        <v>130.35344151133</v>
      </c>
      <c r="N60" s="11">
        <v>130.35344151133</v>
      </c>
      <c r="O60" s="11">
        <v>130.35344151133</v>
      </c>
      <c r="P60" s="11">
        <v>130.35344151133</v>
      </c>
      <c r="Q60" s="11">
        <v>130.35344151133</v>
      </c>
      <c r="R60" s="11">
        <v>130.35344151133</v>
      </c>
      <c r="S60" s="11">
        <v>130.35344151133</v>
      </c>
      <c r="T60" s="11">
        <v>130.35344151133</v>
      </c>
      <c r="U60" s="11">
        <v>130.35344151133</v>
      </c>
      <c r="V60" s="11">
        <v>130.35344151133</v>
      </c>
      <c r="W60" s="11">
        <v>130.35344151133</v>
      </c>
      <c r="X60" s="11">
        <v>130.35344151133</v>
      </c>
      <c r="Y60" s="11">
        <v>130.35344151133</v>
      </c>
      <c r="Z60" s="11">
        <v>130.35344151133</v>
      </c>
      <c r="AA60" s="11">
        <v>130.35344151133</v>
      </c>
      <c r="AB60" s="11">
        <v>130.35344151133</v>
      </c>
      <c r="AC60" s="11">
        <v>130.35344151133</v>
      </c>
    </row>
    <row r="61" spans="2:29" ht="18.75" customHeight="1" x14ac:dyDescent="0.3">
      <c r="B61" s="203"/>
      <c r="C61" s="78"/>
      <c r="D61" s="26" t="s">
        <v>319</v>
      </c>
      <c r="E61" s="11">
        <v>0</v>
      </c>
      <c r="F61" s="11">
        <v>64.510812599249661</v>
      </c>
      <c r="G61" s="11">
        <v>91.78390556804446</v>
      </c>
      <c r="H61" s="11">
        <v>104.52604466637473</v>
      </c>
      <c r="I61" s="11">
        <v>95.918671704799635</v>
      </c>
      <c r="J61" s="11">
        <v>73.84604636057496</v>
      </c>
      <c r="K61" s="11">
        <v>54.06440929788058</v>
      </c>
      <c r="L61" s="11">
        <v>52.046491292615194</v>
      </c>
      <c r="M61" s="11">
        <v>52.046491292615194</v>
      </c>
      <c r="N61" s="11">
        <v>52.046491292615194</v>
      </c>
      <c r="O61" s="11">
        <v>52.046491292615194</v>
      </c>
      <c r="P61" s="11">
        <v>52.046491292615194</v>
      </c>
      <c r="Q61" s="11">
        <v>52.046491292615194</v>
      </c>
      <c r="R61" s="11">
        <v>52.046491292615194</v>
      </c>
      <c r="S61" s="11">
        <v>52.046491292615194</v>
      </c>
      <c r="T61" s="11">
        <v>52.046491292615194</v>
      </c>
      <c r="U61" s="11">
        <v>52.046491292615194</v>
      </c>
      <c r="V61" s="11">
        <v>52.046491292615194</v>
      </c>
      <c r="W61" s="11">
        <v>52.046491292615194</v>
      </c>
      <c r="X61" s="11">
        <v>52.046491292615194</v>
      </c>
      <c r="Y61" s="11">
        <v>52.046491292615194</v>
      </c>
      <c r="Z61" s="11">
        <v>52.046491292615194</v>
      </c>
      <c r="AA61" s="11">
        <v>52.046491292615194</v>
      </c>
      <c r="AB61" s="11">
        <v>52.046491292615194</v>
      </c>
      <c r="AC61" s="11">
        <v>52.046491292615194</v>
      </c>
    </row>
    <row r="62" spans="2:29" x14ac:dyDescent="0.3">
      <c r="B62" s="199" t="s">
        <v>220</v>
      </c>
      <c r="C62" s="93" t="s">
        <v>222</v>
      </c>
      <c r="D62" s="93"/>
      <c r="E62" s="24">
        <f>E43+E48+E53+E58</f>
        <v>0</v>
      </c>
      <c r="F62" s="24">
        <f t="shared" ref="F62:AC62" si="4">F43+F48+F53+F58</f>
        <v>277.62569111013948</v>
      </c>
      <c r="G62" s="24">
        <f t="shared" si="4"/>
        <v>469.22246323120748</v>
      </c>
      <c r="H62" s="24">
        <f t="shared" si="4"/>
        <v>648.96833346171593</v>
      </c>
      <c r="I62" s="24">
        <f t="shared" si="4"/>
        <v>787.37498801011293</v>
      </c>
      <c r="J62" s="24">
        <f t="shared" si="4"/>
        <v>936.20930967313393</v>
      </c>
      <c r="K62" s="24">
        <f t="shared" si="4"/>
        <v>1069.06606317312</v>
      </c>
      <c r="L62" s="24">
        <f t="shared" si="4"/>
        <v>1074.6856122019824</v>
      </c>
      <c r="M62" s="24">
        <f t="shared" si="4"/>
        <v>1074.6856122019824</v>
      </c>
      <c r="N62" s="24">
        <f t="shared" si="4"/>
        <v>1074.6856122019824</v>
      </c>
      <c r="O62" s="24">
        <f t="shared" si="4"/>
        <v>1074.6856122019824</v>
      </c>
      <c r="P62" s="24">
        <f t="shared" si="4"/>
        <v>1074.6856122019824</v>
      </c>
      <c r="Q62" s="24">
        <f t="shared" si="4"/>
        <v>1074.6856122019824</v>
      </c>
      <c r="R62" s="24">
        <f t="shared" si="4"/>
        <v>1074.6856122019824</v>
      </c>
      <c r="S62" s="24">
        <f t="shared" si="4"/>
        <v>1074.6856122019824</v>
      </c>
      <c r="T62" s="24">
        <f t="shared" si="4"/>
        <v>1074.6856122019824</v>
      </c>
      <c r="U62" s="24">
        <f t="shared" si="4"/>
        <v>1074.6856122019824</v>
      </c>
      <c r="V62" s="24">
        <f t="shared" si="4"/>
        <v>1074.6856122019824</v>
      </c>
      <c r="W62" s="24">
        <f t="shared" si="4"/>
        <v>1074.6856122019824</v>
      </c>
      <c r="X62" s="24">
        <f t="shared" si="4"/>
        <v>1074.6856122019824</v>
      </c>
      <c r="Y62" s="24">
        <f t="shared" si="4"/>
        <v>1074.6856122019824</v>
      </c>
      <c r="Z62" s="24">
        <f t="shared" si="4"/>
        <v>1074.6856122019824</v>
      </c>
      <c r="AA62" s="24">
        <f t="shared" si="4"/>
        <v>1074.6856122019824</v>
      </c>
      <c r="AB62" s="24">
        <f t="shared" si="4"/>
        <v>1074.6856122019824</v>
      </c>
      <c r="AC62" s="24">
        <f t="shared" si="4"/>
        <v>1074.6856122019824</v>
      </c>
    </row>
    <row r="63" spans="2:29" x14ac:dyDescent="0.3">
      <c r="B63" s="204"/>
      <c r="C63" s="26"/>
      <c r="D63" s="26"/>
      <c r="E63" s="26"/>
      <c r="F63" s="26"/>
      <c r="G63" s="26"/>
      <c r="H63" s="26"/>
      <c r="I63" s="26"/>
      <c r="J63" s="26"/>
      <c r="K63" s="26"/>
      <c r="L63" s="26"/>
      <c r="M63" s="26"/>
      <c r="N63" s="26"/>
      <c r="O63" s="99"/>
      <c r="P63" s="191"/>
      <c r="Q63" s="26"/>
      <c r="R63" s="26"/>
      <c r="S63" s="26"/>
      <c r="T63" s="26"/>
      <c r="U63" s="26"/>
      <c r="V63" s="26"/>
      <c r="W63" s="26"/>
      <c r="X63" s="26"/>
      <c r="Y63" s="26"/>
      <c r="Z63" s="26"/>
      <c r="AA63" s="26"/>
      <c r="AB63" s="26"/>
      <c r="AC63" s="26"/>
    </row>
    <row r="64" spans="2:29" x14ac:dyDescent="0.3">
      <c r="B64" s="223" t="s">
        <v>219</v>
      </c>
      <c r="C64" s="26"/>
      <c r="D64" s="26"/>
      <c r="E64" s="26"/>
      <c r="F64" s="26"/>
      <c r="G64" s="26"/>
      <c r="H64" s="26"/>
      <c r="I64" s="26"/>
      <c r="J64" s="26"/>
      <c r="K64" s="26"/>
      <c r="L64" s="26"/>
      <c r="M64" s="26"/>
      <c r="N64" s="26"/>
      <c r="O64" s="99"/>
      <c r="P64" s="191"/>
      <c r="Q64" s="26"/>
      <c r="R64" s="26"/>
      <c r="S64" s="26"/>
      <c r="T64" s="26"/>
      <c r="U64" s="26"/>
      <c r="V64" s="26"/>
      <c r="W64" s="26"/>
      <c r="X64" s="26"/>
      <c r="Y64" s="26"/>
      <c r="Z64" s="26"/>
      <c r="AA64" s="26"/>
      <c r="AB64" s="26"/>
      <c r="AC64" s="26"/>
    </row>
    <row r="65" spans="2:29" x14ac:dyDescent="0.3">
      <c r="B65" s="224" t="s">
        <v>312</v>
      </c>
      <c r="C65" s="78" t="s">
        <v>222</v>
      </c>
      <c r="D65" s="26" t="s">
        <v>31</v>
      </c>
      <c r="E65" s="11">
        <f>SUM(E66:E69)</f>
        <v>0</v>
      </c>
      <c r="F65" s="11">
        <f t="shared" ref="F65:AC65" si="5">SUM(F66:F69)</f>
        <v>0</v>
      </c>
      <c r="G65" s="11">
        <f t="shared" si="5"/>
        <v>0</v>
      </c>
      <c r="H65" s="11">
        <f t="shared" si="5"/>
        <v>0</v>
      </c>
      <c r="I65" s="11">
        <f t="shared" si="5"/>
        <v>24.441460580022969</v>
      </c>
      <c r="J65" s="11">
        <f t="shared" si="5"/>
        <v>84.040326628459283</v>
      </c>
      <c r="K65" s="11">
        <f t="shared" si="5"/>
        <v>199.2854211037795</v>
      </c>
      <c r="L65" s="11">
        <f t="shared" si="5"/>
        <v>375.32312394609414</v>
      </c>
      <c r="M65" s="11">
        <f t="shared" si="5"/>
        <v>625.26956164422597</v>
      </c>
      <c r="N65" s="11">
        <f t="shared" si="5"/>
        <v>916.93044174226736</v>
      </c>
      <c r="O65" s="11">
        <f t="shared" si="5"/>
        <v>1192.8282008469218</v>
      </c>
      <c r="P65" s="11">
        <f t="shared" si="5"/>
        <v>1425.9811398527813</v>
      </c>
      <c r="Q65" s="11">
        <f t="shared" si="5"/>
        <v>1610.4480410779354</v>
      </c>
      <c r="R65" s="11">
        <f t="shared" si="5"/>
        <v>1733.1935459713729</v>
      </c>
      <c r="S65" s="11">
        <f t="shared" si="5"/>
        <v>1802.0939756723269</v>
      </c>
      <c r="T65" s="11">
        <f t="shared" si="5"/>
        <v>1864.0356760734408</v>
      </c>
      <c r="U65" s="11">
        <f t="shared" si="5"/>
        <v>1925.637501221488</v>
      </c>
      <c r="V65" s="11">
        <f t="shared" si="5"/>
        <v>1987.8215297817974</v>
      </c>
      <c r="W65" s="11">
        <f t="shared" si="5"/>
        <v>2050.6355104005079</v>
      </c>
      <c r="X65" s="11">
        <f t="shared" si="5"/>
        <v>2114.0857588217486</v>
      </c>
      <c r="Y65" s="11">
        <f t="shared" si="5"/>
        <v>2178.1786539795385</v>
      </c>
      <c r="Z65" s="11">
        <f t="shared" si="5"/>
        <v>2242.9206386297465</v>
      </c>
      <c r="AA65" s="11">
        <f t="shared" si="5"/>
        <v>2308.318219988379</v>
      </c>
      <c r="AB65" s="11">
        <f t="shared" si="5"/>
        <v>2374.3779703762448</v>
      </c>
      <c r="AC65" s="11">
        <f t="shared" si="5"/>
        <v>2441.1065278700662</v>
      </c>
    </row>
    <row r="66" spans="2:29" ht="30" x14ac:dyDescent="0.3">
      <c r="B66" s="204"/>
      <c r="C66" s="78"/>
      <c r="D66" s="36" t="s">
        <v>322</v>
      </c>
      <c r="E66" s="11">
        <v>0</v>
      </c>
      <c r="F66" s="11">
        <v>0</v>
      </c>
      <c r="G66" s="11">
        <v>0</v>
      </c>
      <c r="H66" s="11">
        <v>0</v>
      </c>
      <c r="I66" s="11">
        <v>0</v>
      </c>
      <c r="J66" s="11">
        <v>0.38529832505344463</v>
      </c>
      <c r="K66" s="11">
        <v>1.4588509213865757</v>
      </c>
      <c r="L66" s="11">
        <v>3.7996349319287361</v>
      </c>
      <c r="M66" s="11">
        <v>7.7252492965164716</v>
      </c>
      <c r="N66" s="11">
        <v>13.795015946927915</v>
      </c>
      <c r="O66" s="11">
        <v>21.617064827564256</v>
      </c>
      <c r="P66" s="11">
        <v>29.651501518918717</v>
      </c>
      <c r="Q66" s="11">
        <v>37.31615083968974</v>
      </c>
      <c r="R66" s="11">
        <v>44.303963193318559</v>
      </c>
      <c r="S66" s="11">
        <v>50.066312460003225</v>
      </c>
      <c r="T66" s="11">
        <v>54.620576372141343</v>
      </c>
      <c r="U66" s="11">
        <v>59.214610703103865</v>
      </c>
      <c r="V66" s="11">
        <v>63.862643209050525</v>
      </c>
      <c r="W66" s="11">
        <v>68.565267812854486</v>
      </c>
      <c r="X66" s="11">
        <v>73.323046659039917</v>
      </c>
      <c r="Y66" s="11">
        <v>78.136547546023323</v>
      </c>
      <c r="Z66" s="11">
        <v>83.00634398271734</v>
      </c>
      <c r="AA66" s="11">
        <v>87.933015245700744</v>
      </c>
      <c r="AB66" s="11">
        <v>92.917146436960294</v>
      </c>
      <c r="AC66" s="11">
        <v>97.959328542210073</v>
      </c>
    </row>
    <row r="67" spans="2:29" ht="30" x14ac:dyDescent="0.3">
      <c r="B67" s="204"/>
      <c r="C67" s="78"/>
      <c r="D67" s="36" t="s">
        <v>323</v>
      </c>
      <c r="E67" s="11">
        <v>0</v>
      </c>
      <c r="F67" s="11">
        <v>0</v>
      </c>
      <c r="G67" s="11">
        <v>0</v>
      </c>
      <c r="H67" s="11">
        <v>0</v>
      </c>
      <c r="I67" s="11">
        <v>21.3438316067176</v>
      </c>
      <c r="J67" s="11">
        <v>70.430882671988229</v>
      </c>
      <c r="K67" s="11">
        <v>161.36766699652898</v>
      </c>
      <c r="L67" s="11">
        <v>293.73800597863328</v>
      </c>
      <c r="M67" s="11">
        <v>474.27661959824951</v>
      </c>
      <c r="N67" s="11">
        <v>671.03750654446173</v>
      </c>
      <c r="O67" s="11">
        <v>840.44013891078646</v>
      </c>
      <c r="P67" s="11">
        <v>967.99403081338642</v>
      </c>
      <c r="Q67" s="11">
        <v>1054.1143680584228</v>
      </c>
      <c r="R67" s="11">
        <v>1092.0664306659471</v>
      </c>
      <c r="S67" s="11">
        <v>1092.452388340158</v>
      </c>
      <c r="T67" s="11">
        <v>1092.453381135703</v>
      </c>
      <c r="U67" s="11">
        <v>1092.453381135703</v>
      </c>
      <c r="V67" s="11">
        <v>1092.453381135703</v>
      </c>
      <c r="W67" s="11">
        <v>1092.453381135703</v>
      </c>
      <c r="X67" s="11">
        <v>1092.453381135703</v>
      </c>
      <c r="Y67" s="11">
        <v>1092.453381135703</v>
      </c>
      <c r="Z67" s="11">
        <v>1092.453381135703</v>
      </c>
      <c r="AA67" s="11">
        <v>1092.453381135703</v>
      </c>
      <c r="AB67" s="11">
        <v>1092.453381135703</v>
      </c>
      <c r="AC67" s="11">
        <v>1092.453381135703</v>
      </c>
    </row>
    <row r="68" spans="2:29" x14ac:dyDescent="0.3">
      <c r="B68" s="204"/>
      <c r="C68" s="78"/>
      <c r="D68" s="26" t="s">
        <v>320</v>
      </c>
      <c r="E68" s="11">
        <v>0</v>
      </c>
      <c r="F68" s="11">
        <v>0</v>
      </c>
      <c r="G68" s="11">
        <v>0</v>
      </c>
      <c r="H68" s="11">
        <v>0</v>
      </c>
      <c r="I68" s="11">
        <v>3.0976289733053699</v>
      </c>
      <c r="J68" s="11">
        <v>11.714303463534137</v>
      </c>
      <c r="K68" s="11">
        <v>30.474879549124342</v>
      </c>
      <c r="L68" s="11">
        <v>61.895487155878534</v>
      </c>
      <c r="M68" s="11">
        <v>110.41726586450589</v>
      </c>
      <c r="N68" s="11">
        <v>172.85124763815691</v>
      </c>
      <c r="O68" s="11">
        <v>236.8740684122605</v>
      </c>
      <c r="P68" s="11">
        <v>297.82159164774947</v>
      </c>
      <c r="Q68" s="11">
        <v>353.24807204598545</v>
      </c>
      <c r="R68" s="11">
        <v>398.78375991309855</v>
      </c>
      <c r="S68" s="11">
        <v>434.59209809834027</v>
      </c>
      <c r="T68" s="11">
        <v>470.64785894622833</v>
      </c>
      <c r="U68" s="11">
        <v>507.06387598919241</v>
      </c>
      <c r="V68" s="11">
        <v>543.84405320258588</v>
      </c>
      <c r="W68" s="11">
        <v>580.99203218811328</v>
      </c>
      <c r="X68" s="11">
        <v>618.51149096349593</v>
      </c>
      <c r="Y68" s="11">
        <v>656.40614432663244</v>
      </c>
      <c r="Z68" s="11">
        <v>694.67974422340035</v>
      </c>
      <c r="AA68" s="11">
        <v>733.33608011913611</v>
      </c>
      <c r="AB68" s="11">
        <v>772.378979373829</v>
      </c>
      <c r="AC68" s="11">
        <v>811.81230762106884</v>
      </c>
    </row>
    <row r="69" spans="2:29" x14ac:dyDescent="0.3">
      <c r="B69" s="204"/>
      <c r="C69" s="78"/>
      <c r="D69" s="26" t="s">
        <v>14</v>
      </c>
      <c r="E69" s="11">
        <v>0</v>
      </c>
      <c r="F69" s="11">
        <v>0</v>
      </c>
      <c r="G69" s="11">
        <v>0</v>
      </c>
      <c r="H69" s="11">
        <v>0</v>
      </c>
      <c r="I69" s="11">
        <v>0</v>
      </c>
      <c r="J69" s="11">
        <v>1.5098421678834828</v>
      </c>
      <c r="K69" s="11">
        <v>5.9840236367395763</v>
      </c>
      <c r="L69" s="11">
        <v>15.889995879653625</v>
      </c>
      <c r="M69" s="11">
        <v>32.850426884954068</v>
      </c>
      <c r="N69" s="11">
        <v>59.246671612720732</v>
      </c>
      <c r="O69" s="11">
        <v>93.896928696310653</v>
      </c>
      <c r="P69" s="11">
        <v>130.51401587272679</v>
      </c>
      <c r="Q69" s="11">
        <v>165.76945013383738</v>
      </c>
      <c r="R69" s="11">
        <v>198.03939219900866</v>
      </c>
      <c r="S69" s="11">
        <v>224.98317677382531</v>
      </c>
      <c r="T69" s="11">
        <v>246.31385961936792</v>
      </c>
      <c r="U69" s="11">
        <v>266.90563339348876</v>
      </c>
      <c r="V69" s="11">
        <v>287.66145223445812</v>
      </c>
      <c r="W69" s="11">
        <v>308.624829263837</v>
      </c>
      <c r="X69" s="11">
        <v>329.79784006350997</v>
      </c>
      <c r="Y69" s="11">
        <v>351.18258097117933</v>
      </c>
      <c r="Z69" s="11">
        <v>372.78116928792559</v>
      </c>
      <c r="AA69" s="11">
        <v>394.59574348783934</v>
      </c>
      <c r="AB69" s="11">
        <v>416.62846342975217</v>
      </c>
      <c r="AC69" s="11">
        <v>438.88151057108416</v>
      </c>
    </row>
    <row r="70" spans="2:29" x14ac:dyDescent="0.3">
      <c r="B70" s="204"/>
      <c r="C70" s="78"/>
      <c r="D70" s="26"/>
      <c r="E70" s="11"/>
      <c r="F70" s="11"/>
      <c r="G70" s="11"/>
      <c r="H70" s="11"/>
      <c r="I70" s="11"/>
      <c r="J70" s="11"/>
      <c r="K70" s="11"/>
      <c r="L70" s="11"/>
      <c r="M70" s="11"/>
      <c r="N70" s="11"/>
      <c r="O70" s="202"/>
      <c r="P70" s="192"/>
      <c r="Q70" s="11"/>
      <c r="R70" s="11"/>
      <c r="S70" s="11"/>
      <c r="T70" s="11"/>
      <c r="U70" s="11"/>
      <c r="V70" s="11"/>
      <c r="W70" s="11"/>
      <c r="X70" s="11"/>
      <c r="Y70" s="11"/>
      <c r="Z70" s="11"/>
      <c r="AA70" s="11"/>
      <c r="AB70" s="11"/>
      <c r="AC70" s="11"/>
    </row>
    <row r="71" spans="2:29" x14ac:dyDescent="0.3">
      <c r="B71" s="225" t="s">
        <v>313</v>
      </c>
      <c r="C71" s="78" t="s">
        <v>222</v>
      </c>
      <c r="D71" s="26" t="s">
        <v>31</v>
      </c>
      <c r="E71" s="11">
        <f>SUM(E72:E75)</f>
        <v>0</v>
      </c>
      <c r="F71" s="11">
        <f t="shared" ref="F71:AC71" si="6">SUM(F72:F75)</f>
        <v>0</v>
      </c>
      <c r="G71" s="11">
        <f t="shared" si="6"/>
        <v>0</v>
      </c>
      <c r="H71" s="11">
        <f t="shared" si="6"/>
        <v>0</v>
      </c>
      <c r="I71" s="11">
        <f t="shared" si="6"/>
        <v>18.086794929415927</v>
      </c>
      <c r="J71" s="11">
        <f t="shared" si="6"/>
        <v>332.20005154931607</v>
      </c>
      <c r="K71" s="11">
        <f t="shared" si="6"/>
        <v>1115.7534163520243</v>
      </c>
      <c r="L71" s="11">
        <f t="shared" si="6"/>
        <v>2613.6074247922929</v>
      </c>
      <c r="M71" s="11">
        <f t="shared" si="6"/>
        <v>5166.6430683392682</v>
      </c>
      <c r="N71" s="11">
        <f t="shared" si="6"/>
        <v>8813.9994621655387</v>
      </c>
      <c r="O71" s="11">
        <f t="shared" si="6"/>
        <v>12572.976612071083</v>
      </c>
      <c r="P71" s="11">
        <f t="shared" si="6"/>
        <v>16111.870692671078</v>
      </c>
      <c r="Q71" s="11">
        <f t="shared" si="6"/>
        <v>19162.454809611208</v>
      </c>
      <c r="R71" s="11">
        <f t="shared" si="6"/>
        <v>21384.663521260452</v>
      </c>
      <c r="S71" s="11">
        <f t="shared" si="6"/>
        <v>22723.538979814974</v>
      </c>
      <c r="T71" s="11">
        <f t="shared" si="6"/>
        <v>23886.132255634864</v>
      </c>
      <c r="U71" s="11">
        <f t="shared" si="6"/>
        <v>25033.047177962966</v>
      </c>
      <c r="V71" s="11">
        <f t="shared" si="6"/>
        <v>26189.986892552708</v>
      </c>
      <c r="W71" s="11">
        <f t="shared" si="6"/>
        <v>27358.496004288339</v>
      </c>
      <c r="X71" s="11">
        <f t="shared" si="6"/>
        <v>28538.690207141331</v>
      </c>
      <c r="Y71" s="11">
        <f t="shared" si="6"/>
        <v>29730.686352022847</v>
      </c>
      <c r="Z71" s="11">
        <f t="shared" si="6"/>
        <v>30934.602458353183</v>
      </c>
      <c r="AA71" s="11">
        <f t="shared" si="6"/>
        <v>32150.557725746825</v>
      </c>
      <c r="AB71" s="11">
        <f t="shared" si="6"/>
        <v>33378.672545814399</v>
      </c>
      <c r="AC71" s="11">
        <f t="shared" si="6"/>
        <v>34619.068514082654</v>
      </c>
    </row>
    <row r="72" spans="2:29" ht="30" x14ac:dyDescent="0.3">
      <c r="B72" s="204"/>
      <c r="C72" s="78"/>
      <c r="D72" s="36" t="s">
        <v>322</v>
      </c>
      <c r="E72" s="11">
        <v>0</v>
      </c>
      <c r="F72" s="11">
        <v>0</v>
      </c>
      <c r="G72" s="11">
        <v>0</v>
      </c>
      <c r="H72" s="11">
        <v>0</v>
      </c>
      <c r="I72" s="11">
        <v>0</v>
      </c>
      <c r="J72" s="11">
        <v>0.29947206673564991</v>
      </c>
      <c r="K72" s="11">
        <v>6.2211156871896955</v>
      </c>
      <c r="L72" s="11">
        <v>21.96486769145028</v>
      </c>
      <c r="M72" s="11">
        <v>54.115655547906293</v>
      </c>
      <c r="N72" s="11">
        <v>112.25361933014135</v>
      </c>
      <c r="O72" s="11">
        <v>198.72244593934212</v>
      </c>
      <c r="P72" s="11">
        <v>290.13992129475616</v>
      </c>
      <c r="Q72" s="11">
        <v>381.24652720195661</v>
      </c>
      <c r="R72" s="11">
        <v>465.53406737945357</v>
      </c>
      <c r="S72" s="11">
        <v>533.51828145488821</v>
      </c>
      <c r="T72" s="11">
        <v>582.65284895857565</v>
      </c>
      <c r="U72" s="11">
        <v>631.09509136750489</v>
      </c>
      <c r="V72" s="11">
        <v>680.00337499806653</v>
      </c>
      <c r="W72" s="11">
        <v>729.40074146493396</v>
      </c>
      <c r="X72" s="11">
        <v>779.29208159647021</v>
      </c>
      <c r="Y72" s="11">
        <v>829.6823351293217</v>
      </c>
      <c r="Z72" s="11">
        <v>880.57649119750181</v>
      </c>
      <c r="AA72" s="11">
        <v>931.97958882636362</v>
      </c>
      <c r="AB72" s="11">
        <v>983.89671743151405</v>
      </c>
      <c r="AC72" s="11">
        <v>1036.3330173227159</v>
      </c>
    </row>
    <row r="73" spans="2:29" ht="30" x14ac:dyDescent="0.3">
      <c r="B73" s="204"/>
      <c r="C73" s="78"/>
      <c r="D73" s="36" t="s">
        <v>323</v>
      </c>
      <c r="E73" s="11">
        <v>0</v>
      </c>
      <c r="F73" s="11">
        <v>0</v>
      </c>
      <c r="G73" s="11">
        <v>0</v>
      </c>
      <c r="H73" s="11">
        <v>0</v>
      </c>
      <c r="I73" s="11">
        <v>13.271547676590146</v>
      </c>
      <c r="J73" s="11">
        <v>230.22161900115771</v>
      </c>
      <c r="K73" s="11">
        <v>721.8035329542405</v>
      </c>
      <c r="L73" s="11">
        <v>1594.4389557772965</v>
      </c>
      <c r="M73" s="11">
        <v>2988.0990008354461</v>
      </c>
      <c r="N73" s="11">
        <v>4835.6657738992153</v>
      </c>
      <c r="O73" s="11">
        <v>6506.090122695904</v>
      </c>
      <c r="P73" s="11">
        <v>7902.2720266175857</v>
      </c>
      <c r="Q73" s="11">
        <v>8917.4004216692956</v>
      </c>
      <c r="R73" s="11">
        <v>9411.5041944859076</v>
      </c>
      <c r="S73" s="11">
        <v>9438.429691620313</v>
      </c>
      <c r="T73" s="11">
        <v>9438.819089373821</v>
      </c>
      <c r="U73" s="11">
        <v>9438.819089373821</v>
      </c>
      <c r="V73" s="11">
        <v>9438.819089373821</v>
      </c>
      <c r="W73" s="11">
        <v>9438.819089373821</v>
      </c>
      <c r="X73" s="11">
        <v>9438.819089373821</v>
      </c>
      <c r="Y73" s="11">
        <v>9438.819089373821</v>
      </c>
      <c r="Z73" s="11">
        <v>9438.819089373821</v>
      </c>
      <c r="AA73" s="11">
        <v>9438.819089373821</v>
      </c>
      <c r="AB73" s="11">
        <v>9438.819089373821</v>
      </c>
      <c r="AC73" s="11">
        <v>9438.819089373821</v>
      </c>
    </row>
    <row r="74" spans="2:29" x14ac:dyDescent="0.3">
      <c r="B74" s="204"/>
      <c r="C74" s="78"/>
      <c r="D74" s="26" t="s">
        <v>320</v>
      </c>
      <c r="E74" s="11">
        <v>0</v>
      </c>
      <c r="F74" s="11">
        <v>0</v>
      </c>
      <c r="G74" s="11">
        <v>0</v>
      </c>
      <c r="H74" s="11">
        <v>0</v>
      </c>
      <c r="I74" s="11">
        <v>4.8152472528257801</v>
      </c>
      <c r="J74" s="11">
        <v>100.03006473620289</v>
      </c>
      <c r="K74" s="11">
        <v>353.17574010433424</v>
      </c>
      <c r="L74" s="11">
        <v>870.13211132623474</v>
      </c>
      <c r="M74" s="11">
        <v>1804.9393988266372</v>
      </c>
      <c r="N74" s="11">
        <v>3195.2820251810349</v>
      </c>
      <c r="O74" s="11">
        <v>4665.1945678222792</v>
      </c>
      <c r="P74" s="11">
        <v>6130.1086033479351</v>
      </c>
      <c r="Q74" s="11">
        <v>7485.3780637393838</v>
      </c>
      <c r="R74" s="11">
        <v>8578.5043897790893</v>
      </c>
      <c r="S74" s="11">
        <v>9368.5449894579997</v>
      </c>
      <c r="T74" s="11">
        <v>10147.453610963003</v>
      </c>
      <c r="U74" s="11">
        <v>10933.85576512576</v>
      </c>
      <c r="V74" s="11">
        <v>11728.121940830144</v>
      </c>
      <c r="W74" s="11">
        <v>12530.330778291569</v>
      </c>
      <c r="X74" s="11">
        <v>13340.561704127609</v>
      </c>
      <c r="Y74" s="11">
        <v>14158.894939222009</v>
      </c>
      <c r="Z74" s="11">
        <v>14985.411506667353</v>
      </c>
      <c r="AA74" s="11">
        <v>15820.193239787153</v>
      </c>
      <c r="AB74" s="11">
        <v>16663.322790238148</v>
      </c>
      <c r="AC74" s="11">
        <v>17514.883636193656</v>
      </c>
    </row>
    <row r="75" spans="2:29" x14ac:dyDescent="0.3">
      <c r="B75" s="204"/>
      <c r="C75" s="78"/>
      <c r="D75" s="26" t="s">
        <v>14</v>
      </c>
      <c r="E75" s="11">
        <v>0</v>
      </c>
      <c r="F75" s="11">
        <v>0</v>
      </c>
      <c r="G75" s="11">
        <v>0</v>
      </c>
      <c r="H75" s="11">
        <v>0</v>
      </c>
      <c r="I75" s="11">
        <v>0</v>
      </c>
      <c r="J75" s="11">
        <v>1.6488957452198014</v>
      </c>
      <c r="K75" s="11">
        <v>34.553027606259818</v>
      </c>
      <c r="L75" s="11">
        <v>127.07148999731122</v>
      </c>
      <c r="M75" s="11">
        <v>319.48901312927876</v>
      </c>
      <c r="N75" s="11">
        <v>670.79804375514652</v>
      </c>
      <c r="O75" s="11">
        <v>1202.9694756135582</v>
      </c>
      <c r="P75" s="11">
        <v>1789.3501414108009</v>
      </c>
      <c r="Q75" s="11">
        <v>2378.4297970005723</v>
      </c>
      <c r="R75" s="11">
        <v>2929.1208696160038</v>
      </c>
      <c r="S75" s="11">
        <v>3383.0460172817734</v>
      </c>
      <c r="T75" s="11">
        <v>3717.2067063394629</v>
      </c>
      <c r="U75" s="11">
        <v>4029.2772320958825</v>
      </c>
      <c r="V75" s="11">
        <v>4343.0424873506745</v>
      </c>
      <c r="W75" s="11">
        <v>4659.9453951580153</v>
      </c>
      <c r="X75" s="11">
        <v>4980.0173320434296</v>
      </c>
      <c r="Y75" s="11">
        <v>5303.2899882976972</v>
      </c>
      <c r="Z75" s="11">
        <v>5629.7953711145083</v>
      </c>
      <c r="AA75" s="11">
        <v>5959.5658077594871</v>
      </c>
      <c r="AB75" s="11">
        <v>6292.6339487709165</v>
      </c>
      <c r="AC75" s="11">
        <v>6629.0327711924592</v>
      </c>
    </row>
    <row r="76" spans="2:29" x14ac:dyDescent="0.3">
      <c r="B76" s="204"/>
      <c r="C76" s="78"/>
      <c r="D76" s="26"/>
      <c r="E76" s="11"/>
      <c r="F76" s="11"/>
      <c r="G76" s="11"/>
      <c r="H76" s="11"/>
      <c r="I76" s="11"/>
      <c r="J76" s="11"/>
      <c r="K76" s="11"/>
      <c r="L76" s="11"/>
      <c r="M76" s="11"/>
      <c r="N76" s="11"/>
      <c r="O76" s="202"/>
      <c r="P76" s="192"/>
      <c r="Q76" s="11"/>
      <c r="R76" s="11"/>
      <c r="S76" s="11"/>
      <c r="T76" s="11"/>
      <c r="U76" s="11"/>
      <c r="V76" s="11"/>
      <c r="W76" s="11"/>
      <c r="X76" s="11"/>
      <c r="Y76" s="11"/>
      <c r="Z76" s="11"/>
      <c r="AA76" s="11"/>
      <c r="AB76" s="11"/>
      <c r="AC76" s="11"/>
    </row>
    <row r="77" spans="2:29" ht="30" hidden="1" x14ac:dyDescent="0.3">
      <c r="B77" s="203" t="s">
        <v>314</v>
      </c>
      <c r="C77" s="78" t="s">
        <v>222</v>
      </c>
      <c r="D77" s="26" t="s">
        <v>31</v>
      </c>
      <c r="E77" s="11">
        <f>SUM(E78:E81)</f>
        <v>0</v>
      </c>
      <c r="F77" s="11">
        <f t="shared" ref="F77:AC77" si="7">SUM(F78:F81)</f>
        <v>0</v>
      </c>
      <c r="G77" s="11">
        <f t="shared" si="7"/>
        <v>0</v>
      </c>
      <c r="H77" s="11">
        <f t="shared" si="7"/>
        <v>0</v>
      </c>
      <c r="I77" s="11">
        <f t="shared" si="7"/>
        <v>0</v>
      </c>
      <c r="J77" s="11">
        <f t="shared" si="7"/>
        <v>0</v>
      </c>
      <c r="K77" s="11">
        <f t="shared" si="7"/>
        <v>0</v>
      </c>
      <c r="L77" s="11">
        <f t="shared" si="7"/>
        <v>0</v>
      </c>
      <c r="M77" s="11">
        <f t="shared" si="7"/>
        <v>0</v>
      </c>
      <c r="N77" s="11">
        <f t="shared" si="7"/>
        <v>0</v>
      </c>
      <c r="O77" s="11">
        <f t="shared" si="7"/>
        <v>0</v>
      </c>
      <c r="P77" s="11">
        <f t="shared" si="7"/>
        <v>0</v>
      </c>
      <c r="Q77" s="11">
        <f t="shared" si="7"/>
        <v>0</v>
      </c>
      <c r="R77" s="11">
        <f t="shared" si="7"/>
        <v>0</v>
      </c>
      <c r="S77" s="11">
        <f t="shared" si="7"/>
        <v>0</v>
      </c>
      <c r="T77" s="11">
        <f t="shared" si="7"/>
        <v>0</v>
      </c>
      <c r="U77" s="11">
        <f t="shared" si="7"/>
        <v>0</v>
      </c>
      <c r="V77" s="11">
        <f t="shared" si="7"/>
        <v>0</v>
      </c>
      <c r="W77" s="11">
        <f t="shared" si="7"/>
        <v>0</v>
      </c>
      <c r="X77" s="11">
        <f t="shared" si="7"/>
        <v>0</v>
      </c>
      <c r="Y77" s="11">
        <f t="shared" si="7"/>
        <v>0</v>
      </c>
      <c r="Z77" s="11">
        <f t="shared" si="7"/>
        <v>0</v>
      </c>
      <c r="AA77" s="11">
        <f t="shared" si="7"/>
        <v>0</v>
      </c>
      <c r="AB77" s="11">
        <f t="shared" si="7"/>
        <v>0</v>
      </c>
      <c r="AC77" s="11">
        <f t="shared" si="7"/>
        <v>0</v>
      </c>
    </row>
    <row r="78" spans="2:29" ht="30" hidden="1" x14ac:dyDescent="0.3">
      <c r="B78" s="203"/>
      <c r="C78" s="78"/>
      <c r="D78" s="36" t="s">
        <v>322</v>
      </c>
      <c r="E78" s="11">
        <f>'NDSP-Bull &amp; Non-NDSP SS,AI'!C57</f>
        <v>0</v>
      </c>
      <c r="F78" s="11">
        <f>'NDSP-Bull &amp; Non-NDSP SS,AI'!D57</f>
        <v>0</v>
      </c>
      <c r="G78" s="11">
        <f>'NDSP-Bull &amp; Non-NDSP SS,AI'!E57</f>
        <v>0</v>
      </c>
      <c r="H78" s="11">
        <f>'NDSP-Bull &amp; Non-NDSP SS,AI'!F57</f>
        <v>0</v>
      </c>
      <c r="I78" s="11">
        <f>'NDSP-Bull &amp; Non-NDSP SS,AI'!G57</f>
        <v>0</v>
      </c>
      <c r="J78" s="11">
        <f>'NDSP-Bull &amp; Non-NDSP SS,AI'!H57</f>
        <v>0</v>
      </c>
      <c r="K78" s="11">
        <f>'NDSP-Bull &amp; Non-NDSP SS,AI'!I57</f>
        <v>0</v>
      </c>
      <c r="L78" s="11">
        <f>'NDSP-Bull &amp; Non-NDSP SS,AI'!J57</f>
        <v>0</v>
      </c>
      <c r="M78" s="11">
        <f>'NDSP-Bull &amp; Non-NDSP SS,AI'!K57</f>
        <v>0</v>
      </c>
      <c r="N78" s="11">
        <f>'NDSP-Bull &amp; Non-NDSP SS,AI'!L57</f>
        <v>0</v>
      </c>
      <c r="O78" s="11">
        <f>'NDSP-Bull &amp; Non-NDSP SS,AI'!M57</f>
        <v>0</v>
      </c>
      <c r="P78" s="11">
        <f>'NDSP-Bull &amp; Non-NDSP SS,AI'!N57</f>
        <v>0</v>
      </c>
      <c r="Q78" s="11">
        <f>'NDSP-Bull &amp; Non-NDSP SS,AI'!O57</f>
        <v>0</v>
      </c>
      <c r="R78" s="11">
        <f>'NDSP-Bull &amp; Non-NDSP SS,AI'!P57</f>
        <v>0</v>
      </c>
      <c r="S78" s="11">
        <f>'NDSP-Bull &amp; Non-NDSP SS,AI'!Q57</f>
        <v>0</v>
      </c>
      <c r="T78" s="11">
        <f>'NDSP-Bull &amp; Non-NDSP SS,AI'!R57</f>
        <v>0</v>
      </c>
      <c r="U78" s="11">
        <f>'NDSP-Bull &amp; Non-NDSP SS,AI'!S57</f>
        <v>0</v>
      </c>
      <c r="V78" s="11">
        <f>'NDSP-Bull &amp; Non-NDSP SS,AI'!T57</f>
        <v>0</v>
      </c>
      <c r="W78" s="11">
        <f>'NDSP-Bull &amp; Non-NDSP SS,AI'!U57</f>
        <v>0</v>
      </c>
      <c r="X78" s="11">
        <f>'NDSP-Bull &amp; Non-NDSP SS,AI'!V57</f>
        <v>0</v>
      </c>
      <c r="Y78" s="11">
        <f>'NDSP-Bull &amp; Non-NDSP SS,AI'!W57</f>
        <v>0</v>
      </c>
      <c r="Z78" s="11">
        <f>'NDSP-Bull &amp; Non-NDSP SS,AI'!X57</f>
        <v>0</v>
      </c>
      <c r="AA78" s="11">
        <f>'NDSP-Bull &amp; Non-NDSP SS,AI'!Y57</f>
        <v>0</v>
      </c>
      <c r="AB78" s="11">
        <f>'NDSP-Bull &amp; Non-NDSP SS,AI'!Z57</f>
        <v>0</v>
      </c>
      <c r="AC78" s="11">
        <f>'NDSP-Bull &amp; Non-NDSP SS,AI'!AA57</f>
        <v>0</v>
      </c>
    </row>
    <row r="79" spans="2:29" ht="30" hidden="1" x14ac:dyDescent="0.3">
      <c r="B79" s="203"/>
      <c r="C79" s="78"/>
      <c r="D79" s="36" t="s">
        <v>323</v>
      </c>
      <c r="E79" s="11">
        <f>'NDSP-Bull &amp; Non-NDSP SS,AI'!C71</f>
        <v>0</v>
      </c>
      <c r="F79" s="11">
        <f>'NDSP-Bull &amp; Non-NDSP SS,AI'!D71</f>
        <v>0</v>
      </c>
      <c r="G79" s="11">
        <f>'NDSP-Bull &amp; Non-NDSP SS,AI'!E71</f>
        <v>0</v>
      </c>
      <c r="H79" s="11">
        <f>'NDSP-Bull &amp; Non-NDSP SS,AI'!F71</f>
        <v>0</v>
      </c>
      <c r="I79" s="11">
        <f>'NDSP-Bull &amp; Non-NDSP SS,AI'!G71</f>
        <v>0</v>
      </c>
      <c r="J79" s="11">
        <f>'NDSP-Bull &amp; Non-NDSP SS,AI'!H71</f>
        <v>0</v>
      </c>
      <c r="K79" s="11">
        <f>'NDSP-Bull &amp; Non-NDSP SS,AI'!I71</f>
        <v>0</v>
      </c>
      <c r="L79" s="11">
        <f>'NDSP-Bull &amp; Non-NDSP SS,AI'!J71</f>
        <v>0</v>
      </c>
      <c r="M79" s="11">
        <f>'NDSP-Bull &amp; Non-NDSP SS,AI'!K71</f>
        <v>0</v>
      </c>
      <c r="N79" s="11">
        <f>'NDSP-Bull &amp; Non-NDSP SS,AI'!L71</f>
        <v>0</v>
      </c>
      <c r="O79" s="11">
        <f>'NDSP-Bull &amp; Non-NDSP SS,AI'!M71</f>
        <v>0</v>
      </c>
      <c r="P79" s="11">
        <f>'NDSP-Bull &amp; Non-NDSP SS,AI'!N71</f>
        <v>0</v>
      </c>
      <c r="Q79" s="11">
        <f>'NDSP-Bull &amp; Non-NDSP SS,AI'!O71</f>
        <v>0</v>
      </c>
      <c r="R79" s="11">
        <f>'NDSP-Bull &amp; Non-NDSP SS,AI'!P71</f>
        <v>0</v>
      </c>
      <c r="S79" s="11">
        <f>'NDSP-Bull &amp; Non-NDSP SS,AI'!Q71</f>
        <v>0</v>
      </c>
      <c r="T79" s="11">
        <f>'NDSP-Bull &amp; Non-NDSP SS,AI'!R71</f>
        <v>0</v>
      </c>
      <c r="U79" s="11">
        <f>'NDSP-Bull &amp; Non-NDSP SS,AI'!S71</f>
        <v>0</v>
      </c>
      <c r="V79" s="11">
        <f>'NDSP-Bull &amp; Non-NDSP SS,AI'!T71</f>
        <v>0</v>
      </c>
      <c r="W79" s="11">
        <f>'NDSP-Bull &amp; Non-NDSP SS,AI'!U71</f>
        <v>0</v>
      </c>
      <c r="X79" s="11">
        <f>'NDSP-Bull &amp; Non-NDSP SS,AI'!V71</f>
        <v>0</v>
      </c>
      <c r="Y79" s="11">
        <f>'NDSP-Bull &amp; Non-NDSP SS,AI'!W71</f>
        <v>0</v>
      </c>
      <c r="Z79" s="11">
        <f>'NDSP-Bull &amp; Non-NDSP SS,AI'!X71</f>
        <v>0</v>
      </c>
      <c r="AA79" s="11">
        <f>'NDSP-Bull &amp; Non-NDSP SS,AI'!Y71</f>
        <v>0</v>
      </c>
      <c r="AB79" s="11">
        <f>'NDSP-Bull &amp; Non-NDSP SS,AI'!Z71</f>
        <v>0</v>
      </c>
      <c r="AC79" s="11">
        <f>'NDSP-Bull &amp; Non-NDSP SS,AI'!AA71</f>
        <v>0</v>
      </c>
    </row>
    <row r="80" spans="2:29" hidden="1" x14ac:dyDescent="0.3">
      <c r="B80" s="203"/>
      <c r="C80" s="78"/>
      <c r="D80" s="26" t="s">
        <v>320</v>
      </c>
      <c r="E80" s="11">
        <f>'NDSP-Bull &amp; Non-NDSP SS,AI'!C102</f>
        <v>0</v>
      </c>
      <c r="F80" s="11">
        <f>'NDSP-Bull &amp; Non-NDSP SS,AI'!D102</f>
        <v>0</v>
      </c>
      <c r="G80" s="11">
        <f>'NDSP-Bull &amp; Non-NDSP SS,AI'!E102</f>
        <v>0</v>
      </c>
      <c r="H80" s="11">
        <f>'NDSP-Bull &amp; Non-NDSP SS,AI'!F102</f>
        <v>0</v>
      </c>
      <c r="I80" s="11">
        <f>'NDSP-Bull &amp; Non-NDSP SS,AI'!G102</f>
        <v>0</v>
      </c>
      <c r="J80" s="11">
        <f>'NDSP-Bull &amp; Non-NDSP SS,AI'!H102</f>
        <v>0</v>
      </c>
      <c r="K80" s="11">
        <f>'NDSP-Bull &amp; Non-NDSP SS,AI'!I102</f>
        <v>0</v>
      </c>
      <c r="L80" s="11">
        <f>'NDSP-Bull &amp; Non-NDSP SS,AI'!J102</f>
        <v>0</v>
      </c>
      <c r="M80" s="11">
        <f>'NDSP-Bull &amp; Non-NDSP SS,AI'!K102</f>
        <v>0</v>
      </c>
      <c r="N80" s="11">
        <f>'NDSP-Bull &amp; Non-NDSP SS,AI'!L102</f>
        <v>0</v>
      </c>
      <c r="O80" s="11">
        <f>'NDSP-Bull &amp; Non-NDSP SS,AI'!M102</f>
        <v>0</v>
      </c>
      <c r="P80" s="11">
        <f>'NDSP-Bull &amp; Non-NDSP SS,AI'!N102</f>
        <v>0</v>
      </c>
      <c r="Q80" s="11">
        <f>'NDSP-Bull &amp; Non-NDSP SS,AI'!O102</f>
        <v>0</v>
      </c>
      <c r="R80" s="11">
        <f>'NDSP-Bull &amp; Non-NDSP SS,AI'!P102</f>
        <v>0</v>
      </c>
      <c r="S80" s="11">
        <f>'NDSP-Bull &amp; Non-NDSP SS,AI'!Q102</f>
        <v>0</v>
      </c>
      <c r="T80" s="11">
        <f>'NDSP-Bull &amp; Non-NDSP SS,AI'!R102</f>
        <v>0</v>
      </c>
      <c r="U80" s="11">
        <f>'NDSP-Bull &amp; Non-NDSP SS,AI'!S102</f>
        <v>0</v>
      </c>
      <c r="V80" s="11">
        <f>'NDSP-Bull &amp; Non-NDSP SS,AI'!T102</f>
        <v>0</v>
      </c>
      <c r="W80" s="11">
        <f>'NDSP-Bull &amp; Non-NDSP SS,AI'!U102</f>
        <v>0</v>
      </c>
      <c r="X80" s="11">
        <f>'NDSP-Bull &amp; Non-NDSP SS,AI'!V102</f>
        <v>0</v>
      </c>
      <c r="Y80" s="11">
        <f>'NDSP-Bull &amp; Non-NDSP SS,AI'!W102</f>
        <v>0</v>
      </c>
      <c r="Z80" s="11">
        <f>'NDSP-Bull &amp; Non-NDSP SS,AI'!X102</f>
        <v>0</v>
      </c>
      <c r="AA80" s="11">
        <f>'NDSP-Bull &amp; Non-NDSP SS,AI'!Y102</f>
        <v>0</v>
      </c>
      <c r="AB80" s="11">
        <f>'NDSP-Bull &amp; Non-NDSP SS,AI'!Z102</f>
        <v>0</v>
      </c>
      <c r="AC80" s="11">
        <f>'NDSP-Bull &amp; Non-NDSP SS,AI'!AA102</f>
        <v>0</v>
      </c>
    </row>
    <row r="81" spans="2:29" hidden="1" x14ac:dyDescent="0.3">
      <c r="B81" s="203"/>
      <c r="C81" s="78"/>
      <c r="D81" s="26" t="s">
        <v>14</v>
      </c>
      <c r="E81" s="11">
        <f>'NDSP-Bull &amp; Non-NDSP SS,AI'!C132</f>
        <v>0</v>
      </c>
      <c r="F81" s="11">
        <f>'NDSP-Bull &amp; Non-NDSP SS,AI'!D132</f>
        <v>0</v>
      </c>
      <c r="G81" s="11">
        <f>'NDSP-Bull &amp; Non-NDSP SS,AI'!E132</f>
        <v>0</v>
      </c>
      <c r="H81" s="11">
        <f>'NDSP-Bull &amp; Non-NDSP SS,AI'!F132</f>
        <v>0</v>
      </c>
      <c r="I81" s="11">
        <f>'NDSP-Bull &amp; Non-NDSP SS,AI'!G132</f>
        <v>0</v>
      </c>
      <c r="J81" s="11">
        <f>'NDSP-Bull &amp; Non-NDSP SS,AI'!H132</f>
        <v>0</v>
      </c>
      <c r="K81" s="11">
        <f>'NDSP-Bull &amp; Non-NDSP SS,AI'!I132</f>
        <v>0</v>
      </c>
      <c r="L81" s="11">
        <f>'NDSP-Bull &amp; Non-NDSP SS,AI'!J132</f>
        <v>0</v>
      </c>
      <c r="M81" s="11">
        <f>'NDSP-Bull &amp; Non-NDSP SS,AI'!K132</f>
        <v>0</v>
      </c>
      <c r="N81" s="11">
        <f>'NDSP-Bull &amp; Non-NDSP SS,AI'!L132</f>
        <v>0</v>
      </c>
      <c r="O81" s="11">
        <f>'NDSP-Bull &amp; Non-NDSP SS,AI'!M132</f>
        <v>0</v>
      </c>
      <c r="P81" s="11">
        <f>'NDSP-Bull &amp; Non-NDSP SS,AI'!N132</f>
        <v>0</v>
      </c>
      <c r="Q81" s="11">
        <f>'NDSP-Bull &amp; Non-NDSP SS,AI'!O132</f>
        <v>0</v>
      </c>
      <c r="R81" s="11">
        <f>'NDSP-Bull &amp; Non-NDSP SS,AI'!P132</f>
        <v>0</v>
      </c>
      <c r="S81" s="11">
        <f>'NDSP-Bull &amp; Non-NDSP SS,AI'!Q132</f>
        <v>0</v>
      </c>
      <c r="T81" s="11">
        <f>'NDSP-Bull &amp; Non-NDSP SS,AI'!R132</f>
        <v>0</v>
      </c>
      <c r="U81" s="11">
        <f>'NDSP-Bull &amp; Non-NDSP SS,AI'!S132</f>
        <v>0</v>
      </c>
      <c r="V81" s="11">
        <f>'NDSP-Bull &amp; Non-NDSP SS,AI'!T132</f>
        <v>0</v>
      </c>
      <c r="W81" s="11">
        <f>'NDSP-Bull &amp; Non-NDSP SS,AI'!U132</f>
        <v>0</v>
      </c>
      <c r="X81" s="11">
        <f>'NDSP-Bull &amp; Non-NDSP SS,AI'!V132</f>
        <v>0</v>
      </c>
      <c r="Y81" s="11">
        <f>'NDSP-Bull &amp; Non-NDSP SS,AI'!W132</f>
        <v>0</v>
      </c>
      <c r="Z81" s="11">
        <f>'NDSP-Bull &amp; Non-NDSP SS,AI'!X132</f>
        <v>0</v>
      </c>
      <c r="AA81" s="11">
        <f>'NDSP-Bull &amp; Non-NDSP SS,AI'!Y132</f>
        <v>0</v>
      </c>
      <c r="AB81" s="11">
        <f>'NDSP-Bull &amp; Non-NDSP SS,AI'!Z132</f>
        <v>0</v>
      </c>
      <c r="AC81" s="11">
        <f>'NDSP-Bull &amp; Non-NDSP SS,AI'!AA132</f>
        <v>0</v>
      </c>
    </row>
    <row r="82" spans="2:29" x14ac:dyDescent="0.3">
      <c r="B82" s="203"/>
      <c r="C82" s="78"/>
      <c r="D82" s="26"/>
      <c r="E82" s="11"/>
      <c r="F82" s="11"/>
      <c r="G82" s="11"/>
      <c r="H82" s="11"/>
      <c r="I82" s="11"/>
      <c r="J82" s="11"/>
      <c r="K82" s="11"/>
      <c r="L82" s="11"/>
      <c r="M82" s="11"/>
      <c r="N82" s="11"/>
      <c r="O82" s="202"/>
      <c r="P82" s="192"/>
      <c r="Q82" s="11"/>
      <c r="R82" s="11"/>
      <c r="S82" s="11"/>
      <c r="T82" s="11"/>
      <c r="U82" s="11"/>
      <c r="V82" s="11"/>
      <c r="W82" s="11"/>
      <c r="X82" s="11"/>
      <c r="Y82" s="11"/>
      <c r="Z82" s="11"/>
      <c r="AA82" s="11"/>
      <c r="AB82" s="11"/>
      <c r="AC82" s="11"/>
    </row>
    <row r="83" spans="2:29" ht="30" x14ac:dyDescent="0.3">
      <c r="B83" s="203" t="s">
        <v>315</v>
      </c>
      <c r="C83" s="78" t="s">
        <v>222</v>
      </c>
      <c r="D83" s="26" t="s">
        <v>31</v>
      </c>
      <c r="E83" s="11">
        <v>0</v>
      </c>
      <c r="F83" s="11">
        <v>0</v>
      </c>
      <c r="G83" s="11">
        <v>0</v>
      </c>
      <c r="H83" s="11">
        <v>0</v>
      </c>
      <c r="I83" s="11">
        <v>0</v>
      </c>
      <c r="J83" s="11">
        <v>0</v>
      </c>
      <c r="K83" s="11">
        <v>0</v>
      </c>
      <c r="L83" s="11">
        <v>0</v>
      </c>
      <c r="M83" s="11">
        <v>0</v>
      </c>
      <c r="N83" s="11">
        <v>0</v>
      </c>
      <c r="O83" s="12">
        <v>0</v>
      </c>
      <c r="P83" s="192">
        <v>0</v>
      </c>
      <c r="Q83" s="11">
        <v>0</v>
      </c>
      <c r="R83" s="11">
        <v>0</v>
      </c>
      <c r="S83" s="11">
        <v>0</v>
      </c>
      <c r="T83" s="11">
        <v>0</v>
      </c>
      <c r="U83" s="11">
        <v>0</v>
      </c>
      <c r="V83" s="11">
        <v>0</v>
      </c>
      <c r="W83" s="11">
        <v>0</v>
      </c>
      <c r="X83" s="11">
        <v>0</v>
      </c>
      <c r="Y83" s="11">
        <v>0</v>
      </c>
      <c r="Z83" s="11">
        <v>0</v>
      </c>
      <c r="AA83" s="11">
        <v>0</v>
      </c>
      <c r="AB83" s="11">
        <v>0</v>
      </c>
      <c r="AC83" s="11">
        <v>0</v>
      </c>
    </row>
    <row r="84" spans="2:29" ht="30" x14ac:dyDescent="0.3">
      <c r="B84" s="203"/>
      <c r="C84" s="78"/>
      <c r="D84" s="36" t="s">
        <v>322</v>
      </c>
      <c r="E84" s="11">
        <v>0</v>
      </c>
      <c r="F84" s="11">
        <v>0</v>
      </c>
      <c r="G84" s="11">
        <v>0</v>
      </c>
      <c r="H84" s="11">
        <v>0</v>
      </c>
      <c r="I84" s="11">
        <v>0</v>
      </c>
      <c r="J84" s="11">
        <v>0</v>
      </c>
      <c r="K84" s="11">
        <v>0</v>
      </c>
      <c r="L84" s="11">
        <v>0</v>
      </c>
      <c r="M84" s="11">
        <v>0</v>
      </c>
      <c r="N84" s="11">
        <v>0</v>
      </c>
      <c r="O84" s="11">
        <v>0</v>
      </c>
      <c r="P84" s="11">
        <v>0</v>
      </c>
      <c r="Q84" s="11">
        <v>0</v>
      </c>
      <c r="R84" s="11">
        <v>0</v>
      </c>
      <c r="S84" s="11">
        <v>0</v>
      </c>
      <c r="T84" s="11">
        <v>0</v>
      </c>
      <c r="U84" s="11">
        <v>0</v>
      </c>
      <c r="V84" s="11">
        <v>0</v>
      </c>
      <c r="W84" s="11">
        <v>0</v>
      </c>
      <c r="X84" s="11">
        <v>0</v>
      </c>
      <c r="Y84" s="11">
        <v>0</v>
      </c>
      <c r="Z84" s="11">
        <v>0</v>
      </c>
      <c r="AA84" s="11">
        <v>0</v>
      </c>
      <c r="AB84" s="11">
        <v>0</v>
      </c>
      <c r="AC84" s="11">
        <v>0</v>
      </c>
    </row>
    <row r="85" spans="2:29" ht="30" x14ac:dyDescent="0.3">
      <c r="B85" s="203"/>
      <c r="C85" s="78"/>
      <c r="D85" s="36" t="s">
        <v>323</v>
      </c>
      <c r="E85" s="11">
        <v>0</v>
      </c>
      <c r="F85" s="11">
        <v>0</v>
      </c>
      <c r="G85" s="11">
        <v>0</v>
      </c>
      <c r="H85" s="11">
        <v>0</v>
      </c>
      <c r="I85" s="11">
        <v>0</v>
      </c>
      <c r="J85" s="11">
        <v>0</v>
      </c>
      <c r="K85" s="11">
        <v>0</v>
      </c>
      <c r="L85" s="11">
        <v>0</v>
      </c>
      <c r="M85" s="11">
        <v>0</v>
      </c>
      <c r="N85" s="11">
        <v>0</v>
      </c>
      <c r="O85" s="11">
        <v>0</v>
      </c>
      <c r="P85" s="11">
        <v>0</v>
      </c>
      <c r="Q85" s="11">
        <v>0</v>
      </c>
      <c r="R85" s="11">
        <v>0</v>
      </c>
      <c r="S85" s="11">
        <v>0</v>
      </c>
      <c r="T85" s="11">
        <v>0</v>
      </c>
      <c r="U85" s="11">
        <v>0</v>
      </c>
      <c r="V85" s="11">
        <v>0</v>
      </c>
      <c r="W85" s="11">
        <v>0</v>
      </c>
      <c r="X85" s="11">
        <v>0</v>
      </c>
      <c r="Y85" s="11">
        <v>0</v>
      </c>
      <c r="Z85" s="11">
        <v>0</v>
      </c>
      <c r="AA85" s="11">
        <v>0</v>
      </c>
      <c r="AB85" s="11">
        <v>0</v>
      </c>
      <c r="AC85" s="11">
        <v>0</v>
      </c>
    </row>
    <row r="86" spans="2:29" x14ac:dyDescent="0.3">
      <c r="B86" s="203"/>
      <c r="C86" s="78"/>
      <c r="D86" s="26" t="s">
        <v>320</v>
      </c>
      <c r="E86" s="11">
        <v>0</v>
      </c>
      <c r="F86" s="11">
        <v>0</v>
      </c>
      <c r="G86" s="11">
        <v>0</v>
      </c>
      <c r="H86" s="11">
        <v>0</v>
      </c>
      <c r="I86" s="11">
        <v>0</v>
      </c>
      <c r="J86" s="11">
        <v>0</v>
      </c>
      <c r="K86" s="11">
        <v>0</v>
      </c>
      <c r="L86" s="11">
        <v>0</v>
      </c>
      <c r="M86" s="11">
        <v>0</v>
      </c>
      <c r="N86" s="11">
        <v>0</v>
      </c>
      <c r="O86" s="11">
        <v>0</v>
      </c>
      <c r="P86" s="11">
        <v>0</v>
      </c>
      <c r="Q86" s="11">
        <v>0</v>
      </c>
      <c r="R86" s="11">
        <v>0</v>
      </c>
      <c r="S86" s="11">
        <v>0</v>
      </c>
      <c r="T86" s="11">
        <v>0</v>
      </c>
      <c r="U86" s="11">
        <v>0</v>
      </c>
      <c r="V86" s="11">
        <v>0</v>
      </c>
      <c r="W86" s="11">
        <v>0</v>
      </c>
      <c r="X86" s="11">
        <v>0</v>
      </c>
      <c r="Y86" s="11">
        <v>0</v>
      </c>
      <c r="Z86" s="11">
        <v>0</v>
      </c>
      <c r="AA86" s="11">
        <v>0</v>
      </c>
      <c r="AB86" s="11">
        <v>0</v>
      </c>
      <c r="AC86" s="11">
        <v>0</v>
      </c>
    </row>
    <row r="87" spans="2:29" x14ac:dyDescent="0.3">
      <c r="B87" s="203"/>
      <c r="C87" s="78"/>
      <c r="D87" s="26" t="s">
        <v>14</v>
      </c>
      <c r="E87" s="11">
        <v>0</v>
      </c>
      <c r="F87" s="11">
        <v>0</v>
      </c>
      <c r="G87" s="11">
        <v>0</v>
      </c>
      <c r="H87" s="11">
        <v>0</v>
      </c>
      <c r="I87" s="11">
        <v>0</v>
      </c>
      <c r="J87" s="11">
        <v>0</v>
      </c>
      <c r="K87" s="11">
        <v>0</v>
      </c>
      <c r="L87" s="11">
        <v>0</v>
      </c>
      <c r="M87" s="11">
        <v>0</v>
      </c>
      <c r="N87" s="11">
        <v>0</v>
      </c>
      <c r="O87" s="11">
        <v>0</v>
      </c>
      <c r="P87" s="11">
        <v>0</v>
      </c>
      <c r="Q87" s="11">
        <v>0</v>
      </c>
      <c r="R87" s="11">
        <v>0</v>
      </c>
      <c r="S87" s="11">
        <v>0</v>
      </c>
      <c r="T87" s="11">
        <v>0</v>
      </c>
      <c r="U87" s="11">
        <v>0</v>
      </c>
      <c r="V87" s="11">
        <v>0</v>
      </c>
      <c r="W87" s="11">
        <v>0</v>
      </c>
      <c r="X87" s="11">
        <v>0</v>
      </c>
      <c r="Y87" s="11">
        <v>0</v>
      </c>
      <c r="Z87" s="11">
        <v>0</v>
      </c>
      <c r="AA87" s="11">
        <v>0</v>
      </c>
      <c r="AB87" s="11">
        <v>0</v>
      </c>
      <c r="AC87" s="11">
        <v>0</v>
      </c>
    </row>
    <row r="88" spans="2:29" x14ac:dyDescent="0.3">
      <c r="B88" s="203"/>
      <c r="C88" s="78"/>
      <c r="D88" s="26"/>
      <c r="E88" s="11"/>
      <c r="F88" s="11"/>
      <c r="G88" s="11"/>
      <c r="H88" s="11"/>
      <c r="I88" s="11"/>
      <c r="J88" s="11"/>
      <c r="K88" s="11"/>
      <c r="L88" s="11"/>
      <c r="M88" s="11"/>
      <c r="N88" s="11"/>
      <c r="O88" s="12"/>
      <c r="P88" s="192"/>
      <c r="Q88" s="11"/>
      <c r="R88" s="11"/>
      <c r="S88" s="11"/>
      <c r="T88" s="11"/>
      <c r="U88" s="11"/>
      <c r="V88" s="11"/>
      <c r="W88" s="11"/>
      <c r="X88" s="11"/>
      <c r="Y88" s="11"/>
      <c r="Z88" s="11"/>
      <c r="AA88" s="11"/>
      <c r="AB88" s="11"/>
      <c r="AC88" s="11"/>
    </row>
    <row r="89" spans="2:29" x14ac:dyDescent="0.3">
      <c r="B89" s="199" t="s">
        <v>221</v>
      </c>
      <c r="C89" s="93" t="s">
        <v>222</v>
      </c>
      <c r="D89" s="93"/>
      <c r="E89" s="24">
        <f>E65+E71+E77+E83</f>
        <v>0</v>
      </c>
      <c r="F89" s="24">
        <f t="shared" ref="F89:AC89" si="8">F65+F71+F77+F83</f>
        <v>0</v>
      </c>
      <c r="G89" s="24">
        <f t="shared" si="8"/>
        <v>0</v>
      </c>
      <c r="H89" s="24">
        <f t="shared" si="8"/>
        <v>0</v>
      </c>
      <c r="I89" s="24">
        <f>I65+I71+I77+I83</f>
        <v>42.528255509438893</v>
      </c>
      <c r="J89" s="24">
        <f t="shared" si="8"/>
        <v>416.24037817777537</v>
      </c>
      <c r="K89" s="24">
        <f t="shared" si="8"/>
        <v>1315.0388374558038</v>
      </c>
      <c r="L89" s="24">
        <f t="shared" si="8"/>
        <v>2988.9305487383872</v>
      </c>
      <c r="M89" s="24">
        <f t="shared" si="8"/>
        <v>5791.9126299834943</v>
      </c>
      <c r="N89" s="24">
        <f t="shared" si="8"/>
        <v>9730.9299039078069</v>
      </c>
      <c r="O89" s="24">
        <f t="shared" si="8"/>
        <v>13765.804812918004</v>
      </c>
      <c r="P89" s="24">
        <f t="shared" si="8"/>
        <v>17537.851832523858</v>
      </c>
      <c r="Q89" s="24">
        <f t="shared" si="8"/>
        <v>20772.902850689145</v>
      </c>
      <c r="R89" s="24">
        <f t="shared" si="8"/>
        <v>23117.857067231824</v>
      </c>
      <c r="S89" s="24">
        <f t="shared" si="8"/>
        <v>24525.632955487301</v>
      </c>
      <c r="T89" s="24">
        <f t="shared" si="8"/>
        <v>25750.167931708304</v>
      </c>
      <c r="U89" s="24">
        <f t="shared" si="8"/>
        <v>26958.684679184455</v>
      </c>
      <c r="V89" s="24">
        <f t="shared" si="8"/>
        <v>28177.808422334507</v>
      </c>
      <c r="W89" s="24">
        <f t="shared" si="8"/>
        <v>29409.131514688848</v>
      </c>
      <c r="X89" s="24">
        <f t="shared" si="8"/>
        <v>30652.775965963079</v>
      </c>
      <c r="Y89" s="24">
        <f t="shared" si="8"/>
        <v>31908.865006002387</v>
      </c>
      <c r="Z89" s="24">
        <f t="shared" si="8"/>
        <v>33177.523096982928</v>
      </c>
      <c r="AA89" s="24">
        <f t="shared" si="8"/>
        <v>34458.875945735206</v>
      </c>
      <c r="AB89" s="24">
        <f t="shared" si="8"/>
        <v>35753.050516190648</v>
      </c>
      <c r="AC89" s="24">
        <f t="shared" si="8"/>
        <v>37060.175041952723</v>
      </c>
    </row>
    <row r="90" spans="2:29" x14ac:dyDescent="0.3">
      <c r="B90" s="204"/>
      <c r="C90" s="26"/>
      <c r="D90" s="26"/>
      <c r="E90" s="26"/>
      <c r="F90" s="26"/>
      <c r="G90" s="26"/>
      <c r="H90" s="26"/>
      <c r="I90" s="26"/>
      <c r="J90" s="26"/>
      <c r="K90" s="26"/>
      <c r="L90" s="26"/>
      <c r="M90" s="26"/>
      <c r="N90" s="26"/>
      <c r="O90" s="99"/>
      <c r="P90" s="191"/>
      <c r="Q90" s="26"/>
      <c r="R90" s="26"/>
      <c r="S90" s="26"/>
      <c r="T90" s="26"/>
      <c r="U90" s="26"/>
      <c r="V90" s="26"/>
      <c r="W90" s="26"/>
      <c r="X90" s="26"/>
      <c r="Y90" s="26"/>
      <c r="Z90" s="26"/>
      <c r="AA90" s="26"/>
      <c r="AB90" s="26"/>
      <c r="AC90" s="26"/>
    </row>
    <row r="91" spans="2:29" x14ac:dyDescent="0.3">
      <c r="B91" s="199" t="s">
        <v>224</v>
      </c>
      <c r="C91" s="26"/>
      <c r="D91" s="26"/>
      <c r="E91" s="26"/>
      <c r="F91" s="26"/>
      <c r="G91" s="26"/>
      <c r="H91" s="26"/>
      <c r="I91" s="26"/>
      <c r="J91" s="26"/>
      <c r="K91" s="26"/>
      <c r="L91" s="26"/>
      <c r="M91" s="26"/>
      <c r="N91" s="26"/>
      <c r="O91" s="99"/>
      <c r="P91" s="191"/>
      <c r="Q91" s="26"/>
      <c r="R91" s="26"/>
      <c r="S91" s="26"/>
      <c r="T91" s="26"/>
      <c r="U91" s="26"/>
      <c r="V91" s="26"/>
      <c r="W91" s="26"/>
      <c r="X91" s="26"/>
      <c r="Y91" s="26"/>
      <c r="Z91" s="26"/>
      <c r="AA91" s="26"/>
      <c r="AB91" s="26"/>
      <c r="AC91" s="26"/>
    </row>
    <row r="92" spans="2:29" x14ac:dyDescent="0.3">
      <c r="B92" s="224" t="s">
        <v>312</v>
      </c>
      <c r="C92" s="226" t="s">
        <v>222</v>
      </c>
      <c r="D92" s="226"/>
      <c r="E92" s="227">
        <f t="shared" ref="E92:AC92" si="9">E65+E43</f>
        <v>0</v>
      </c>
      <c r="F92" s="227">
        <f t="shared" si="9"/>
        <v>11.650169539916643</v>
      </c>
      <c r="G92" s="227">
        <f t="shared" si="9"/>
        <v>27.007706880739793</v>
      </c>
      <c r="H92" s="227">
        <f t="shared" si="9"/>
        <v>50.126788743287207</v>
      </c>
      <c r="I92" s="227">
        <f t="shared" si="9"/>
        <v>97.601109818037145</v>
      </c>
      <c r="J92" s="227">
        <f t="shared" si="9"/>
        <v>183.90302278689754</v>
      </c>
      <c r="K92" s="227">
        <f t="shared" si="9"/>
        <v>320.13185319242336</v>
      </c>
      <c r="L92" s="227">
        <f t="shared" si="9"/>
        <v>496.75131182330733</v>
      </c>
      <c r="M92" s="227">
        <f t="shared" si="9"/>
        <v>746.69774952143916</v>
      </c>
      <c r="N92" s="227">
        <f t="shared" si="9"/>
        <v>1038.3586296194806</v>
      </c>
      <c r="O92" s="228">
        <f t="shared" si="9"/>
        <v>1314.2563887241349</v>
      </c>
      <c r="P92" s="229">
        <f t="shared" si="9"/>
        <v>1547.4093277299944</v>
      </c>
      <c r="Q92" s="227">
        <f t="shared" si="9"/>
        <v>1731.8762289551485</v>
      </c>
      <c r="R92" s="227">
        <f t="shared" si="9"/>
        <v>1854.621733848586</v>
      </c>
      <c r="S92" s="227">
        <f t="shared" si="9"/>
        <v>1923.52216354954</v>
      </c>
      <c r="T92" s="227">
        <f t="shared" si="9"/>
        <v>1985.4638639506538</v>
      </c>
      <c r="U92" s="227">
        <f t="shared" si="9"/>
        <v>2047.0656890987011</v>
      </c>
      <c r="V92" s="227">
        <f t="shared" si="9"/>
        <v>2109.2497176590105</v>
      </c>
      <c r="W92" s="227">
        <f t="shared" si="9"/>
        <v>2172.063698277721</v>
      </c>
      <c r="X92" s="227">
        <f t="shared" si="9"/>
        <v>2235.5139466989617</v>
      </c>
      <c r="Y92" s="227">
        <f t="shared" si="9"/>
        <v>2299.6068418567515</v>
      </c>
      <c r="Z92" s="227">
        <f t="shared" si="9"/>
        <v>2364.3488265069595</v>
      </c>
      <c r="AA92" s="227">
        <f t="shared" si="9"/>
        <v>2429.7464078655921</v>
      </c>
      <c r="AB92" s="227">
        <f t="shared" si="9"/>
        <v>2495.8061582534579</v>
      </c>
      <c r="AC92" s="227">
        <f t="shared" si="9"/>
        <v>2562.5347157472793</v>
      </c>
    </row>
    <row r="93" spans="2:29" x14ac:dyDescent="0.3">
      <c r="B93" s="225" t="s">
        <v>313</v>
      </c>
      <c r="C93" s="230" t="s">
        <v>222</v>
      </c>
      <c r="D93" s="230"/>
      <c r="E93" s="231">
        <f t="shared" ref="E93:AC93" si="10">E71+E48</f>
        <v>0</v>
      </c>
      <c r="F93" s="231">
        <f t="shared" si="10"/>
        <v>5.357905999755487</v>
      </c>
      <c r="G93" s="231">
        <f t="shared" si="10"/>
        <v>87.534777625407685</v>
      </c>
      <c r="H93" s="231">
        <f t="shared" si="10"/>
        <v>197.62384289235627</v>
      </c>
      <c r="I93" s="231">
        <f t="shared" si="10"/>
        <v>368.46652213864246</v>
      </c>
      <c r="J93" s="231">
        <f t="shared" si="10"/>
        <v>891.42827528145096</v>
      </c>
      <c r="K93" s="231">
        <f t="shared" si="10"/>
        <v>1861.5411286344861</v>
      </c>
      <c r="L93" s="231">
        <f t="shared" si="10"/>
        <v>3368.2509142127706</v>
      </c>
      <c r="M93" s="231">
        <f t="shared" si="10"/>
        <v>5921.2865577597458</v>
      </c>
      <c r="N93" s="231">
        <f t="shared" si="10"/>
        <v>9568.6429515860164</v>
      </c>
      <c r="O93" s="232">
        <f t="shared" si="10"/>
        <v>13327.62010149156</v>
      </c>
      <c r="P93" s="233">
        <f t="shared" si="10"/>
        <v>16866.514182091556</v>
      </c>
      <c r="Q93" s="231">
        <f t="shared" si="10"/>
        <v>19917.098299031684</v>
      </c>
      <c r="R93" s="231">
        <f t="shared" si="10"/>
        <v>22139.307010680928</v>
      </c>
      <c r="S93" s="231">
        <f t="shared" si="10"/>
        <v>23478.182469235449</v>
      </c>
      <c r="T93" s="231">
        <f t="shared" si="10"/>
        <v>24640.77574505534</v>
      </c>
      <c r="U93" s="231">
        <f t="shared" si="10"/>
        <v>25787.690667383442</v>
      </c>
      <c r="V93" s="231">
        <f t="shared" si="10"/>
        <v>26944.630381973184</v>
      </c>
      <c r="W93" s="231">
        <f t="shared" si="10"/>
        <v>28113.139493708815</v>
      </c>
      <c r="X93" s="231">
        <f t="shared" si="10"/>
        <v>29293.333696561807</v>
      </c>
      <c r="Y93" s="231">
        <f t="shared" si="10"/>
        <v>30485.329841443323</v>
      </c>
      <c r="Z93" s="231">
        <f t="shared" si="10"/>
        <v>31689.245947773659</v>
      </c>
      <c r="AA93" s="231">
        <f t="shared" si="10"/>
        <v>32905.201215167304</v>
      </c>
      <c r="AB93" s="231">
        <f t="shared" si="10"/>
        <v>34133.316035234879</v>
      </c>
      <c r="AC93" s="231">
        <f t="shared" si="10"/>
        <v>35373.712003503133</v>
      </c>
    </row>
    <row r="94" spans="2:29" ht="30" hidden="1" x14ac:dyDescent="0.3">
      <c r="B94" s="203" t="s">
        <v>314</v>
      </c>
      <c r="C94" s="78" t="s">
        <v>222</v>
      </c>
      <c r="D94" s="78"/>
      <c r="E94" s="77">
        <f t="shared" ref="E94:AC94" si="11">E77+E53</f>
        <v>0</v>
      </c>
      <c r="F94" s="77">
        <f t="shared" si="11"/>
        <v>0</v>
      </c>
      <c r="G94" s="77">
        <f t="shared" si="11"/>
        <v>0</v>
      </c>
      <c r="H94" s="77">
        <f t="shared" si="11"/>
        <v>0</v>
      </c>
      <c r="I94" s="77">
        <f t="shared" si="11"/>
        <v>0</v>
      </c>
      <c r="J94" s="77">
        <f t="shared" si="11"/>
        <v>0</v>
      </c>
      <c r="K94" s="77">
        <f t="shared" si="11"/>
        <v>0</v>
      </c>
      <c r="L94" s="77">
        <f t="shared" si="11"/>
        <v>0</v>
      </c>
      <c r="M94" s="77">
        <f t="shared" si="11"/>
        <v>0</v>
      </c>
      <c r="N94" s="77">
        <f t="shared" si="11"/>
        <v>0</v>
      </c>
      <c r="O94" s="15">
        <f t="shared" si="11"/>
        <v>0</v>
      </c>
      <c r="P94" s="193">
        <f t="shared" si="11"/>
        <v>0</v>
      </c>
      <c r="Q94" s="77">
        <f t="shared" si="11"/>
        <v>0</v>
      </c>
      <c r="R94" s="77">
        <f t="shared" si="11"/>
        <v>0</v>
      </c>
      <c r="S94" s="77">
        <f t="shared" si="11"/>
        <v>0</v>
      </c>
      <c r="T94" s="77">
        <f t="shared" si="11"/>
        <v>0</v>
      </c>
      <c r="U94" s="77">
        <f t="shared" si="11"/>
        <v>0</v>
      </c>
      <c r="V94" s="77">
        <f t="shared" si="11"/>
        <v>0</v>
      </c>
      <c r="W94" s="77">
        <f t="shared" si="11"/>
        <v>0</v>
      </c>
      <c r="X94" s="77">
        <f t="shared" si="11"/>
        <v>0</v>
      </c>
      <c r="Y94" s="77">
        <f t="shared" si="11"/>
        <v>0</v>
      </c>
      <c r="Z94" s="77">
        <f t="shared" si="11"/>
        <v>0</v>
      </c>
      <c r="AA94" s="77">
        <f t="shared" si="11"/>
        <v>0</v>
      </c>
      <c r="AB94" s="77">
        <f t="shared" si="11"/>
        <v>0</v>
      </c>
      <c r="AC94" s="77">
        <f t="shared" si="11"/>
        <v>0</v>
      </c>
    </row>
    <row r="95" spans="2:29" ht="30.75" thickBot="1" x14ac:dyDescent="0.35">
      <c r="B95" s="234" t="s">
        <v>315</v>
      </c>
      <c r="C95" s="235" t="s">
        <v>222</v>
      </c>
      <c r="D95" s="235"/>
      <c r="E95" s="236">
        <f t="shared" ref="E95:AC95" si="12">E58+E83</f>
        <v>0</v>
      </c>
      <c r="F95" s="236">
        <f t="shared" si="12"/>
        <v>260.61761557046736</v>
      </c>
      <c r="G95" s="236">
        <f t="shared" si="12"/>
        <v>354.67997872505998</v>
      </c>
      <c r="H95" s="236">
        <f t="shared" si="12"/>
        <v>401.21770182607241</v>
      </c>
      <c r="I95" s="236">
        <f t="shared" si="12"/>
        <v>363.8356115628722</v>
      </c>
      <c r="J95" s="236">
        <f t="shared" si="12"/>
        <v>277.11838978256077</v>
      </c>
      <c r="K95" s="236">
        <f t="shared" si="12"/>
        <v>202.43191880201417</v>
      </c>
      <c r="L95" s="236">
        <f t="shared" si="12"/>
        <v>198.61393490429174</v>
      </c>
      <c r="M95" s="236">
        <f t="shared" si="12"/>
        <v>198.61393490429174</v>
      </c>
      <c r="N95" s="236">
        <f t="shared" si="12"/>
        <v>198.61393490429174</v>
      </c>
      <c r="O95" s="237">
        <f t="shared" si="12"/>
        <v>198.61393490429174</v>
      </c>
      <c r="P95" s="238">
        <f t="shared" si="12"/>
        <v>198.61393490429174</v>
      </c>
      <c r="Q95" s="236">
        <f t="shared" si="12"/>
        <v>198.61393490429174</v>
      </c>
      <c r="R95" s="236">
        <f t="shared" si="12"/>
        <v>198.61393490429174</v>
      </c>
      <c r="S95" s="236">
        <f t="shared" si="12"/>
        <v>198.61393490429174</v>
      </c>
      <c r="T95" s="236">
        <f t="shared" si="12"/>
        <v>198.61393490429174</v>
      </c>
      <c r="U95" s="236">
        <f t="shared" si="12"/>
        <v>198.61393490429174</v>
      </c>
      <c r="V95" s="236">
        <f t="shared" si="12"/>
        <v>198.61393490429174</v>
      </c>
      <c r="W95" s="236">
        <f t="shared" si="12"/>
        <v>198.61393490429174</v>
      </c>
      <c r="X95" s="236">
        <f t="shared" si="12"/>
        <v>198.61393490429174</v>
      </c>
      <c r="Y95" s="236">
        <f t="shared" si="12"/>
        <v>198.61393490429174</v>
      </c>
      <c r="Z95" s="236">
        <f t="shared" si="12"/>
        <v>198.61393490429174</v>
      </c>
      <c r="AA95" s="236">
        <f t="shared" si="12"/>
        <v>198.61393490429174</v>
      </c>
      <c r="AB95" s="236">
        <f t="shared" si="12"/>
        <v>198.61393490429174</v>
      </c>
      <c r="AC95" s="236">
        <f t="shared" si="12"/>
        <v>198.61393490429174</v>
      </c>
    </row>
    <row r="96" spans="2:29" s="248" customFormat="1" ht="30" customHeight="1" thickBot="1" x14ac:dyDescent="0.3">
      <c r="B96" s="242" t="s">
        <v>223</v>
      </c>
      <c r="C96" s="243" t="s">
        <v>222</v>
      </c>
      <c r="D96" s="243"/>
      <c r="E96" s="244">
        <f>SUM(E92:E94)</f>
        <v>0</v>
      </c>
      <c r="F96" s="244">
        <f>SUM(F92:F94)</f>
        <v>17.008075539672131</v>
      </c>
      <c r="G96" s="244">
        <f>SUM(G92:G94)</f>
        <v>114.54248450614747</v>
      </c>
      <c r="H96" s="244">
        <f>SUM(H92:H95)</f>
        <v>648.96833346171593</v>
      </c>
      <c r="I96" s="244">
        <f t="shared" ref="I96:AC96" si="13">SUM(I92:I95)</f>
        <v>829.90324351955178</v>
      </c>
      <c r="J96" s="245">
        <f t="shared" si="13"/>
        <v>1352.4496878509094</v>
      </c>
      <c r="K96" s="244">
        <f t="shared" si="13"/>
        <v>2384.1049006289236</v>
      </c>
      <c r="L96" s="244">
        <f t="shared" si="13"/>
        <v>4063.6161609403698</v>
      </c>
      <c r="M96" s="244">
        <f t="shared" si="13"/>
        <v>6866.5982421854769</v>
      </c>
      <c r="N96" s="244">
        <f t="shared" si="13"/>
        <v>10805.615516109789</v>
      </c>
      <c r="O96" s="246">
        <f t="shared" si="13"/>
        <v>14840.490425119986</v>
      </c>
      <c r="P96" s="247">
        <f t="shared" si="13"/>
        <v>18612.537444725844</v>
      </c>
      <c r="Q96" s="244">
        <f t="shared" si="13"/>
        <v>21847.588462891126</v>
      </c>
      <c r="R96" s="244">
        <f t="shared" si="13"/>
        <v>24192.542679433809</v>
      </c>
      <c r="S96" s="244">
        <f t="shared" si="13"/>
        <v>25600.318567689283</v>
      </c>
      <c r="T96" s="244">
        <f t="shared" si="13"/>
        <v>26824.853543910285</v>
      </c>
      <c r="U96" s="244">
        <f t="shared" si="13"/>
        <v>28033.370291386436</v>
      </c>
      <c r="V96" s="244">
        <f t="shared" si="13"/>
        <v>29252.494034536488</v>
      </c>
      <c r="W96" s="244">
        <f t="shared" si="13"/>
        <v>30483.81712689083</v>
      </c>
      <c r="X96" s="244">
        <f t="shared" si="13"/>
        <v>31727.461578165061</v>
      </c>
      <c r="Y96" s="244">
        <f t="shared" si="13"/>
        <v>32983.550618204368</v>
      </c>
      <c r="Z96" s="244">
        <f t="shared" si="13"/>
        <v>34252.20870918491</v>
      </c>
      <c r="AA96" s="244">
        <f t="shared" si="13"/>
        <v>35533.561557937188</v>
      </c>
      <c r="AB96" s="244">
        <f t="shared" si="13"/>
        <v>36827.736128392629</v>
      </c>
      <c r="AC96" s="244">
        <f t="shared" si="13"/>
        <v>38134.860654154705</v>
      </c>
    </row>
    <row r="97" spans="1:30" x14ac:dyDescent="0.3">
      <c r="B97" s="239"/>
      <c r="C97" s="189"/>
      <c r="D97" s="189"/>
      <c r="E97" s="189"/>
      <c r="F97" s="189"/>
      <c r="G97" s="189"/>
      <c r="H97" s="189"/>
      <c r="I97" s="189"/>
      <c r="J97" s="189"/>
      <c r="K97" s="189"/>
      <c r="L97" s="189"/>
      <c r="M97" s="189"/>
      <c r="N97" s="189"/>
      <c r="O97" s="240"/>
      <c r="P97" s="241"/>
      <c r="Q97" s="189"/>
      <c r="R97" s="189"/>
      <c r="S97" s="189"/>
      <c r="T97" s="189"/>
      <c r="U97" s="189"/>
      <c r="V97" s="189"/>
      <c r="W97" s="189"/>
      <c r="X97" s="189"/>
      <c r="Y97" s="189"/>
      <c r="Z97" s="189"/>
      <c r="AA97" s="189"/>
      <c r="AB97" s="189"/>
      <c r="AC97" s="189"/>
    </row>
    <row r="98" spans="1:30" hidden="1" x14ac:dyDescent="0.3">
      <c r="B98" s="188" t="s">
        <v>216</v>
      </c>
      <c r="C98" s="189"/>
      <c r="D98" s="3"/>
    </row>
    <row r="99" spans="1:30" hidden="1" x14ac:dyDescent="0.3">
      <c r="B99" s="26" t="s">
        <v>132</v>
      </c>
      <c r="C99" s="26" t="s">
        <v>215</v>
      </c>
      <c r="D99" s="3"/>
      <c r="E99" s="100" t="e">
        <f>'NDSP Bull,SS,AI'!#REF!/100</f>
        <v>#REF!</v>
      </c>
      <c r="F99" s="100" t="e">
        <f>'NDSP Bull,SS,AI'!#REF!/100</f>
        <v>#REF!</v>
      </c>
      <c r="G99" s="100" t="e">
        <f>'NDSP Bull,SS,AI'!#REF!/100</f>
        <v>#REF!</v>
      </c>
      <c r="H99" s="100" t="e">
        <f>'NDSP Bull,SS,AI'!#REF!/100</f>
        <v>#REF!</v>
      </c>
      <c r="I99" s="100" t="e">
        <f>'NDSP Bull,SS,AI'!#REF!/100</f>
        <v>#REF!</v>
      </c>
      <c r="J99" s="100" t="e">
        <f>'NDSP Bull,SS,AI'!#REF!/100</f>
        <v>#REF!</v>
      </c>
      <c r="K99" s="100" t="e">
        <f>'NDSP Bull,SS,AI'!#REF!/100</f>
        <v>#REF!</v>
      </c>
      <c r="L99" s="100" t="e">
        <f>'NDSP Bull,SS,AI'!#REF!/100</f>
        <v>#REF!</v>
      </c>
      <c r="M99" s="100" t="e">
        <f>'NDSP Bull,SS,AI'!#REF!/100</f>
        <v>#REF!</v>
      </c>
      <c r="N99" s="100" t="e">
        <f>'NDSP Bull,SS,AI'!#REF!/100</f>
        <v>#REF!</v>
      </c>
      <c r="O99" s="100" t="e">
        <f>'NDSP Bull,SS,AI'!#REF!/100</f>
        <v>#REF!</v>
      </c>
      <c r="P99" s="100" t="e">
        <f>'NDSP Bull,SS,AI'!#REF!/100</f>
        <v>#REF!</v>
      </c>
      <c r="Q99" s="100" t="e">
        <f>'NDSP Bull,SS,AI'!#REF!/100</f>
        <v>#REF!</v>
      </c>
      <c r="R99" s="100" t="e">
        <f>'NDSP Bull,SS,AI'!#REF!/100</f>
        <v>#REF!</v>
      </c>
      <c r="S99" s="100" t="e">
        <f>'NDSP Bull,SS,AI'!#REF!/100</f>
        <v>#REF!</v>
      </c>
      <c r="T99" s="100" t="e">
        <f>'NDSP Bull,SS,AI'!#REF!/100</f>
        <v>#REF!</v>
      </c>
      <c r="U99" s="100" t="e">
        <f>'NDSP Bull,SS,AI'!#REF!/100</f>
        <v>#REF!</v>
      </c>
      <c r="V99" s="100" t="e">
        <f>'NDSP Bull,SS,AI'!#REF!/100</f>
        <v>#REF!</v>
      </c>
      <c r="W99" s="100" t="e">
        <f>'NDSP Bull,SS,AI'!#REF!/100</f>
        <v>#REF!</v>
      </c>
      <c r="X99" s="100" t="e">
        <f>'NDSP Bull,SS,AI'!#REF!/100</f>
        <v>#REF!</v>
      </c>
      <c r="Y99" s="100" t="e">
        <f>'NDSP Bull,SS,AI'!#REF!/100</f>
        <v>#REF!</v>
      </c>
      <c r="Z99" s="100" t="e">
        <f>'NDSP Bull,SS,AI'!#REF!/100</f>
        <v>#REF!</v>
      </c>
      <c r="AA99" s="100" t="e">
        <f>'NDSP Bull,SS,AI'!#REF!/100</f>
        <v>#REF!</v>
      </c>
      <c r="AB99" s="100" t="e">
        <f>'NDSP Bull,SS,AI'!#REF!/100</f>
        <v>#REF!</v>
      </c>
      <c r="AC99" s="100" t="e">
        <f>'NDSP Bull,SS,AI'!#REF!/100</f>
        <v>#REF!</v>
      </c>
    </row>
    <row r="100" spans="1:30" hidden="1" x14ac:dyDescent="0.3">
      <c r="B100" s="26" t="s">
        <v>131</v>
      </c>
      <c r="C100" s="26" t="s">
        <v>215</v>
      </c>
      <c r="D100" s="3"/>
      <c r="E100" s="100" t="e">
        <f>'NDSP Bull, SS &amp; Non-NDSP AI'!#REF!/100</f>
        <v>#REF!</v>
      </c>
      <c r="F100" s="100" t="e">
        <f>'NDSP Bull, SS &amp; Non-NDSP AI'!#REF!/100</f>
        <v>#REF!</v>
      </c>
      <c r="G100" s="100" t="e">
        <f>'NDSP Bull, SS &amp; Non-NDSP AI'!#REF!/100</f>
        <v>#REF!</v>
      </c>
      <c r="H100" s="100" t="e">
        <f>'NDSP Bull, SS &amp; Non-NDSP AI'!#REF!/100</f>
        <v>#REF!</v>
      </c>
      <c r="I100" s="100" t="e">
        <f>'NDSP Bull, SS &amp; Non-NDSP AI'!#REF!/100</f>
        <v>#REF!</v>
      </c>
      <c r="J100" s="100" t="e">
        <f>'NDSP Bull, SS &amp; Non-NDSP AI'!#REF!/100</f>
        <v>#REF!</v>
      </c>
      <c r="K100" s="100" t="e">
        <f>'NDSP Bull, SS &amp; Non-NDSP AI'!#REF!/100</f>
        <v>#REF!</v>
      </c>
      <c r="L100" s="100" t="e">
        <f>'NDSP Bull, SS &amp; Non-NDSP AI'!#REF!/100</f>
        <v>#REF!</v>
      </c>
      <c r="M100" s="100" t="e">
        <f>'NDSP Bull, SS &amp; Non-NDSP AI'!#REF!/100</f>
        <v>#REF!</v>
      </c>
      <c r="N100" s="100" t="e">
        <f>'NDSP Bull, SS &amp; Non-NDSP AI'!#REF!/100</f>
        <v>#REF!</v>
      </c>
      <c r="O100" s="100" t="e">
        <f>'NDSP Bull, SS &amp; Non-NDSP AI'!#REF!/100</f>
        <v>#REF!</v>
      </c>
      <c r="P100" s="100" t="e">
        <f>'NDSP Bull, SS &amp; Non-NDSP AI'!#REF!/100</f>
        <v>#REF!</v>
      </c>
      <c r="Q100" s="100" t="e">
        <f>'NDSP Bull, SS &amp; Non-NDSP AI'!#REF!/100</f>
        <v>#REF!</v>
      </c>
      <c r="R100" s="100" t="e">
        <f>'NDSP Bull, SS &amp; Non-NDSP AI'!#REF!/100</f>
        <v>#REF!</v>
      </c>
      <c r="S100" s="100" t="e">
        <f>'NDSP Bull, SS &amp; Non-NDSP AI'!#REF!/100</f>
        <v>#REF!</v>
      </c>
      <c r="T100" s="100" t="e">
        <f>'NDSP Bull, SS &amp; Non-NDSP AI'!#REF!/100</f>
        <v>#REF!</v>
      </c>
      <c r="U100" s="100" t="e">
        <f>'NDSP Bull, SS &amp; Non-NDSP AI'!#REF!/100</f>
        <v>#REF!</v>
      </c>
      <c r="V100" s="100" t="e">
        <f>'NDSP Bull, SS &amp; Non-NDSP AI'!#REF!/100</f>
        <v>#REF!</v>
      </c>
      <c r="W100" s="100" t="e">
        <f>'NDSP Bull, SS &amp; Non-NDSP AI'!#REF!/100</f>
        <v>#REF!</v>
      </c>
      <c r="X100" s="100" t="e">
        <f>'NDSP Bull, SS &amp; Non-NDSP AI'!#REF!/100</f>
        <v>#REF!</v>
      </c>
      <c r="Y100" s="100" t="e">
        <f>'NDSP Bull, SS &amp; Non-NDSP AI'!#REF!/100</f>
        <v>#REF!</v>
      </c>
      <c r="Z100" s="100" t="e">
        <f>'NDSP Bull, SS &amp; Non-NDSP AI'!#REF!/100</f>
        <v>#REF!</v>
      </c>
      <c r="AA100" s="100" t="e">
        <f>'NDSP Bull, SS &amp; Non-NDSP AI'!#REF!/100</f>
        <v>#REF!</v>
      </c>
      <c r="AB100" s="100" t="e">
        <f>'NDSP Bull, SS &amp; Non-NDSP AI'!#REF!/100</f>
        <v>#REF!</v>
      </c>
      <c r="AC100" s="100" t="e">
        <f>'NDSP Bull, SS &amp; Non-NDSP AI'!#REF!/100</f>
        <v>#REF!</v>
      </c>
    </row>
    <row r="101" spans="1:30" ht="30" hidden="1" x14ac:dyDescent="0.3">
      <c r="B101" s="36" t="s">
        <v>133</v>
      </c>
      <c r="C101" s="26" t="s">
        <v>215</v>
      </c>
      <c r="D101" s="3"/>
      <c r="E101" s="100" t="e">
        <f>'NDSP-Bull &amp; Non-NDSP SS,AI'!#REF!/100</f>
        <v>#REF!</v>
      </c>
      <c r="F101" s="100" t="e">
        <f>'NDSP-Bull &amp; Non-NDSP SS,AI'!#REF!/100</f>
        <v>#REF!</v>
      </c>
      <c r="G101" s="100" t="e">
        <f>'NDSP-Bull &amp; Non-NDSP SS,AI'!#REF!/100</f>
        <v>#REF!</v>
      </c>
      <c r="H101" s="100" t="e">
        <f>'NDSP-Bull &amp; Non-NDSP SS,AI'!#REF!/100</f>
        <v>#REF!</v>
      </c>
      <c r="I101" s="100" t="e">
        <f>'NDSP-Bull &amp; Non-NDSP SS,AI'!#REF!/100</f>
        <v>#REF!</v>
      </c>
      <c r="J101" s="100" t="e">
        <f>'NDSP-Bull &amp; Non-NDSP SS,AI'!#REF!/100</f>
        <v>#REF!</v>
      </c>
      <c r="K101" s="100" t="e">
        <f>'NDSP-Bull &amp; Non-NDSP SS,AI'!#REF!/100</f>
        <v>#REF!</v>
      </c>
      <c r="L101" s="100" t="e">
        <f>'NDSP-Bull &amp; Non-NDSP SS,AI'!#REF!/100</f>
        <v>#REF!</v>
      </c>
      <c r="M101" s="100" t="e">
        <f>'NDSP-Bull &amp; Non-NDSP SS,AI'!#REF!/100</f>
        <v>#REF!</v>
      </c>
      <c r="N101" s="100" t="e">
        <f>'NDSP-Bull &amp; Non-NDSP SS,AI'!#REF!/100</f>
        <v>#REF!</v>
      </c>
      <c r="O101" s="100" t="e">
        <f>'NDSP-Bull &amp; Non-NDSP SS,AI'!#REF!/100</f>
        <v>#REF!</v>
      </c>
      <c r="P101" s="100" t="e">
        <f>'NDSP-Bull &amp; Non-NDSP SS,AI'!#REF!/100</f>
        <v>#REF!</v>
      </c>
      <c r="Q101" s="100" t="e">
        <f>'NDSP-Bull &amp; Non-NDSP SS,AI'!#REF!/100</f>
        <v>#REF!</v>
      </c>
      <c r="R101" s="100" t="e">
        <f>'NDSP-Bull &amp; Non-NDSP SS,AI'!#REF!/100</f>
        <v>#REF!</v>
      </c>
      <c r="S101" s="100" t="e">
        <f>'NDSP-Bull &amp; Non-NDSP SS,AI'!#REF!/100</f>
        <v>#REF!</v>
      </c>
      <c r="T101" s="100" t="e">
        <f>'NDSP-Bull &amp; Non-NDSP SS,AI'!#REF!/100</f>
        <v>#REF!</v>
      </c>
      <c r="U101" s="100" t="e">
        <f>'NDSP-Bull &amp; Non-NDSP SS,AI'!#REF!/100</f>
        <v>#REF!</v>
      </c>
      <c r="V101" s="100" t="e">
        <f>'NDSP-Bull &amp; Non-NDSP SS,AI'!#REF!/100</f>
        <v>#REF!</v>
      </c>
      <c r="W101" s="100" t="e">
        <f>'NDSP-Bull &amp; Non-NDSP SS,AI'!#REF!/100</f>
        <v>#REF!</v>
      </c>
      <c r="X101" s="100" t="e">
        <f>'NDSP-Bull &amp; Non-NDSP SS,AI'!#REF!/100</f>
        <v>#REF!</v>
      </c>
      <c r="Y101" s="100" t="e">
        <f>'NDSP-Bull &amp; Non-NDSP SS,AI'!#REF!/100</f>
        <v>#REF!</v>
      </c>
      <c r="Z101" s="100" t="e">
        <f>'NDSP-Bull &amp; Non-NDSP SS,AI'!#REF!/100</f>
        <v>#REF!</v>
      </c>
      <c r="AA101" s="100" t="e">
        <f>'NDSP-Bull &amp; Non-NDSP SS,AI'!#REF!/100</f>
        <v>#REF!</v>
      </c>
      <c r="AB101" s="100" t="e">
        <f>'NDSP-Bull &amp; Non-NDSP SS,AI'!#REF!/100</f>
        <v>#REF!</v>
      </c>
      <c r="AC101" s="100" t="e">
        <f>'NDSP-Bull &amp; Non-NDSP SS,AI'!#REF!/100</f>
        <v>#REF!</v>
      </c>
    </row>
    <row r="102" spans="1:30" hidden="1" x14ac:dyDescent="0.3">
      <c r="B102" s="27" t="s">
        <v>214</v>
      </c>
      <c r="C102" s="27" t="s">
        <v>215</v>
      </c>
      <c r="D102" s="54"/>
      <c r="E102" s="101" t="e">
        <f>SUM(E99:E101)</f>
        <v>#REF!</v>
      </c>
      <c r="F102" s="101" t="e">
        <f t="shared" ref="F102:AC102" si="14">SUM(F99:F101)</f>
        <v>#REF!</v>
      </c>
      <c r="G102" s="101" t="e">
        <f t="shared" si="14"/>
        <v>#REF!</v>
      </c>
      <c r="H102" s="101" t="e">
        <f t="shared" si="14"/>
        <v>#REF!</v>
      </c>
      <c r="I102" s="101" t="e">
        <f t="shared" si="14"/>
        <v>#REF!</v>
      </c>
      <c r="J102" s="101" t="e">
        <f t="shared" si="14"/>
        <v>#REF!</v>
      </c>
      <c r="K102" s="101" t="e">
        <f t="shared" si="14"/>
        <v>#REF!</v>
      </c>
      <c r="L102" s="101" t="e">
        <f t="shared" si="14"/>
        <v>#REF!</v>
      </c>
      <c r="M102" s="101" t="e">
        <f t="shared" si="14"/>
        <v>#REF!</v>
      </c>
      <c r="N102" s="101" t="e">
        <f t="shared" si="14"/>
        <v>#REF!</v>
      </c>
      <c r="O102" s="101" t="e">
        <f t="shared" si="14"/>
        <v>#REF!</v>
      </c>
      <c r="P102" s="101" t="e">
        <f t="shared" si="14"/>
        <v>#REF!</v>
      </c>
      <c r="Q102" s="101" t="e">
        <f t="shared" si="14"/>
        <v>#REF!</v>
      </c>
      <c r="R102" s="101" t="e">
        <f t="shared" si="14"/>
        <v>#REF!</v>
      </c>
      <c r="S102" s="101" t="e">
        <f t="shared" si="14"/>
        <v>#REF!</v>
      </c>
      <c r="T102" s="101" t="e">
        <f t="shared" si="14"/>
        <v>#REF!</v>
      </c>
      <c r="U102" s="101" t="e">
        <f t="shared" si="14"/>
        <v>#REF!</v>
      </c>
      <c r="V102" s="101" t="e">
        <f t="shared" si="14"/>
        <v>#REF!</v>
      </c>
      <c r="W102" s="101" t="e">
        <f t="shared" si="14"/>
        <v>#REF!</v>
      </c>
      <c r="X102" s="101" t="e">
        <f t="shared" si="14"/>
        <v>#REF!</v>
      </c>
      <c r="Y102" s="101" t="e">
        <f t="shared" si="14"/>
        <v>#REF!</v>
      </c>
      <c r="Z102" s="101" t="e">
        <f t="shared" si="14"/>
        <v>#REF!</v>
      </c>
      <c r="AA102" s="101" t="e">
        <f t="shared" si="14"/>
        <v>#REF!</v>
      </c>
      <c r="AB102" s="101" t="e">
        <f t="shared" si="14"/>
        <v>#REF!</v>
      </c>
      <c r="AC102" s="101" t="e">
        <f t="shared" si="14"/>
        <v>#REF!</v>
      </c>
    </row>
    <row r="103" spans="1:30" hidden="1" x14ac:dyDescent="0.3"/>
    <row r="104" spans="1:30" x14ac:dyDescent="0.3">
      <c r="C104" s="1">
        <v>1000</v>
      </c>
    </row>
    <row r="105" spans="1:30" x14ac:dyDescent="0.3">
      <c r="B105" s="1" t="s">
        <v>338</v>
      </c>
    </row>
    <row r="106" spans="1:30" x14ac:dyDescent="0.3">
      <c r="B106" s="266" t="s">
        <v>343</v>
      </c>
      <c r="C106" s="265" t="s">
        <v>337</v>
      </c>
      <c r="D106" s="267">
        <v>3064.1595077892816</v>
      </c>
      <c r="Y106" s="292" t="s">
        <v>351</v>
      </c>
      <c r="Z106" s="293"/>
      <c r="AA106" s="293"/>
      <c r="AB106" s="293"/>
      <c r="AC106" s="293"/>
      <c r="AD106" s="1">
        <f>+D107/D106</f>
        <v>1.0842607547333849</v>
      </c>
    </row>
    <row r="107" spans="1:30" x14ac:dyDescent="0.3">
      <c r="B107" s="266" t="s">
        <v>344</v>
      </c>
      <c r="C107" s="265" t="s">
        <v>337</v>
      </c>
      <c r="D107" s="267">
        <v>3322.3479005390836</v>
      </c>
    </row>
    <row r="108" spans="1:30" x14ac:dyDescent="0.3">
      <c r="E108" s="1" t="s">
        <v>353</v>
      </c>
      <c r="F108" s="1" t="s">
        <v>354</v>
      </c>
      <c r="G108" s="1" t="s">
        <v>355</v>
      </c>
      <c r="H108" s="1" t="s">
        <v>356</v>
      </c>
      <c r="I108" s="1" t="s">
        <v>357</v>
      </c>
      <c r="J108" s="1" t="s">
        <v>358</v>
      </c>
      <c r="K108" s="1" t="s">
        <v>359</v>
      </c>
      <c r="L108" s="1" t="s">
        <v>360</v>
      </c>
      <c r="M108" s="1" t="s">
        <v>361</v>
      </c>
      <c r="N108" s="1" t="s">
        <v>362</v>
      </c>
      <c r="O108" s="1" t="s">
        <v>363</v>
      </c>
      <c r="P108" s="1" t="s">
        <v>364</v>
      </c>
      <c r="Q108" s="1" t="s">
        <v>365</v>
      </c>
      <c r="R108" s="1" t="s">
        <v>366</v>
      </c>
      <c r="S108" s="1" t="s">
        <v>367</v>
      </c>
      <c r="T108" s="1" t="s">
        <v>368</v>
      </c>
      <c r="U108" s="1" t="s">
        <v>369</v>
      </c>
      <c r="V108" s="1" t="s">
        <v>370</v>
      </c>
      <c r="W108" s="1" t="s">
        <v>371</v>
      </c>
      <c r="X108" s="1" t="s">
        <v>372</v>
      </c>
      <c r="Y108" s="1" t="s">
        <v>373</v>
      </c>
      <c r="Z108" s="1" t="s">
        <v>374</v>
      </c>
      <c r="AA108" s="1" t="s">
        <v>375</v>
      </c>
      <c r="AB108" s="1" t="s">
        <v>376</v>
      </c>
      <c r="AC108" s="1" t="s">
        <v>377</v>
      </c>
    </row>
    <row r="109" spans="1:30" s="252" customFormat="1" x14ac:dyDescent="0.3">
      <c r="A109" s="26"/>
      <c r="B109" s="274" t="s">
        <v>339</v>
      </c>
      <c r="C109" s="274" t="s">
        <v>341</v>
      </c>
      <c r="E109" s="275">
        <f>+SUM(E110,E115)</f>
        <v>0</v>
      </c>
      <c r="F109" s="275">
        <f t="shared" ref="F109:AC109" si="15">+SUM(F110,F115)</f>
        <v>1.1650169539916643E-2</v>
      </c>
      <c r="G109" s="275">
        <f t="shared" si="15"/>
        <v>2.7007706880739793E-2</v>
      </c>
      <c r="H109" s="275">
        <f t="shared" si="15"/>
        <v>5.0126788743287208E-2</v>
      </c>
      <c r="I109" s="275">
        <f t="shared" si="15"/>
        <v>9.7601109818037143E-2</v>
      </c>
      <c r="J109" s="275">
        <f t="shared" si="15"/>
        <v>0.18390302278689752</v>
      </c>
      <c r="K109" s="275">
        <f t="shared" si="15"/>
        <v>0.32013185319242338</v>
      </c>
      <c r="L109" s="275">
        <f t="shared" si="15"/>
        <v>0.49675131182330728</v>
      </c>
      <c r="M109" s="275">
        <f t="shared" si="15"/>
        <v>0.74669774952143908</v>
      </c>
      <c r="N109" s="275">
        <f t="shared" si="15"/>
        <v>1.0383586296194804</v>
      </c>
      <c r="O109" s="275">
        <f t="shared" si="15"/>
        <v>1.314256388724135</v>
      </c>
      <c r="P109" s="275">
        <f t="shared" si="15"/>
        <v>1.5474093277299945</v>
      </c>
      <c r="Q109" s="275">
        <f t="shared" si="15"/>
        <v>1.7318762289551486</v>
      </c>
      <c r="R109" s="275">
        <f t="shared" si="15"/>
        <v>1.8546217338485862</v>
      </c>
      <c r="S109" s="275">
        <f t="shared" si="15"/>
        <v>1.9235221635495401</v>
      </c>
      <c r="T109" s="275">
        <f t="shared" si="15"/>
        <v>1.9854638639506539</v>
      </c>
      <c r="U109" s="275">
        <f t="shared" si="15"/>
        <v>2.0470656890987011</v>
      </c>
      <c r="V109" s="275">
        <f t="shared" si="15"/>
        <v>2.1092497176590106</v>
      </c>
      <c r="W109" s="275">
        <f t="shared" si="15"/>
        <v>2.1720636982777211</v>
      </c>
      <c r="X109" s="275">
        <f t="shared" si="15"/>
        <v>2.235513946698962</v>
      </c>
      <c r="Y109" s="275">
        <f t="shared" si="15"/>
        <v>2.2996068418567517</v>
      </c>
      <c r="Z109" s="275">
        <f t="shared" si="15"/>
        <v>2.3643488265069599</v>
      </c>
      <c r="AA109" s="275">
        <f t="shared" si="15"/>
        <v>2.4297464078655922</v>
      </c>
      <c r="AB109" s="275">
        <f t="shared" si="15"/>
        <v>2.4958061582534579</v>
      </c>
      <c r="AC109" s="275">
        <f t="shared" si="15"/>
        <v>2.5625347157472795</v>
      </c>
    </row>
    <row r="110" spans="1:30" s="252" customFormat="1" x14ac:dyDescent="0.3">
      <c r="A110" s="26"/>
      <c r="B110" s="258" t="s">
        <v>340</v>
      </c>
      <c r="C110" s="251"/>
      <c r="D110" s="251"/>
      <c r="E110" s="255">
        <f>+SUMPRODUCT($D$111:$D$113,E111:E113)</f>
        <v>0</v>
      </c>
      <c r="F110" s="255">
        <f t="shared" ref="F110:J110" si="16">+SUMPRODUCT($D$111:$D$113,F111:F113)</f>
        <v>1.1650169539916643E-2</v>
      </c>
      <c r="G110" s="255">
        <f t="shared" si="16"/>
        <v>2.7007706880739793E-2</v>
      </c>
      <c r="H110" s="255">
        <f t="shared" si="16"/>
        <v>5.0126788743287208E-2</v>
      </c>
      <c r="I110" s="255">
        <f t="shared" si="16"/>
        <v>7.3159649238014171E-2</v>
      </c>
      <c r="J110" s="255">
        <f t="shared" si="16"/>
        <v>9.9862696158438249E-2</v>
      </c>
      <c r="K110" s="255">
        <f t="shared" ref="K110" si="17">+SUMPRODUCT($D$111:$D$113,K111:K113)</f>
        <v>0.12084643208864387</v>
      </c>
      <c r="L110" s="255">
        <f t="shared" ref="L110" si="18">+SUMPRODUCT($D$111:$D$113,L111:L113)</f>
        <v>0.12142818787721316</v>
      </c>
      <c r="M110" s="255">
        <f t="shared" ref="M110" si="19">+SUMPRODUCT($D$111:$D$113,M111:M113)</f>
        <v>0.12142818787721316</v>
      </c>
      <c r="N110" s="255">
        <f t="shared" ref="N110:O110" si="20">+SUMPRODUCT($D$111:$D$113,N111:N113)</f>
        <v>0.12142818787721316</v>
      </c>
      <c r="O110" s="255">
        <f t="shared" si="20"/>
        <v>0.12142818787721316</v>
      </c>
      <c r="P110" s="255">
        <f t="shared" ref="P110" si="21">+SUMPRODUCT($D$111:$D$113,P111:P113)</f>
        <v>0.12142818787721316</v>
      </c>
      <c r="Q110" s="255">
        <f t="shared" ref="Q110" si="22">+SUMPRODUCT($D$111:$D$113,Q111:Q113)</f>
        <v>0.12142818787721316</v>
      </c>
      <c r="R110" s="255">
        <f t="shared" ref="R110" si="23">+SUMPRODUCT($D$111:$D$113,R111:R113)</f>
        <v>0.12142818787721316</v>
      </c>
      <c r="S110" s="255">
        <f t="shared" ref="S110:T110" si="24">+SUMPRODUCT($D$111:$D$113,S111:S113)</f>
        <v>0.12142818787721316</v>
      </c>
      <c r="T110" s="255">
        <f t="shared" si="24"/>
        <v>0.12142818787721316</v>
      </c>
      <c r="U110" s="255">
        <f t="shared" ref="U110" si="25">+SUMPRODUCT($D$111:$D$113,U111:U113)</f>
        <v>0.12142818787721316</v>
      </c>
      <c r="V110" s="255">
        <f t="shared" ref="V110" si="26">+SUMPRODUCT($D$111:$D$113,V111:V113)</f>
        <v>0.12142818787721316</v>
      </c>
      <c r="W110" s="255">
        <f t="shared" ref="W110" si="27">+SUMPRODUCT($D$111:$D$113,W111:W113)</f>
        <v>0.12142818787721316</v>
      </c>
      <c r="X110" s="255">
        <f t="shared" ref="X110:Y110" si="28">+SUMPRODUCT($D$111:$D$113,X111:X113)</f>
        <v>0.12142818787721316</v>
      </c>
      <c r="Y110" s="255">
        <f t="shared" si="28"/>
        <v>0.12142818787721316</v>
      </c>
      <c r="Z110" s="255">
        <f t="shared" ref="Z110" si="29">+SUMPRODUCT($D$111:$D$113,Z111:Z113)</f>
        <v>0.12142818787721316</v>
      </c>
      <c r="AA110" s="255">
        <f t="shared" ref="AA110" si="30">+SUMPRODUCT($D$111:$D$113,AA111:AA113)</f>
        <v>0.12142818787721316</v>
      </c>
      <c r="AB110" s="255">
        <f t="shared" ref="AB110" si="31">+SUMPRODUCT($D$111:$D$113,AB111:AB113)</f>
        <v>0.12142818787721316</v>
      </c>
      <c r="AC110" s="255">
        <f t="shared" ref="AC110" si="32">+SUMPRODUCT($D$111:$D$113,AC111:AC113)</f>
        <v>0.12142818787721316</v>
      </c>
    </row>
    <row r="111" spans="1:30" x14ac:dyDescent="0.3">
      <c r="A111" s="282" t="s">
        <v>347</v>
      </c>
      <c r="B111" s="276" t="s">
        <v>312</v>
      </c>
      <c r="C111" s="277" t="s">
        <v>341</v>
      </c>
      <c r="D111" s="1">
        <v>1</v>
      </c>
      <c r="E111" s="283">
        <f>+E43/$C$104</f>
        <v>0</v>
      </c>
      <c r="F111" s="283">
        <f t="shared" ref="F111:AC111" si="33">+F43/$C$104</f>
        <v>1.1650169539916643E-2</v>
      </c>
      <c r="G111" s="283">
        <f t="shared" si="33"/>
        <v>2.7007706880739793E-2</v>
      </c>
      <c r="H111" s="283">
        <f t="shared" si="33"/>
        <v>5.0126788743287208E-2</v>
      </c>
      <c r="I111" s="283">
        <f t="shared" si="33"/>
        <v>7.3159649238014171E-2</v>
      </c>
      <c r="J111" s="283">
        <f t="shared" si="33"/>
        <v>9.9862696158438249E-2</v>
      </c>
      <c r="K111" s="283">
        <f t="shared" si="33"/>
        <v>0.12084643208864387</v>
      </c>
      <c r="L111" s="283">
        <f t="shared" si="33"/>
        <v>0.12142818787721316</v>
      </c>
      <c r="M111" s="283">
        <f t="shared" si="33"/>
        <v>0.12142818787721316</v>
      </c>
      <c r="N111" s="283">
        <f t="shared" si="33"/>
        <v>0.12142818787721316</v>
      </c>
      <c r="O111" s="283">
        <f t="shared" si="33"/>
        <v>0.12142818787721316</v>
      </c>
      <c r="P111" s="283">
        <f t="shared" si="33"/>
        <v>0.12142818787721316</v>
      </c>
      <c r="Q111" s="283">
        <f t="shared" si="33"/>
        <v>0.12142818787721316</v>
      </c>
      <c r="R111" s="283">
        <f t="shared" si="33"/>
        <v>0.12142818787721316</v>
      </c>
      <c r="S111" s="283">
        <f t="shared" si="33"/>
        <v>0.12142818787721316</v>
      </c>
      <c r="T111" s="283">
        <f t="shared" si="33"/>
        <v>0.12142818787721316</v>
      </c>
      <c r="U111" s="283">
        <f t="shared" si="33"/>
        <v>0.12142818787721316</v>
      </c>
      <c r="V111" s="283">
        <f t="shared" si="33"/>
        <v>0.12142818787721316</v>
      </c>
      <c r="W111" s="283">
        <f t="shared" si="33"/>
        <v>0.12142818787721316</v>
      </c>
      <c r="X111" s="283">
        <f t="shared" si="33"/>
        <v>0.12142818787721316</v>
      </c>
      <c r="Y111" s="283">
        <f t="shared" si="33"/>
        <v>0.12142818787721316</v>
      </c>
      <c r="Z111" s="283">
        <f t="shared" si="33"/>
        <v>0.12142818787721316</v>
      </c>
      <c r="AA111" s="283">
        <f t="shared" si="33"/>
        <v>0.12142818787721316</v>
      </c>
      <c r="AB111" s="283">
        <f t="shared" si="33"/>
        <v>0.12142818787721316</v>
      </c>
      <c r="AC111" s="283">
        <f t="shared" si="33"/>
        <v>0.12142818787721316</v>
      </c>
    </row>
    <row r="112" spans="1:30" x14ac:dyDescent="0.3">
      <c r="A112" s="26" t="s">
        <v>348</v>
      </c>
      <c r="B112" s="259" t="s">
        <v>313</v>
      </c>
      <c r="C112" s="260" t="s">
        <v>341</v>
      </c>
      <c r="D112" s="1">
        <v>0</v>
      </c>
      <c r="E112" s="256">
        <f>+E48/$C$104</f>
        <v>0</v>
      </c>
      <c r="F112" s="256">
        <f t="shared" ref="F112:AC112" si="34">+F48/$C$104</f>
        <v>5.3579059997554872E-3</v>
      </c>
      <c r="G112" s="256">
        <f t="shared" si="34"/>
        <v>8.7534777625407678E-2</v>
      </c>
      <c r="H112" s="256">
        <f t="shared" si="34"/>
        <v>0.19762384289235627</v>
      </c>
      <c r="I112" s="256">
        <f t="shared" si="34"/>
        <v>0.35037972720922655</v>
      </c>
      <c r="J112" s="256">
        <f t="shared" si="34"/>
        <v>0.55922822373213488</v>
      </c>
      <c r="K112" s="256">
        <f t="shared" si="34"/>
        <v>0.74578771228246199</v>
      </c>
      <c r="L112" s="256">
        <f t="shared" si="34"/>
        <v>0.75464348942047754</v>
      </c>
      <c r="M112" s="256">
        <f t="shared" si="34"/>
        <v>0.75464348942047754</v>
      </c>
      <c r="N112" s="256">
        <f t="shared" si="34"/>
        <v>0.75464348942047754</v>
      </c>
      <c r="O112" s="256">
        <f t="shared" si="34"/>
        <v>0.75464348942047754</v>
      </c>
      <c r="P112" s="256">
        <f t="shared" si="34"/>
        <v>0.75464348942047754</v>
      </c>
      <c r="Q112" s="256">
        <f t="shared" si="34"/>
        <v>0.75464348942047754</v>
      </c>
      <c r="R112" s="256">
        <f t="shared" si="34"/>
        <v>0.75464348942047754</v>
      </c>
      <c r="S112" s="256">
        <f t="shared" si="34"/>
        <v>0.75464348942047754</v>
      </c>
      <c r="T112" s="256">
        <f t="shared" si="34"/>
        <v>0.75464348942047754</v>
      </c>
      <c r="U112" s="256">
        <f t="shared" si="34"/>
        <v>0.75464348942047754</v>
      </c>
      <c r="V112" s="256">
        <f t="shared" si="34"/>
        <v>0.75464348942047754</v>
      </c>
      <c r="W112" s="256">
        <f t="shared" si="34"/>
        <v>0.75464348942047754</v>
      </c>
      <c r="X112" s="256">
        <f t="shared" si="34"/>
        <v>0.75464348942047754</v>
      </c>
      <c r="Y112" s="256">
        <f t="shared" si="34"/>
        <v>0.75464348942047754</v>
      </c>
      <c r="Z112" s="256">
        <f t="shared" si="34"/>
        <v>0.75464348942047754</v>
      </c>
      <c r="AA112" s="256">
        <f t="shared" si="34"/>
        <v>0.75464348942047754</v>
      </c>
      <c r="AB112" s="256">
        <f t="shared" si="34"/>
        <v>0.75464348942047754</v>
      </c>
      <c r="AC112" s="256">
        <f t="shared" si="34"/>
        <v>0.75464348942047754</v>
      </c>
    </row>
    <row r="113" spans="1:29" x14ac:dyDescent="0.3">
      <c r="A113" s="26" t="s">
        <v>349</v>
      </c>
      <c r="B113" s="259" t="s">
        <v>314</v>
      </c>
      <c r="C113" s="260" t="s">
        <v>341</v>
      </c>
      <c r="D113" s="1">
        <v>0</v>
      </c>
      <c r="E113" s="256">
        <f>+E58/$C$104</f>
        <v>0</v>
      </c>
      <c r="F113" s="256">
        <f t="shared" ref="F113:AC113" si="35">+F58/$C$104</f>
        <v>0.26061761557046736</v>
      </c>
      <c r="G113" s="256">
        <f t="shared" si="35"/>
        <v>0.35467997872505996</v>
      </c>
      <c r="H113" s="256">
        <f t="shared" si="35"/>
        <v>0.40121770182607241</v>
      </c>
      <c r="I113" s="256">
        <f t="shared" si="35"/>
        <v>0.3638356115628722</v>
      </c>
      <c r="J113" s="256">
        <f t="shared" si="35"/>
        <v>0.27711838978256076</v>
      </c>
      <c r="K113" s="256">
        <f t="shared" si="35"/>
        <v>0.20243191880201417</v>
      </c>
      <c r="L113" s="256">
        <f t="shared" si="35"/>
        <v>0.19861393490429174</v>
      </c>
      <c r="M113" s="256">
        <f t="shared" si="35"/>
        <v>0.19861393490429174</v>
      </c>
      <c r="N113" s="256">
        <f t="shared" si="35"/>
        <v>0.19861393490429174</v>
      </c>
      <c r="O113" s="256">
        <f t="shared" si="35"/>
        <v>0.19861393490429174</v>
      </c>
      <c r="P113" s="256">
        <f t="shared" si="35"/>
        <v>0.19861393490429174</v>
      </c>
      <c r="Q113" s="256">
        <f t="shared" si="35"/>
        <v>0.19861393490429174</v>
      </c>
      <c r="R113" s="256">
        <f t="shared" si="35"/>
        <v>0.19861393490429174</v>
      </c>
      <c r="S113" s="256">
        <f t="shared" si="35"/>
        <v>0.19861393490429174</v>
      </c>
      <c r="T113" s="256">
        <f t="shared" si="35"/>
        <v>0.19861393490429174</v>
      </c>
      <c r="U113" s="256">
        <f t="shared" si="35"/>
        <v>0.19861393490429174</v>
      </c>
      <c r="V113" s="256">
        <f t="shared" si="35"/>
        <v>0.19861393490429174</v>
      </c>
      <c r="W113" s="256">
        <f t="shared" si="35"/>
        <v>0.19861393490429174</v>
      </c>
      <c r="X113" s="256">
        <f t="shared" si="35"/>
        <v>0.19861393490429174</v>
      </c>
      <c r="Y113" s="256">
        <f t="shared" si="35"/>
        <v>0.19861393490429174</v>
      </c>
      <c r="Z113" s="256">
        <f t="shared" si="35"/>
        <v>0.19861393490429174</v>
      </c>
      <c r="AA113" s="256">
        <f t="shared" si="35"/>
        <v>0.19861393490429174</v>
      </c>
      <c r="AB113" s="256">
        <f t="shared" si="35"/>
        <v>0.19861393490429174</v>
      </c>
      <c r="AC113" s="256">
        <f t="shared" si="35"/>
        <v>0.19861393490429174</v>
      </c>
    </row>
    <row r="114" spans="1:29" x14ac:dyDescent="0.3">
      <c r="B114" s="250"/>
      <c r="C114" s="249"/>
      <c r="E114" s="256"/>
      <c r="F114" s="256"/>
      <c r="G114" s="256"/>
      <c r="H114" s="256"/>
      <c r="I114" s="256"/>
      <c r="J114" s="256"/>
      <c r="K114" s="256"/>
      <c r="L114" s="256"/>
      <c r="M114" s="256"/>
      <c r="N114" s="256"/>
      <c r="O114" s="256"/>
      <c r="P114" s="256"/>
      <c r="Q114" s="256"/>
      <c r="R114" s="256"/>
      <c r="S114" s="256"/>
      <c r="T114" s="256"/>
      <c r="U114" s="256"/>
      <c r="V114" s="256"/>
      <c r="W114" s="256"/>
      <c r="X114" s="256"/>
      <c r="Y114" s="256"/>
      <c r="Z114" s="256"/>
      <c r="AA114" s="256"/>
      <c r="AB114" s="256"/>
      <c r="AC114" s="256"/>
    </row>
    <row r="115" spans="1:29" s="252" customFormat="1" x14ac:dyDescent="0.3">
      <c r="A115" s="26"/>
      <c r="B115" s="261" t="s">
        <v>342</v>
      </c>
      <c r="C115" s="254"/>
      <c r="D115" s="253"/>
      <c r="E115" s="257">
        <f>+SUMPRODUCT($D$116:$D$118,E116:E118)</f>
        <v>0</v>
      </c>
      <c r="F115" s="257">
        <f t="shared" ref="F115:AC115" si="36">+SUMPRODUCT($D$116:$D$118,F116:F118)</f>
        <v>0</v>
      </c>
      <c r="G115" s="257">
        <f t="shared" si="36"/>
        <v>0</v>
      </c>
      <c r="H115" s="257">
        <f t="shared" si="36"/>
        <v>0</v>
      </c>
      <c r="I115" s="257">
        <f t="shared" si="36"/>
        <v>2.4441460580022969E-2</v>
      </c>
      <c r="J115" s="257">
        <f t="shared" si="36"/>
        <v>8.4040326628459283E-2</v>
      </c>
      <c r="K115" s="257">
        <f t="shared" si="36"/>
        <v>0.1992854211037795</v>
      </c>
      <c r="L115" s="257">
        <f t="shared" si="36"/>
        <v>0.37532312394609413</v>
      </c>
      <c r="M115" s="257">
        <f t="shared" si="36"/>
        <v>0.62526956164422598</v>
      </c>
      <c r="N115" s="257">
        <f t="shared" si="36"/>
        <v>0.91693044174226734</v>
      </c>
      <c r="O115" s="257">
        <f t="shared" si="36"/>
        <v>1.1928282008469218</v>
      </c>
      <c r="P115" s="257">
        <f t="shared" si="36"/>
        <v>1.4259811398527813</v>
      </c>
      <c r="Q115" s="257">
        <f t="shared" si="36"/>
        <v>1.6104480410779354</v>
      </c>
      <c r="R115" s="257">
        <f t="shared" si="36"/>
        <v>1.733193545971373</v>
      </c>
      <c r="S115" s="257">
        <f t="shared" si="36"/>
        <v>1.8020939756723269</v>
      </c>
      <c r="T115" s="257">
        <f t="shared" si="36"/>
        <v>1.8640356760734407</v>
      </c>
      <c r="U115" s="257">
        <f t="shared" si="36"/>
        <v>1.9256375012214881</v>
      </c>
      <c r="V115" s="257">
        <f t="shared" si="36"/>
        <v>1.9878215297817974</v>
      </c>
      <c r="W115" s="257">
        <f t="shared" si="36"/>
        <v>2.0506355104005078</v>
      </c>
      <c r="X115" s="257">
        <f t="shared" si="36"/>
        <v>2.1140857588217488</v>
      </c>
      <c r="Y115" s="257">
        <f t="shared" si="36"/>
        <v>2.1781786539795385</v>
      </c>
      <c r="Z115" s="257">
        <f t="shared" si="36"/>
        <v>2.2429206386297467</v>
      </c>
      <c r="AA115" s="257">
        <f t="shared" si="36"/>
        <v>2.3083182199883789</v>
      </c>
      <c r="AB115" s="257">
        <f t="shared" si="36"/>
        <v>2.3743779703762447</v>
      </c>
      <c r="AC115" s="257">
        <f t="shared" si="36"/>
        <v>2.4411065278700663</v>
      </c>
    </row>
    <row r="116" spans="1:29" x14ac:dyDescent="0.3">
      <c r="A116" s="282" t="s">
        <v>347</v>
      </c>
      <c r="B116" s="278" t="str">
        <f>+B92</f>
        <v>NDSP - bulls, NDSP-SS and NDSP-AI</v>
      </c>
      <c r="C116" s="279" t="s">
        <v>341</v>
      </c>
      <c r="D116" s="284">
        <f>+D111</f>
        <v>1</v>
      </c>
      <c r="E116" s="285">
        <f>+E65/$C$104</f>
        <v>0</v>
      </c>
      <c r="F116" s="285">
        <f t="shared" ref="F116:AC116" si="37">+F65/$C$104</f>
        <v>0</v>
      </c>
      <c r="G116" s="285">
        <f t="shared" si="37"/>
        <v>0</v>
      </c>
      <c r="H116" s="285">
        <f t="shared" si="37"/>
        <v>0</v>
      </c>
      <c r="I116" s="285">
        <f t="shared" si="37"/>
        <v>2.4441460580022969E-2</v>
      </c>
      <c r="J116" s="285">
        <f t="shared" si="37"/>
        <v>8.4040326628459283E-2</v>
      </c>
      <c r="K116" s="285">
        <f t="shared" si="37"/>
        <v>0.1992854211037795</v>
      </c>
      <c r="L116" s="285">
        <f t="shared" si="37"/>
        <v>0.37532312394609413</v>
      </c>
      <c r="M116" s="285">
        <f t="shared" si="37"/>
        <v>0.62526956164422598</v>
      </c>
      <c r="N116" s="285">
        <f t="shared" si="37"/>
        <v>0.91693044174226734</v>
      </c>
      <c r="O116" s="285">
        <f t="shared" si="37"/>
        <v>1.1928282008469218</v>
      </c>
      <c r="P116" s="285">
        <f t="shared" si="37"/>
        <v>1.4259811398527813</v>
      </c>
      <c r="Q116" s="285">
        <f t="shared" si="37"/>
        <v>1.6104480410779354</v>
      </c>
      <c r="R116" s="285">
        <f t="shared" si="37"/>
        <v>1.733193545971373</v>
      </c>
      <c r="S116" s="285">
        <f t="shared" si="37"/>
        <v>1.8020939756723269</v>
      </c>
      <c r="T116" s="285">
        <f t="shared" si="37"/>
        <v>1.8640356760734407</v>
      </c>
      <c r="U116" s="285">
        <f t="shared" si="37"/>
        <v>1.9256375012214881</v>
      </c>
      <c r="V116" s="285">
        <f t="shared" si="37"/>
        <v>1.9878215297817974</v>
      </c>
      <c r="W116" s="285">
        <f t="shared" si="37"/>
        <v>2.0506355104005078</v>
      </c>
      <c r="X116" s="285">
        <f t="shared" si="37"/>
        <v>2.1140857588217488</v>
      </c>
      <c r="Y116" s="285">
        <f t="shared" si="37"/>
        <v>2.1781786539795385</v>
      </c>
      <c r="Z116" s="285">
        <f t="shared" si="37"/>
        <v>2.2429206386297467</v>
      </c>
      <c r="AA116" s="285">
        <f t="shared" si="37"/>
        <v>2.3083182199883789</v>
      </c>
      <c r="AB116" s="285">
        <f t="shared" si="37"/>
        <v>2.3743779703762447</v>
      </c>
      <c r="AC116" s="285">
        <f t="shared" si="37"/>
        <v>2.4411065278700663</v>
      </c>
    </row>
    <row r="117" spans="1:29" x14ac:dyDescent="0.3">
      <c r="A117" s="26" t="s">
        <v>348</v>
      </c>
      <c r="B117" s="262" t="str">
        <f t="shared" ref="B117:B118" si="38">+B93</f>
        <v>NDSP-Bulls, NDSP-SS, and non-NDSP-AI</v>
      </c>
      <c r="C117" s="263" t="s">
        <v>341</v>
      </c>
      <c r="D117" s="1">
        <f>+D112</f>
        <v>0</v>
      </c>
      <c r="E117" s="264">
        <f>+E71/$C$104</f>
        <v>0</v>
      </c>
      <c r="F117" s="264">
        <f t="shared" ref="F117:AC117" si="39">+F71/$C$104</f>
        <v>0</v>
      </c>
      <c r="G117" s="264">
        <f t="shared" si="39"/>
        <v>0</v>
      </c>
      <c r="H117" s="264">
        <f t="shared" si="39"/>
        <v>0</v>
      </c>
      <c r="I117" s="264">
        <f t="shared" si="39"/>
        <v>1.8086794929415926E-2</v>
      </c>
      <c r="J117" s="264">
        <f t="shared" si="39"/>
        <v>0.33220005154931609</v>
      </c>
      <c r="K117" s="264">
        <f t="shared" si="39"/>
        <v>1.1157534163520242</v>
      </c>
      <c r="L117" s="264">
        <f t="shared" si="39"/>
        <v>2.6136074247922929</v>
      </c>
      <c r="M117" s="264">
        <f t="shared" si="39"/>
        <v>5.1666430683392681</v>
      </c>
      <c r="N117" s="264">
        <f t="shared" si="39"/>
        <v>8.8139994621655386</v>
      </c>
      <c r="O117" s="264">
        <f t="shared" si="39"/>
        <v>12.572976612071082</v>
      </c>
      <c r="P117" s="264">
        <f t="shared" si="39"/>
        <v>16.111870692671079</v>
      </c>
      <c r="Q117" s="264">
        <f t="shared" si="39"/>
        <v>19.162454809611209</v>
      </c>
      <c r="R117" s="264">
        <f t="shared" si="39"/>
        <v>21.384663521260453</v>
      </c>
      <c r="S117" s="264">
        <f t="shared" si="39"/>
        <v>22.723538979814972</v>
      </c>
      <c r="T117" s="264">
        <f t="shared" si="39"/>
        <v>23.886132255634863</v>
      </c>
      <c r="U117" s="264">
        <f t="shared" si="39"/>
        <v>25.033047177962967</v>
      </c>
      <c r="V117" s="264">
        <f t="shared" si="39"/>
        <v>26.189986892552707</v>
      </c>
      <c r="W117" s="264">
        <f t="shared" si="39"/>
        <v>27.358496004288341</v>
      </c>
      <c r="X117" s="264">
        <f t="shared" si="39"/>
        <v>28.538690207141332</v>
      </c>
      <c r="Y117" s="264">
        <f t="shared" si="39"/>
        <v>29.730686352022847</v>
      </c>
      <c r="Z117" s="264">
        <f t="shared" si="39"/>
        <v>30.934602458353183</v>
      </c>
      <c r="AA117" s="264">
        <f t="shared" si="39"/>
        <v>32.150557725746822</v>
      </c>
      <c r="AB117" s="264">
        <f t="shared" si="39"/>
        <v>33.378672545814396</v>
      </c>
      <c r="AC117" s="264">
        <f t="shared" si="39"/>
        <v>34.619068514082656</v>
      </c>
    </row>
    <row r="118" spans="1:29" x14ac:dyDescent="0.3">
      <c r="A118" s="26" t="s">
        <v>349</v>
      </c>
      <c r="B118" s="262" t="str">
        <f t="shared" si="38"/>
        <v>NDSP-Bulls, Non-NDSP-SS and Non-NDSP-AI</v>
      </c>
      <c r="C118" s="263" t="s">
        <v>341</v>
      </c>
      <c r="D118" s="1">
        <f>+D113</f>
        <v>0</v>
      </c>
      <c r="E118" s="264">
        <f>+E83/$C$104</f>
        <v>0</v>
      </c>
      <c r="F118" s="264">
        <f t="shared" ref="F118:AC118" si="40">+F83/$C$104</f>
        <v>0</v>
      </c>
      <c r="G118" s="264">
        <f t="shared" si="40"/>
        <v>0</v>
      </c>
      <c r="H118" s="264">
        <f t="shared" si="40"/>
        <v>0</v>
      </c>
      <c r="I118" s="264">
        <f t="shared" si="40"/>
        <v>0</v>
      </c>
      <c r="J118" s="264">
        <f t="shared" si="40"/>
        <v>0</v>
      </c>
      <c r="K118" s="264">
        <f t="shared" si="40"/>
        <v>0</v>
      </c>
      <c r="L118" s="264">
        <f t="shared" si="40"/>
        <v>0</v>
      </c>
      <c r="M118" s="264">
        <f t="shared" si="40"/>
        <v>0</v>
      </c>
      <c r="N118" s="264">
        <f t="shared" si="40"/>
        <v>0</v>
      </c>
      <c r="O118" s="264">
        <f t="shared" si="40"/>
        <v>0</v>
      </c>
      <c r="P118" s="264">
        <f t="shared" si="40"/>
        <v>0</v>
      </c>
      <c r="Q118" s="264">
        <f t="shared" si="40"/>
        <v>0</v>
      </c>
      <c r="R118" s="264">
        <f t="shared" si="40"/>
        <v>0</v>
      </c>
      <c r="S118" s="264">
        <f t="shared" si="40"/>
        <v>0</v>
      </c>
      <c r="T118" s="264">
        <f t="shared" si="40"/>
        <v>0</v>
      </c>
      <c r="U118" s="264">
        <f t="shared" si="40"/>
        <v>0</v>
      </c>
      <c r="V118" s="264">
        <f t="shared" si="40"/>
        <v>0</v>
      </c>
      <c r="W118" s="264">
        <f t="shared" si="40"/>
        <v>0</v>
      </c>
      <c r="X118" s="264">
        <f t="shared" si="40"/>
        <v>0</v>
      </c>
      <c r="Y118" s="264">
        <f t="shared" si="40"/>
        <v>0</v>
      </c>
      <c r="Z118" s="264">
        <f t="shared" si="40"/>
        <v>0</v>
      </c>
      <c r="AA118" s="264">
        <f t="shared" si="40"/>
        <v>0</v>
      </c>
      <c r="AB118" s="264">
        <f t="shared" si="40"/>
        <v>0</v>
      </c>
      <c r="AC118" s="264">
        <f t="shared" si="40"/>
        <v>0</v>
      </c>
    </row>
    <row r="119" spans="1:29" x14ac:dyDescent="0.3">
      <c r="B119" s="3"/>
    </row>
    <row r="121" spans="1:29" x14ac:dyDescent="0.3">
      <c r="A121" s="26"/>
      <c r="B121" s="268" t="s">
        <v>346</v>
      </c>
      <c r="C121" s="268" t="s">
        <v>345</v>
      </c>
      <c r="E121" s="273">
        <f>+SUM(E122,E127)</f>
        <v>0</v>
      </c>
      <c r="F121" s="273">
        <f t="shared" ref="F121" si="41">+SUM(F122,F127)</f>
        <v>35.697977763092659</v>
      </c>
      <c r="G121" s="273">
        <f t="shared" ref="G121" si="42">+SUM(G122,G127)</f>
        <v>82.75592182220484</v>
      </c>
      <c r="H121" s="273">
        <f t="shared" ref="H121" si="43">+SUM(H122,H127)</f>
        <v>153.59647632268823</v>
      </c>
      <c r="I121" s="273">
        <f t="shared" ref="I121" si="44">+SUM(I122,I127)</f>
        <v>299.06536861972427</v>
      </c>
      <c r="J121" s="273">
        <f t="shared" ref="J121" si="45">+SUM(J122,J127)</f>
        <v>563.50819578366099</v>
      </c>
      <c r="K121" s="273">
        <f t="shared" ref="K121" si="46">+SUM(K122,K127)</f>
        <v>980.93506170576666</v>
      </c>
      <c r="L121" s="273">
        <f t="shared" ref="L121" si="47">+SUM(L122,L127)</f>
        <v>1522.1252551301852</v>
      </c>
      <c r="M121" s="273">
        <f t="shared" ref="M121" si="48">+SUM(M122,M127)</f>
        <v>2288.001008640977</v>
      </c>
      <c r="N121" s="273">
        <f t="shared" ref="N121" si="49">+SUM(N122,N127)</f>
        <v>3181.6964674435803</v>
      </c>
      <c r="O121" s="273">
        <f t="shared" ref="O121" si="50">+SUM(O122,O127)</f>
        <v>4027.0912091818641</v>
      </c>
      <c r="P121" s="273">
        <f t="shared" ref="P121" si="51">+SUM(P122,P127)</f>
        <v>4741.509004005683</v>
      </c>
      <c r="Q121" s="273">
        <f t="shared" ref="Q121" si="52">+SUM(Q122,Q127)</f>
        <v>5306.7450132671647</v>
      </c>
      <c r="R121" s="273">
        <f t="shared" ref="R121" si="53">+SUM(R122,R127)</f>
        <v>5682.8568191247878</v>
      </c>
      <c r="S121" s="273">
        <f t="shared" ref="S121" si="54">+SUM(S122,S127)</f>
        <v>5893.9787258837323</v>
      </c>
      <c r="T121" s="273">
        <f t="shared" ref="T121" si="55">+SUM(T122,T127)</f>
        <v>6083.7779760964404</v>
      </c>
      <c r="U121" s="273">
        <f t="shared" ref="U121" si="56">+SUM(U122,U127)</f>
        <v>6272.5357943210029</v>
      </c>
      <c r="V121" s="273">
        <f t="shared" ref="V121" si="57">+SUM(V122,V127)</f>
        <v>6463.0775766667148</v>
      </c>
      <c r="W121" s="273">
        <f t="shared" ref="W121" si="58">+SUM(W122,W127)</f>
        <v>6655.5496326016282</v>
      </c>
      <c r="X121" s="273">
        <f t="shared" ref="X121" si="59">+SUM(X122,X127)</f>
        <v>6849.9713145731648</v>
      </c>
      <c r="Y121" s="273">
        <f t="shared" ref="Y121" si="60">+SUM(Y122,Y127)</f>
        <v>7046.3621686526485</v>
      </c>
      <c r="Z121" s="273">
        <f t="shared" ref="Z121" si="61">+SUM(Z122,Z127)</f>
        <v>7244.7419364717316</v>
      </c>
      <c r="AA121" s="273">
        <f t="shared" ref="AA121" si="62">+SUM(AA122,AA127)</f>
        <v>7445.1305571782077</v>
      </c>
      <c r="AB121" s="273">
        <f t="shared" ref="AB121" si="63">+SUM(AB122,AB127)</f>
        <v>7647.5481694113732</v>
      </c>
      <c r="AC121" s="273">
        <f t="shared" ref="AC121" si="64">+SUM(AC122,AC127)</f>
        <v>7852.0151132971305</v>
      </c>
    </row>
    <row r="122" spans="1:29" x14ac:dyDescent="0.3">
      <c r="A122" s="26"/>
      <c r="B122" s="258" t="s">
        <v>340</v>
      </c>
      <c r="C122" s="251"/>
      <c r="E122" s="270">
        <f>+SUMPRODUCT($D$111:$D$113,E123:E125)</f>
        <v>0</v>
      </c>
      <c r="F122" s="270">
        <f t="shared" ref="F122" si="65">+SUMPRODUCT($D$111:$D$113,F123:F125)</f>
        <v>35.697977763092659</v>
      </c>
      <c r="G122" s="270">
        <f t="shared" ref="G122" si="66">+SUMPRODUCT($D$111:$D$113,G123:G125)</f>
        <v>82.75592182220484</v>
      </c>
      <c r="H122" s="270">
        <f t="shared" ref="H122" si="67">+SUMPRODUCT($D$111:$D$113,H123:H125)</f>
        <v>153.59647632268823</v>
      </c>
      <c r="I122" s="270">
        <f t="shared" ref="I122" si="68">+SUMPRODUCT($D$111:$D$113,I123:I125)</f>
        <v>224.17283479918999</v>
      </c>
      <c r="J122" s="270">
        <f t="shared" ref="J122" si="69">+SUMPRODUCT($D$111:$D$113,J123:J125)</f>
        <v>305.99522990735073</v>
      </c>
      <c r="K122" s="270">
        <f t="shared" ref="K122" si="70">+SUMPRODUCT($D$111:$D$113,K123:K125)</f>
        <v>370.29274386682988</v>
      </c>
      <c r="L122" s="270">
        <f t="shared" ref="L122" si="71">+SUMPRODUCT($D$111:$D$113,L123:L125)</f>
        <v>372.07533639758589</v>
      </c>
      <c r="M122" s="270">
        <f t="shared" ref="M122" si="72">+SUMPRODUCT($D$111:$D$113,M123:M125)</f>
        <v>372.07533639758589</v>
      </c>
      <c r="N122" s="270">
        <f t="shared" ref="N122" si="73">+SUMPRODUCT($D$111:$D$113,N123:N125)</f>
        <v>372.07533639758589</v>
      </c>
      <c r="O122" s="270">
        <f t="shared" ref="O122" si="74">+SUMPRODUCT($D$111:$D$113,O123:O125)</f>
        <v>372.07533639758589</v>
      </c>
      <c r="P122" s="270">
        <f t="shared" ref="P122" si="75">+SUMPRODUCT($D$111:$D$113,P123:P125)</f>
        <v>372.07533639758589</v>
      </c>
      <c r="Q122" s="270">
        <f t="shared" ref="Q122" si="76">+SUMPRODUCT($D$111:$D$113,Q123:Q125)</f>
        <v>372.07533639758589</v>
      </c>
      <c r="R122" s="270">
        <f t="shared" ref="R122" si="77">+SUMPRODUCT($D$111:$D$113,R123:R125)</f>
        <v>372.07533639758589</v>
      </c>
      <c r="S122" s="270">
        <f t="shared" ref="S122" si="78">+SUMPRODUCT($D$111:$D$113,S123:S125)</f>
        <v>372.07533639758589</v>
      </c>
      <c r="T122" s="270">
        <f t="shared" ref="T122" si="79">+SUMPRODUCT($D$111:$D$113,T123:T125)</f>
        <v>372.07533639758589</v>
      </c>
      <c r="U122" s="270">
        <f t="shared" ref="U122" si="80">+SUMPRODUCT($D$111:$D$113,U123:U125)</f>
        <v>372.07533639758589</v>
      </c>
      <c r="V122" s="270">
        <f t="shared" ref="V122" si="81">+SUMPRODUCT($D$111:$D$113,V123:V125)</f>
        <v>372.07533639758589</v>
      </c>
      <c r="W122" s="270">
        <f t="shared" ref="W122" si="82">+SUMPRODUCT($D$111:$D$113,W123:W125)</f>
        <v>372.07533639758589</v>
      </c>
      <c r="X122" s="270">
        <f t="shared" ref="X122" si="83">+SUMPRODUCT($D$111:$D$113,X123:X125)</f>
        <v>372.07533639758589</v>
      </c>
      <c r="Y122" s="270">
        <f t="shared" ref="Y122" si="84">+SUMPRODUCT($D$111:$D$113,Y123:Y125)</f>
        <v>372.07533639758589</v>
      </c>
      <c r="Z122" s="270">
        <f t="shared" ref="Z122" si="85">+SUMPRODUCT($D$111:$D$113,Z123:Z125)</f>
        <v>372.07533639758589</v>
      </c>
      <c r="AA122" s="270">
        <f t="shared" ref="AA122" si="86">+SUMPRODUCT($D$111:$D$113,AA123:AA125)</f>
        <v>372.07533639758589</v>
      </c>
      <c r="AB122" s="270">
        <f t="shared" ref="AB122" si="87">+SUMPRODUCT($D$111:$D$113,AB123:AB125)</f>
        <v>372.07533639758589</v>
      </c>
      <c r="AC122" s="270">
        <f t="shared" ref="AC122" si="88">+SUMPRODUCT($D$111:$D$113,AC123:AC125)</f>
        <v>372.07533639758589</v>
      </c>
    </row>
    <row r="123" spans="1:29" x14ac:dyDescent="0.3">
      <c r="A123" s="282" t="s">
        <v>347</v>
      </c>
      <c r="B123" s="276" t="s">
        <v>312</v>
      </c>
      <c r="C123" s="277" t="s">
        <v>345</v>
      </c>
      <c r="E123" s="280">
        <f>+E111*$D$106</f>
        <v>0</v>
      </c>
      <c r="F123" s="280">
        <f t="shared" ref="F123:AC125" si="89">+F111*$D$106</f>
        <v>35.697977763092659</v>
      </c>
      <c r="G123" s="280">
        <f t="shared" si="89"/>
        <v>82.75592182220484</v>
      </c>
      <c r="H123" s="280">
        <f t="shared" si="89"/>
        <v>153.59647632268823</v>
      </c>
      <c r="I123" s="280">
        <f t="shared" si="89"/>
        <v>224.17283479918999</v>
      </c>
      <c r="J123" s="280">
        <f t="shared" si="89"/>
        <v>305.99522990735073</v>
      </c>
      <c r="K123" s="280">
        <f t="shared" si="89"/>
        <v>370.29274386682988</v>
      </c>
      <c r="L123" s="280">
        <f t="shared" si="89"/>
        <v>372.07533639758589</v>
      </c>
      <c r="M123" s="280">
        <f t="shared" si="89"/>
        <v>372.07533639758589</v>
      </c>
      <c r="N123" s="280">
        <f t="shared" si="89"/>
        <v>372.07533639758589</v>
      </c>
      <c r="O123" s="280">
        <f t="shared" si="89"/>
        <v>372.07533639758589</v>
      </c>
      <c r="P123" s="280">
        <f t="shared" si="89"/>
        <v>372.07533639758589</v>
      </c>
      <c r="Q123" s="280">
        <f t="shared" si="89"/>
        <v>372.07533639758589</v>
      </c>
      <c r="R123" s="280">
        <f t="shared" si="89"/>
        <v>372.07533639758589</v>
      </c>
      <c r="S123" s="280">
        <f t="shared" si="89"/>
        <v>372.07533639758589</v>
      </c>
      <c r="T123" s="280">
        <f t="shared" si="89"/>
        <v>372.07533639758589</v>
      </c>
      <c r="U123" s="280">
        <f t="shared" si="89"/>
        <v>372.07533639758589</v>
      </c>
      <c r="V123" s="280">
        <f t="shared" si="89"/>
        <v>372.07533639758589</v>
      </c>
      <c r="W123" s="280">
        <f t="shared" si="89"/>
        <v>372.07533639758589</v>
      </c>
      <c r="X123" s="280">
        <f t="shared" si="89"/>
        <v>372.07533639758589</v>
      </c>
      <c r="Y123" s="280">
        <f t="shared" si="89"/>
        <v>372.07533639758589</v>
      </c>
      <c r="Z123" s="280">
        <f t="shared" si="89"/>
        <v>372.07533639758589</v>
      </c>
      <c r="AA123" s="280">
        <f t="shared" si="89"/>
        <v>372.07533639758589</v>
      </c>
      <c r="AB123" s="280">
        <f t="shared" si="89"/>
        <v>372.07533639758589</v>
      </c>
      <c r="AC123" s="280">
        <f t="shared" si="89"/>
        <v>372.07533639758589</v>
      </c>
    </row>
    <row r="124" spans="1:29" x14ac:dyDescent="0.3">
      <c r="A124" s="26" t="s">
        <v>348</v>
      </c>
      <c r="B124" s="259" t="s">
        <v>313</v>
      </c>
      <c r="C124" s="260" t="s">
        <v>345</v>
      </c>
      <c r="E124" s="269">
        <f>+E112*$D$106</f>
        <v>0</v>
      </c>
      <c r="F124" s="269">
        <f t="shared" si="89"/>
        <v>16.417478610992013</v>
      </c>
      <c r="G124" s="269">
        <f t="shared" si="89"/>
        <v>268.22052112311343</v>
      </c>
      <c r="H124" s="269">
        <f t="shared" si="89"/>
        <v>605.55097716446869</v>
      </c>
      <c r="I124" s="269">
        <f t="shared" si="89"/>
        <v>1073.6193724647665</v>
      </c>
      <c r="J124" s="269">
        <f t="shared" si="89"/>
        <v>1713.5644787729327</v>
      </c>
      <c r="K124" s="269">
        <f t="shared" si="89"/>
        <v>2285.2125093827231</v>
      </c>
      <c r="L124" s="269">
        <f t="shared" si="89"/>
        <v>2312.3480230990363</v>
      </c>
      <c r="M124" s="269">
        <f t="shared" si="89"/>
        <v>2312.3480230990363</v>
      </c>
      <c r="N124" s="269">
        <f t="shared" si="89"/>
        <v>2312.3480230990363</v>
      </c>
      <c r="O124" s="269">
        <f t="shared" si="89"/>
        <v>2312.3480230990363</v>
      </c>
      <c r="P124" s="269">
        <f t="shared" si="89"/>
        <v>2312.3480230990363</v>
      </c>
      <c r="Q124" s="269">
        <f t="shared" si="89"/>
        <v>2312.3480230990363</v>
      </c>
      <c r="R124" s="269">
        <f t="shared" si="89"/>
        <v>2312.3480230990363</v>
      </c>
      <c r="S124" s="269">
        <f t="shared" si="89"/>
        <v>2312.3480230990363</v>
      </c>
      <c r="T124" s="269">
        <f t="shared" si="89"/>
        <v>2312.3480230990363</v>
      </c>
      <c r="U124" s="269">
        <f t="shared" si="89"/>
        <v>2312.3480230990363</v>
      </c>
      <c r="V124" s="269">
        <f t="shared" si="89"/>
        <v>2312.3480230990363</v>
      </c>
      <c r="W124" s="269">
        <f t="shared" si="89"/>
        <v>2312.3480230990363</v>
      </c>
      <c r="X124" s="269">
        <f t="shared" si="89"/>
        <v>2312.3480230990363</v>
      </c>
      <c r="Y124" s="269">
        <f t="shared" si="89"/>
        <v>2312.3480230990363</v>
      </c>
      <c r="Z124" s="269">
        <f t="shared" si="89"/>
        <v>2312.3480230990363</v>
      </c>
      <c r="AA124" s="269">
        <f t="shared" si="89"/>
        <v>2312.3480230990363</v>
      </c>
      <c r="AB124" s="269">
        <f t="shared" si="89"/>
        <v>2312.3480230990363</v>
      </c>
      <c r="AC124" s="269">
        <f t="shared" si="89"/>
        <v>2312.3480230990363</v>
      </c>
    </row>
    <row r="125" spans="1:29" x14ac:dyDescent="0.3">
      <c r="A125" s="26" t="s">
        <v>349</v>
      </c>
      <c r="B125" s="259" t="s">
        <v>314</v>
      </c>
      <c r="C125" s="260" t="s">
        <v>345</v>
      </c>
      <c r="E125" s="269">
        <f>+E113*$D$106</f>
        <v>0</v>
      </c>
      <c r="F125" s="269">
        <f t="shared" si="89"/>
        <v>798.57394464761956</v>
      </c>
      <c r="G125" s="269">
        <f t="shared" si="89"/>
        <v>1086.7960290328926</v>
      </c>
      <c r="H125" s="269">
        <f t="shared" si="89"/>
        <v>1229.3950357437247</v>
      </c>
      <c r="I125" s="269">
        <f t="shared" si="89"/>
        <v>1114.8503484427026</v>
      </c>
      <c r="J125" s="269">
        <f t="shared" si="89"/>
        <v>849.13494883548969</v>
      </c>
      <c r="K125" s="269">
        <f t="shared" si="89"/>
        <v>620.28368867721952</v>
      </c>
      <c r="L125" s="269">
        <f t="shared" si="89"/>
        <v>608.58477701642698</v>
      </c>
      <c r="M125" s="269">
        <f t="shared" si="89"/>
        <v>608.58477701642698</v>
      </c>
      <c r="N125" s="269">
        <f t="shared" si="89"/>
        <v>608.58477701642698</v>
      </c>
      <c r="O125" s="269">
        <f t="shared" si="89"/>
        <v>608.58477701642698</v>
      </c>
      <c r="P125" s="269">
        <f t="shared" si="89"/>
        <v>608.58477701642698</v>
      </c>
      <c r="Q125" s="269">
        <f t="shared" si="89"/>
        <v>608.58477701642698</v>
      </c>
      <c r="R125" s="269">
        <f t="shared" si="89"/>
        <v>608.58477701642698</v>
      </c>
      <c r="S125" s="269">
        <f t="shared" si="89"/>
        <v>608.58477701642698</v>
      </c>
      <c r="T125" s="269">
        <f t="shared" si="89"/>
        <v>608.58477701642698</v>
      </c>
      <c r="U125" s="269">
        <f t="shared" si="89"/>
        <v>608.58477701642698</v>
      </c>
      <c r="V125" s="269">
        <f t="shared" si="89"/>
        <v>608.58477701642698</v>
      </c>
      <c r="W125" s="269">
        <f t="shared" si="89"/>
        <v>608.58477701642698</v>
      </c>
      <c r="X125" s="269">
        <f t="shared" si="89"/>
        <v>608.58477701642698</v>
      </c>
      <c r="Y125" s="269">
        <f t="shared" si="89"/>
        <v>608.58477701642698</v>
      </c>
      <c r="Z125" s="269">
        <f t="shared" si="89"/>
        <v>608.58477701642698</v>
      </c>
      <c r="AA125" s="269">
        <f t="shared" si="89"/>
        <v>608.58477701642698</v>
      </c>
      <c r="AB125" s="269">
        <f t="shared" si="89"/>
        <v>608.58477701642698</v>
      </c>
      <c r="AC125" s="269">
        <f t="shared" si="89"/>
        <v>608.58477701642698</v>
      </c>
    </row>
    <row r="126" spans="1:29" x14ac:dyDescent="0.3">
      <c r="B126" s="250"/>
      <c r="C126" s="249"/>
    </row>
    <row r="127" spans="1:29" x14ac:dyDescent="0.3">
      <c r="A127" s="26"/>
      <c r="B127" s="261" t="s">
        <v>342</v>
      </c>
      <c r="C127" s="254"/>
      <c r="E127" s="271">
        <f>+SUMPRODUCT($D$116:$D$118,E128:E130)</f>
        <v>0</v>
      </c>
      <c r="F127" s="271">
        <f t="shared" ref="F127" si="90">+SUMPRODUCT($D$116:$D$118,F128:F130)</f>
        <v>0</v>
      </c>
      <c r="G127" s="271">
        <f t="shared" ref="G127" si="91">+SUMPRODUCT($D$116:$D$118,G128:G130)</f>
        <v>0</v>
      </c>
      <c r="H127" s="271">
        <f t="shared" ref="H127" si="92">+SUMPRODUCT($D$116:$D$118,H128:H130)</f>
        <v>0</v>
      </c>
      <c r="I127" s="271">
        <f t="shared" ref="I127" si="93">+SUMPRODUCT($D$116:$D$118,I128:I130)</f>
        <v>74.892533820534311</v>
      </c>
      <c r="J127" s="271">
        <f t="shared" ref="J127" si="94">+SUMPRODUCT($D$116:$D$118,J128:J130)</f>
        <v>257.51296587631026</v>
      </c>
      <c r="K127" s="271">
        <f t="shared" ref="K127" si="95">+SUMPRODUCT($D$116:$D$118,K128:K130)</f>
        <v>610.64231783893672</v>
      </c>
      <c r="L127" s="271">
        <f t="shared" ref="L127" si="96">+SUMPRODUCT($D$116:$D$118,L128:L130)</f>
        <v>1150.0499187325993</v>
      </c>
      <c r="M127" s="271">
        <f t="shared" ref="M127" si="97">+SUMPRODUCT($D$116:$D$118,M128:M130)</f>
        <v>1915.9256722433913</v>
      </c>
      <c r="N127" s="271">
        <f t="shared" ref="N127" si="98">+SUMPRODUCT($D$116:$D$118,N128:N130)</f>
        <v>2809.6211310459944</v>
      </c>
      <c r="O127" s="271">
        <f t="shared" ref="O127" si="99">+SUMPRODUCT($D$116:$D$118,O128:O130)</f>
        <v>3655.0158727842781</v>
      </c>
      <c r="P127" s="271">
        <f t="shared" ref="P127" si="100">+SUMPRODUCT($D$116:$D$118,P128:P130)</f>
        <v>4369.4336676080975</v>
      </c>
      <c r="Q127" s="271">
        <f t="shared" ref="Q127" si="101">+SUMPRODUCT($D$116:$D$118,Q128:Q130)</f>
        <v>4934.6696768695792</v>
      </c>
      <c r="R127" s="271">
        <f t="shared" ref="R127" si="102">+SUMPRODUCT($D$116:$D$118,R128:R130)</f>
        <v>5310.7814827272023</v>
      </c>
      <c r="S127" s="271">
        <f t="shared" ref="S127" si="103">+SUMPRODUCT($D$116:$D$118,S128:S130)</f>
        <v>5521.9033894861468</v>
      </c>
      <c r="T127" s="271">
        <f t="shared" ref="T127" si="104">+SUMPRODUCT($D$116:$D$118,T128:T130)</f>
        <v>5711.7026396988549</v>
      </c>
      <c r="U127" s="271">
        <f t="shared" ref="U127" si="105">+SUMPRODUCT($D$116:$D$118,U128:U130)</f>
        <v>5900.4604579234174</v>
      </c>
      <c r="V127" s="271">
        <f t="shared" ref="V127" si="106">+SUMPRODUCT($D$116:$D$118,V128:V130)</f>
        <v>6091.0022402691293</v>
      </c>
      <c r="W127" s="271">
        <f t="shared" ref="W127" si="107">+SUMPRODUCT($D$116:$D$118,W128:W130)</f>
        <v>6283.4742962040427</v>
      </c>
      <c r="X127" s="271">
        <f t="shared" ref="X127" si="108">+SUMPRODUCT($D$116:$D$118,X128:X130)</f>
        <v>6477.8959781755793</v>
      </c>
      <c r="Y127" s="271">
        <f t="shared" ref="Y127" si="109">+SUMPRODUCT($D$116:$D$118,Y128:Y130)</f>
        <v>6674.286832255063</v>
      </c>
      <c r="Z127" s="271">
        <f t="shared" ref="Z127" si="110">+SUMPRODUCT($D$116:$D$118,Z128:Z130)</f>
        <v>6872.6666000741461</v>
      </c>
      <c r="AA127" s="271">
        <f t="shared" ref="AA127" si="111">+SUMPRODUCT($D$116:$D$118,AA128:AA130)</f>
        <v>7073.0552207806222</v>
      </c>
      <c r="AB127" s="271">
        <f t="shared" ref="AB127" si="112">+SUMPRODUCT($D$116:$D$118,AB128:AB130)</f>
        <v>7275.4728330137877</v>
      </c>
      <c r="AC127" s="271">
        <f t="shared" ref="AC127" si="113">+SUMPRODUCT($D$116:$D$118,AC128:AC130)</f>
        <v>7479.939776899545</v>
      </c>
    </row>
    <row r="128" spans="1:29" x14ac:dyDescent="0.3">
      <c r="A128" s="282" t="s">
        <v>347</v>
      </c>
      <c r="B128" s="278" t="str">
        <f>+B116</f>
        <v>NDSP - bulls, NDSP-SS and NDSP-AI</v>
      </c>
      <c r="C128" s="279" t="s">
        <v>345</v>
      </c>
      <c r="E128" s="281">
        <f>+E116*$D$106</f>
        <v>0</v>
      </c>
      <c r="F128" s="281">
        <f t="shared" ref="F128:H128" si="114">+F116*$D$106</f>
        <v>0</v>
      </c>
      <c r="G128" s="281">
        <f t="shared" si="114"/>
        <v>0</v>
      </c>
      <c r="H128" s="281">
        <f t="shared" si="114"/>
        <v>0</v>
      </c>
      <c r="I128" s="281">
        <f>+I116*$D$106</f>
        <v>74.892533820534311</v>
      </c>
      <c r="J128" s="281">
        <f t="shared" ref="J128:O128" si="115">+J116*$D$106</f>
        <v>257.51296587631026</v>
      </c>
      <c r="K128" s="281">
        <f t="shared" si="115"/>
        <v>610.64231783893672</v>
      </c>
      <c r="L128" s="281">
        <f t="shared" si="115"/>
        <v>1150.0499187325993</v>
      </c>
      <c r="M128" s="281">
        <f t="shared" si="115"/>
        <v>1915.9256722433913</v>
      </c>
      <c r="N128" s="281">
        <f t="shared" si="115"/>
        <v>2809.6211310459944</v>
      </c>
      <c r="O128" s="281">
        <f t="shared" si="115"/>
        <v>3655.0158727842781</v>
      </c>
      <c r="P128" s="281">
        <f t="shared" ref="P128:AC128" si="116">+P116*$D$106</f>
        <v>4369.4336676080975</v>
      </c>
      <c r="Q128" s="281">
        <f t="shared" si="116"/>
        <v>4934.6696768695792</v>
      </c>
      <c r="R128" s="281">
        <f t="shared" si="116"/>
        <v>5310.7814827272023</v>
      </c>
      <c r="S128" s="281">
        <f t="shared" si="116"/>
        <v>5521.9033894861468</v>
      </c>
      <c r="T128" s="281">
        <f t="shared" si="116"/>
        <v>5711.7026396988549</v>
      </c>
      <c r="U128" s="281">
        <f t="shared" si="116"/>
        <v>5900.4604579234174</v>
      </c>
      <c r="V128" s="281">
        <f t="shared" si="116"/>
        <v>6091.0022402691293</v>
      </c>
      <c r="W128" s="281">
        <f t="shared" si="116"/>
        <v>6283.4742962040427</v>
      </c>
      <c r="X128" s="281">
        <f t="shared" si="116"/>
        <v>6477.8959781755793</v>
      </c>
      <c r="Y128" s="281">
        <f t="shared" si="116"/>
        <v>6674.286832255063</v>
      </c>
      <c r="Z128" s="281">
        <f t="shared" si="116"/>
        <v>6872.6666000741461</v>
      </c>
      <c r="AA128" s="281">
        <f t="shared" si="116"/>
        <v>7073.0552207806222</v>
      </c>
      <c r="AB128" s="281">
        <f t="shared" si="116"/>
        <v>7275.4728330137877</v>
      </c>
      <c r="AC128" s="281">
        <f t="shared" si="116"/>
        <v>7479.939776899545</v>
      </c>
    </row>
    <row r="129" spans="1:30" x14ac:dyDescent="0.3">
      <c r="A129" s="26" t="s">
        <v>348</v>
      </c>
      <c r="B129" s="262" t="str">
        <f t="shared" ref="B129:B130" si="117">+B117</f>
        <v>NDSP-Bulls, NDSP-SS, and non-NDSP-AI</v>
      </c>
      <c r="C129" s="263" t="s">
        <v>345</v>
      </c>
      <c r="E129" s="272">
        <f>+E117*$D$106</f>
        <v>0</v>
      </c>
      <c r="F129" s="272">
        <f t="shared" ref="F129:H129" si="118">+F117*$D$106</f>
        <v>0</v>
      </c>
      <c r="G129" s="272">
        <f t="shared" si="118"/>
        <v>0</v>
      </c>
      <c r="H129" s="272">
        <f t="shared" si="118"/>
        <v>0</v>
      </c>
      <c r="I129" s="272">
        <f>+I117*$D$106</f>
        <v>55.420824648404782</v>
      </c>
      <c r="J129" s="272">
        <f t="shared" ref="J129:O129" si="119">+J117*$D$106</f>
        <v>1017.9139464429263</v>
      </c>
      <c r="K129" s="272">
        <f t="shared" si="119"/>
        <v>3418.8464390634276</v>
      </c>
      <c r="L129" s="272">
        <f t="shared" si="119"/>
        <v>8008.5100403059641</v>
      </c>
      <c r="M129" s="272">
        <f t="shared" si="119"/>
        <v>15831.418481205355</v>
      </c>
      <c r="N129" s="272">
        <f t="shared" si="119"/>
        <v>27007.50025364415</v>
      </c>
      <c r="O129" s="272">
        <f t="shared" si="119"/>
        <v>38525.605827089879</v>
      </c>
      <c r="P129" s="272">
        <f t="shared" ref="P129:AC129" si="120">+P117*$D$106</f>
        <v>49369.341771219566</v>
      </c>
      <c r="Q129" s="272">
        <f t="shared" si="120"/>
        <v>58716.818097452633</v>
      </c>
      <c r="R129" s="272">
        <f t="shared" si="120"/>
        <v>65526.020049544837</v>
      </c>
      <c r="S129" s="272">
        <f t="shared" si="120"/>
        <v>69628.548015620399</v>
      </c>
      <c r="T129" s="272">
        <f t="shared" si="120"/>
        <v>73190.919255415807</v>
      </c>
      <c r="U129" s="272">
        <f t="shared" si="120"/>
        <v>76705.249519292876</v>
      </c>
      <c r="V129" s="272">
        <f t="shared" si="120"/>
        <v>80250.297345692044</v>
      </c>
      <c r="W129" s="272">
        <f t="shared" si="120"/>
        <v>83830.795650355198</v>
      </c>
      <c r="X129" s="272">
        <f t="shared" si="120"/>
        <v>87447.09893806497</v>
      </c>
      <c r="Y129" s="272">
        <f t="shared" si="120"/>
        <v>91099.565258651841</v>
      </c>
      <c r="Z129" s="272">
        <f t="shared" si="120"/>
        <v>94788.556242444596</v>
      </c>
      <c r="AA129" s="272">
        <f t="shared" si="120"/>
        <v>98514.43713607527</v>
      </c>
      <c r="AB129" s="272">
        <f t="shared" si="120"/>
        <v>102277.57683864224</v>
      </c>
      <c r="AC129" s="272">
        <f t="shared" si="120"/>
        <v>106078.34793823493</v>
      </c>
    </row>
    <row r="130" spans="1:30" x14ac:dyDescent="0.3">
      <c r="A130" s="26" t="s">
        <v>349</v>
      </c>
      <c r="B130" s="262" t="str">
        <f t="shared" si="117"/>
        <v>NDSP-Bulls, Non-NDSP-SS and Non-NDSP-AI</v>
      </c>
      <c r="C130" s="263" t="s">
        <v>345</v>
      </c>
      <c r="E130" s="272">
        <f>+E118*$D$106</f>
        <v>0</v>
      </c>
      <c r="F130" s="272">
        <f t="shared" ref="F130:H130" si="121">+F118*$D$106</f>
        <v>0</v>
      </c>
      <c r="G130" s="272">
        <f t="shared" si="121"/>
        <v>0</v>
      </c>
      <c r="H130" s="272">
        <f t="shared" si="121"/>
        <v>0</v>
      </c>
      <c r="I130" s="272">
        <f>+I118*$D$106</f>
        <v>0</v>
      </c>
      <c r="J130" s="272">
        <f t="shared" ref="J130:O130" si="122">+J118*$D$106</f>
        <v>0</v>
      </c>
      <c r="K130" s="272">
        <f t="shared" si="122"/>
        <v>0</v>
      </c>
      <c r="L130" s="272">
        <f t="shared" si="122"/>
        <v>0</v>
      </c>
      <c r="M130" s="272">
        <f t="shared" si="122"/>
        <v>0</v>
      </c>
      <c r="N130" s="272">
        <f t="shared" si="122"/>
        <v>0</v>
      </c>
      <c r="O130" s="272">
        <f t="shared" si="122"/>
        <v>0</v>
      </c>
      <c r="P130" s="272">
        <f t="shared" ref="P130:AC130" si="123">+P118*$D$106</f>
        <v>0</v>
      </c>
      <c r="Q130" s="272">
        <f t="shared" si="123"/>
        <v>0</v>
      </c>
      <c r="R130" s="272">
        <f t="shared" si="123"/>
        <v>0</v>
      </c>
      <c r="S130" s="272">
        <f t="shared" si="123"/>
        <v>0</v>
      </c>
      <c r="T130" s="272">
        <f t="shared" si="123"/>
        <v>0</v>
      </c>
      <c r="U130" s="272">
        <f t="shared" si="123"/>
        <v>0</v>
      </c>
      <c r="V130" s="272">
        <f t="shared" si="123"/>
        <v>0</v>
      </c>
      <c r="W130" s="272">
        <f t="shared" si="123"/>
        <v>0</v>
      </c>
      <c r="X130" s="272">
        <f t="shared" si="123"/>
        <v>0</v>
      </c>
      <c r="Y130" s="272">
        <f t="shared" si="123"/>
        <v>0</v>
      </c>
      <c r="Z130" s="272">
        <f t="shared" si="123"/>
        <v>0</v>
      </c>
      <c r="AA130" s="272">
        <f t="shared" si="123"/>
        <v>0</v>
      </c>
      <c r="AB130" s="272">
        <f t="shared" si="123"/>
        <v>0</v>
      </c>
      <c r="AC130" s="272">
        <f t="shared" si="123"/>
        <v>0</v>
      </c>
    </row>
    <row r="132" spans="1:30" x14ac:dyDescent="0.3">
      <c r="AC132" s="50"/>
    </row>
    <row r="133" spans="1:30" x14ac:dyDescent="0.3">
      <c r="A133" s="26"/>
      <c r="B133" s="297" t="s">
        <v>378</v>
      </c>
      <c r="C133" s="297" t="s">
        <v>345</v>
      </c>
      <c r="E133" s="273">
        <f>+SUM(E134,E139)</f>
        <v>0</v>
      </c>
      <c r="F133" s="273">
        <f t="shared" ref="F133" si="124">+SUM(F134,F139)</f>
        <v>38.705916311866439</v>
      </c>
      <c r="G133" s="273">
        <f t="shared" ref="G133" si="125">+SUM(G134,G139)</f>
        <v>89.728998253600821</v>
      </c>
      <c r="H133" s="273">
        <f t="shared" ref="H133" si="126">+SUM(H134,H139)</f>
        <v>166.53863134202643</v>
      </c>
      <c r="I133" s="273">
        <f t="shared" ref="I133" si="127">+SUM(I134,I139)</f>
        <v>324.26484229424022</v>
      </c>
      <c r="J133" s="273">
        <f t="shared" ref="J133" si="128">+SUM(J134,J139)</f>
        <v>610.98982165884036</v>
      </c>
      <c r="K133" s="273">
        <f t="shared" ref="K133" si="129">+SUM(K134,K139)</f>
        <v>1063.5893903495339</v>
      </c>
      <c r="L133" s="273">
        <f t="shared" ref="L133" si="130">+SUM(L134,L139)</f>
        <v>1650.3806779262006</v>
      </c>
      <c r="M133" s="273">
        <f t="shared" ref="M133" si="131">+SUM(M134,M139)</f>
        <v>2480.7897004598117</v>
      </c>
      <c r="N133" s="273">
        <f t="shared" ref="N133" si="132">+SUM(N134,N139)</f>
        <v>3449.7886131229207</v>
      </c>
      <c r="O133" s="273">
        <f t="shared" ref="O133" si="133">+SUM(O134,O139)</f>
        <v>4366.4169538477072</v>
      </c>
      <c r="P133" s="273">
        <f t="shared" ref="P133" si="134">+SUM(P134,P139)</f>
        <v>5141.0321312583419</v>
      </c>
      <c r="Q133" s="273">
        <f t="shared" ref="Q133" si="135">+SUM(Q134,Q139)</f>
        <v>5753.8953532626829</v>
      </c>
      <c r="R133" s="273">
        <f t="shared" ref="R133" si="136">+SUM(R134,R139)</f>
        <v>6161.6986237460051</v>
      </c>
      <c r="S133" s="273">
        <f t="shared" ref="S133" si="137">+SUM(S134,S139)</f>
        <v>6390.6098217092103</v>
      </c>
      <c r="T133" s="273">
        <f t="shared" ref="T133" si="138">+SUM(T134,T139)</f>
        <v>6596.4016999926716</v>
      </c>
      <c r="U133" s="273">
        <f t="shared" ref="U133" si="139">+SUM(U134,U139)</f>
        <v>6801.0643944426629</v>
      </c>
      <c r="V133" s="273">
        <f t="shared" ref="V133" si="140">+SUM(V134,V139)</f>
        <v>7007.6613711770688</v>
      </c>
      <c r="W133" s="273">
        <f t="shared" ref="W133" si="141">+SUM(W134,W139)</f>
        <v>7216.3512678101433</v>
      </c>
      <c r="X133" s="273">
        <f t="shared" ref="X133" si="142">+SUM(X134,X139)</f>
        <v>7427.1550674411365</v>
      </c>
      <c r="Y133" s="273">
        <f t="shared" ref="Y133" si="143">+SUM(Y134,Y139)</f>
        <v>7640.093963108091</v>
      </c>
      <c r="Z133" s="273">
        <f t="shared" ref="Z133" si="144">+SUM(Z134,Z139)</f>
        <v>7855.189359887444</v>
      </c>
      <c r="AA133" s="273">
        <f t="shared" ref="AA133" si="145">+SUM(AA134,AA139)</f>
        <v>8072.4628770146301</v>
      </c>
      <c r="AB133" s="273">
        <f t="shared" ref="AB133" si="146">+SUM(AB134,AB139)</f>
        <v>8291.9363500258914</v>
      </c>
      <c r="AC133" s="273">
        <f t="shared" ref="AC133" si="147">+SUM(AC134,AC139)</f>
        <v>8513.6318329214919</v>
      </c>
      <c r="AD133" s="1">
        <f>+AC133/AC121</f>
        <v>1.0842607547333849</v>
      </c>
    </row>
    <row r="134" spans="1:30" x14ac:dyDescent="0.3">
      <c r="A134" s="26"/>
      <c r="B134" s="258" t="s">
        <v>340</v>
      </c>
      <c r="C134" s="251"/>
      <c r="E134" s="270">
        <f>+SUMPRODUCT($D$111:$D$113,E135:E137)</f>
        <v>0</v>
      </c>
      <c r="F134" s="270">
        <f t="shared" ref="F134" si="148">+SUMPRODUCT($D$111:$D$113,F135:F137)</f>
        <v>38.705916311866439</v>
      </c>
      <c r="G134" s="270">
        <f t="shared" ref="G134" si="149">+SUMPRODUCT($D$111:$D$113,G135:G137)</f>
        <v>89.728998253600821</v>
      </c>
      <c r="H134" s="270">
        <f t="shared" ref="H134" si="150">+SUMPRODUCT($D$111:$D$113,H135:H137)</f>
        <v>166.53863134202643</v>
      </c>
      <c r="I134" s="270">
        <f t="shared" ref="I134" si="151">+SUMPRODUCT($D$111:$D$113,I135:I137)</f>
        <v>243.06180705009214</v>
      </c>
      <c r="J134" s="270">
        <f t="shared" ref="J134" si="152">+SUMPRODUCT($D$111:$D$113,J135:J137)</f>
        <v>331.77861892415973</v>
      </c>
      <c r="K134" s="270">
        <f t="shared" ref="K134" si="153">+SUMPRODUCT($D$111:$D$113,K135:K137)</f>
        <v>401.49388993734493</v>
      </c>
      <c r="L134" s="270">
        <f t="shared" ref="L134" si="154">+SUMPRODUCT($D$111:$D$113,L135:L137)</f>
        <v>403.42668506012456</v>
      </c>
      <c r="M134" s="270">
        <f t="shared" ref="M134" si="155">+SUMPRODUCT($D$111:$D$113,M135:M137)</f>
        <v>403.42668506012456</v>
      </c>
      <c r="N134" s="270">
        <f t="shared" ref="N134" si="156">+SUMPRODUCT($D$111:$D$113,N135:N137)</f>
        <v>403.42668506012456</v>
      </c>
      <c r="O134" s="270">
        <f t="shared" ref="O134" si="157">+SUMPRODUCT($D$111:$D$113,O135:O137)</f>
        <v>403.42668506012456</v>
      </c>
      <c r="P134" s="270">
        <f t="shared" ref="P134" si="158">+SUMPRODUCT($D$111:$D$113,P135:P137)</f>
        <v>403.42668506012456</v>
      </c>
      <c r="Q134" s="270">
        <f t="shared" ref="Q134" si="159">+SUMPRODUCT($D$111:$D$113,Q135:Q137)</f>
        <v>403.42668506012456</v>
      </c>
      <c r="R134" s="270">
        <f t="shared" ref="R134" si="160">+SUMPRODUCT($D$111:$D$113,R135:R137)</f>
        <v>403.42668506012456</v>
      </c>
      <c r="S134" s="270">
        <f t="shared" ref="S134" si="161">+SUMPRODUCT($D$111:$D$113,S135:S137)</f>
        <v>403.42668506012456</v>
      </c>
      <c r="T134" s="270">
        <f t="shared" ref="T134" si="162">+SUMPRODUCT($D$111:$D$113,T135:T137)</f>
        <v>403.42668506012456</v>
      </c>
      <c r="U134" s="270">
        <f t="shared" ref="U134" si="163">+SUMPRODUCT($D$111:$D$113,U135:U137)</f>
        <v>403.42668506012456</v>
      </c>
      <c r="V134" s="270">
        <f t="shared" ref="V134" si="164">+SUMPRODUCT($D$111:$D$113,V135:V137)</f>
        <v>403.42668506012456</v>
      </c>
      <c r="W134" s="270">
        <f t="shared" ref="W134" si="165">+SUMPRODUCT($D$111:$D$113,W135:W137)</f>
        <v>403.42668506012456</v>
      </c>
      <c r="X134" s="270">
        <f t="shared" ref="X134" si="166">+SUMPRODUCT($D$111:$D$113,X135:X137)</f>
        <v>403.42668506012456</v>
      </c>
      <c r="Y134" s="270">
        <f t="shared" ref="Y134" si="167">+SUMPRODUCT($D$111:$D$113,Y135:Y137)</f>
        <v>403.42668506012456</v>
      </c>
      <c r="Z134" s="270">
        <f t="shared" ref="Z134" si="168">+SUMPRODUCT($D$111:$D$113,Z135:Z137)</f>
        <v>403.42668506012456</v>
      </c>
      <c r="AA134" s="270">
        <f t="shared" ref="AA134" si="169">+SUMPRODUCT($D$111:$D$113,AA135:AA137)</f>
        <v>403.42668506012456</v>
      </c>
      <c r="AB134" s="270">
        <f t="shared" ref="AB134" si="170">+SUMPRODUCT($D$111:$D$113,AB135:AB137)</f>
        <v>403.42668506012456</v>
      </c>
      <c r="AC134" s="270">
        <f t="shared" ref="AC134" si="171">+SUMPRODUCT($D$111:$D$113,AC135:AC137)</f>
        <v>403.42668506012456</v>
      </c>
      <c r="AD134" s="1">
        <f>+AC134/AC122</f>
        <v>1.0842607547333849</v>
      </c>
    </row>
    <row r="135" spans="1:30" x14ac:dyDescent="0.3">
      <c r="A135" s="282" t="s">
        <v>347</v>
      </c>
      <c r="B135" s="276" t="s">
        <v>312</v>
      </c>
      <c r="C135" s="277" t="s">
        <v>345</v>
      </c>
      <c r="E135" s="280">
        <f>+E111*$D$107</f>
        <v>0</v>
      </c>
      <c r="F135" s="280">
        <f t="shared" ref="F135:AC137" si="172">+F111*$D$107</f>
        <v>38.705916311866439</v>
      </c>
      <c r="G135" s="280">
        <f t="shared" si="172"/>
        <v>89.728998253600821</v>
      </c>
      <c r="H135" s="280">
        <f t="shared" si="172"/>
        <v>166.53863134202643</v>
      </c>
      <c r="I135" s="280">
        <f t="shared" si="172"/>
        <v>243.06180705009214</v>
      </c>
      <c r="J135" s="280">
        <f t="shared" si="172"/>
        <v>331.77861892415973</v>
      </c>
      <c r="K135" s="280">
        <f t="shared" si="172"/>
        <v>401.49388993734493</v>
      </c>
      <c r="L135" s="280">
        <f t="shared" si="172"/>
        <v>403.42668506012456</v>
      </c>
      <c r="M135" s="280">
        <f t="shared" si="172"/>
        <v>403.42668506012456</v>
      </c>
      <c r="N135" s="280">
        <f t="shared" si="172"/>
        <v>403.42668506012456</v>
      </c>
      <c r="O135" s="280">
        <f t="shared" si="172"/>
        <v>403.42668506012456</v>
      </c>
      <c r="P135" s="280">
        <f t="shared" si="172"/>
        <v>403.42668506012456</v>
      </c>
      <c r="Q135" s="280">
        <f t="shared" si="172"/>
        <v>403.42668506012456</v>
      </c>
      <c r="R135" s="280">
        <f t="shared" si="172"/>
        <v>403.42668506012456</v>
      </c>
      <c r="S135" s="280">
        <f t="shared" si="172"/>
        <v>403.42668506012456</v>
      </c>
      <c r="T135" s="280">
        <f t="shared" si="172"/>
        <v>403.42668506012456</v>
      </c>
      <c r="U135" s="280">
        <f t="shared" si="172"/>
        <v>403.42668506012456</v>
      </c>
      <c r="V135" s="280">
        <f t="shared" si="172"/>
        <v>403.42668506012456</v>
      </c>
      <c r="W135" s="280">
        <f t="shared" si="172"/>
        <v>403.42668506012456</v>
      </c>
      <c r="X135" s="280">
        <f t="shared" si="172"/>
        <v>403.42668506012456</v>
      </c>
      <c r="Y135" s="280">
        <f t="shared" si="172"/>
        <v>403.42668506012456</v>
      </c>
      <c r="Z135" s="280">
        <f t="shared" si="172"/>
        <v>403.42668506012456</v>
      </c>
      <c r="AA135" s="280">
        <f t="shared" si="172"/>
        <v>403.42668506012456</v>
      </c>
      <c r="AB135" s="280">
        <f t="shared" si="172"/>
        <v>403.42668506012456</v>
      </c>
      <c r="AC135" s="280">
        <f t="shared" si="172"/>
        <v>403.42668506012456</v>
      </c>
    </row>
    <row r="136" spans="1:30" x14ac:dyDescent="0.3">
      <c r="A136" s="26" t="s">
        <v>348</v>
      </c>
      <c r="B136" s="259" t="s">
        <v>313</v>
      </c>
      <c r="C136" s="260" t="s">
        <v>345</v>
      </c>
      <c r="E136" s="269">
        <f t="shared" ref="E136:T137" si="173">+E112*$D$107</f>
        <v>0</v>
      </c>
      <c r="F136" s="269">
        <f t="shared" si="173"/>
        <v>17.800827749573404</v>
      </c>
      <c r="G136" s="269">
        <f t="shared" si="173"/>
        <v>290.82098466792877</v>
      </c>
      <c r="H136" s="269">
        <f t="shared" si="173"/>
        <v>656.57515952988558</v>
      </c>
      <c r="I136" s="269">
        <f t="shared" si="173"/>
        <v>1164.0833510850307</v>
      </c>
      <c r="J136" s="269">
        <f t="shared" si="173"/>
        <v>1857.9507150386592</v>
      </c>
      <c r="K136" s="269">
        <f t="shared" si="173"/>
        <v>2477.7662401494836</v>
      </c>
      <c r="L136" s="269">
        <f t="shared" si="173"/>
        <v>2507.1882127316117</v>
      </c>
      <c r="M136" s="269">
        <f t="shared" si="173"/>
        <v>2507.1882127316117</v>
      </c>
      <c r="N136" s="269">
        <f t="shared" si="173"/>
        <v>2507.1882127316117</v>
      </c>
      <c r="O136" s="269">
        <f t="shared" si="173"/>
        <v>2507.1882127316117</v>
      </c>
      <c r="P136" s="269">
        <f t="shared" si="173"/>
        <v>2507.1882127316117</v>
      </c>
      <c r="Q136" s="269">
        <f t="shared" si="173"/>
        <v>2507.1882127316117</v>
      </c>
      <c r="R136" s="269">
        <f t="shared" si="173"/>
        <v>2507.1882127316117</v>
      </c>
      <c r="S136" s="269">
        <f t="shared" si="173"/>
        <v>2507.1882127316117</v>
      </c>
      <c r="T136" s="269">
        <f t="shared" si="173"/>
        <v>2507.1882127316117</v>
      </c>
      <c r="U136" s="269">
        <f t="shared" si="172"/>
        <v>2507.1882127316117</v>
      </c>
      <c r="V136" s="269">
        <f t="shared" si="172"/>
        <v>2507.1882127316117</v>
      </c>
      <c r="W136" s="269">
        <f t="shared" si="172"/>
        <v>2507.1882127316117</v>
      </c>
      <c r="X136" s="269">
        <f t="shared" si="172"/>
        <v>2507.1882127316117</v>
      </c>
      <c r="Y136" s="269">
        <f t="shared" si="172"/>
        <v>2507.1882127316117</v>
      </c>
      <c r="Z136" s="269">
        <f t="shared" si="172"/>
        <v>2507.1882127316117</v>
      </c>
      <c r="AA136" s="269">
        <f t="shared" si="172"/>
        <v>2507.1882127316117</v>
      </c>
      <c r="AB136" s="269">
        <f t="shared" si="172"/>
        <v>2507.1882127316117</v>
      </c>
      <c r="AC136" s="269">
        <f t="shared" si="172"/>
        <v>2507.1882127316117</v>
      </c>
    </row>
    <row r="137" spans="1:30" x14ac:dyDescent="0.3">
      <c r="A137" s="26" t="s">
        <v>349</v>
      </c>
      <c r="B137" s="259" t="s">
        <v>314</v>
      </c>
      <c r="C137" s="260" t="s">
        <v>345</v>
      </c>
      <c r="E137" s="269">
        <f t="shared" si="173"/>
        <v>0</v>
      </c>
      <c r="F137" s="269">
        <f t="shared" si="172"/>
        <v>865.86238793404425</v>
      </c>
      <c r="G137" s="269">
        <f t="shared" si="172"/>
        <v>1178.3702826804499</v>
      </c>
      <c r="H137" s="269">
        <f t="shared" si="172"/>
        <v>1332.9847893209678</v>
      </c>
      <c r="I137" s="269">
        <f t="shared" si="172"/>
        <v>1208.7884802172621</v>
      </c>
      <c r="J137" s="269">
        <f t="shared" si="172"/>
        <v>920.68370049486214</v>
      </c>
      <c r="K137" s="269">
        <f t="shared" si="172"/>
        <v>672.54926043397006</v>
      </c>
      <c r="L137" s="269">
        <f t="shared" si="172"/>
        <v>659.86458964707992</v>
      </c>
      <c r="M137" s="269">
        <f t="shared" si="172"/>
        <v>659.86458964707992</v>
      </c>
      <c r="N137" s="269">
        <f t="shared" si="172"/>
        <v>659.86458964707992</v>
      </c>
      <c r="O137" s="269">
        <f t="shared" si="172"/>
        <v>659.86458964707992</v>
      </c>
      <c r="P137" s="269">
        <f t="shared" si="172"/>
        <v>659.86458964707992</v>
      </c>
      <c r="Q137" s="269">
        <f t="shared" si="172"/>
        <v>659.86458964707992</v>
      </c>
      <c r="R137" s="269">
        <f t="shared" si="172"/>
        <v>659.86458964707992</v>
      </c>
      <c r="S137" s="269">
        <f t="shared" si="172"/>
        <v>659.86458964707992</v>
      </c>
      <c r="T137" s="269">
        <f t="shared" si="172"/>
        <v>659.86458964707992</v>
      </c>
      <c r="U137" s="269">
        <f t="shared" si="172"/>
        <v>659.86458964707992</v>
      </c>
      <c r="V137" s="269">
        <f t="shared" si="172"/>
        <v>659.86458964707992</v>
      </c>
      <c r="W137" s="269">
        <f t="shared" si="172"/>
        <v>659.86458964707992</v>
      </c>
      <c r="X137" s="269">
        <f t="shared" si="172"/>
        <v>659.86458964707992</v>
      </c>
      <c r="Y137" s="269">
        <f t="shared" si="172"/>
        <v>659.86458964707992</v>
      </c>
      <c r="Z137" s="269">
        <f t="shared" si="172"/>
        <v>659.86458964707992</v>
      </c>
      <c r="AA137" s="269">
        <f t="shared" si="172"/>
        <v>659.86458964707992</v>
      </c>
      <c r="AB137" s="269">
        <f t="shared" si="172"/>
        <v>659.86458964707992</v>
      </c>
      <c r="AC137" s="269">
        <f t="shared" si="172"/>
        <v>659.86458964707992</v>
      </c>
    </row>
    <row r="138" spans="1:30" x14ac:dyDescent="0.3">
      <c r="B138" s="250"/>
      <c r="C138" s="249"/>
    </row>
    <row r="139" spans="1:30" x14ac:dyDescent="0.3">
      <c r="A139" s="26"/>
      <c r="B139" s="261" t="s">
        <v>342</v>
      </c>
      <c r="C139" s="254"/>
      <c r="E139" s="271">
        <f>+SUMPRODUCT($D$116:$D$118,E140:E142)</f>
        <v>0</v>
      </c>
      <c r="F139" s="271">
        <f t="shared" ref="F139" si="174">+SUMPRODUCT($D$116:$D$118,F140:F142)</f>
        <v>0</v>
      </c>
      <c r="G139" s="271">
        <f t="shared" ref="G139" si="175">+SUMPRODUCT($D$116:$D$118,G140:G142)</f>
        <v>0</v>
      </c>
      <c r="H139" s="271">
        <f t="shared" ref="H139" si="176">+SUMPRODUCT($D$116:$D$118,H140:H142)</f>
        <v>0</v>
      </c>
      <c r="I139" s="271">
        <f t="shared" ref="I139" si="177">+SUMPRODUCT($D$116:$D$118,I140:I142)</f>
        <v>81.203035244148083</v>
      </c>
      <c r="J139" s="271">
        <f t="shared" ref="J139" si="178">+SUMPRODUCT($D$116:$D$118,J140:J142)</f>
        <v>279.21120273468057</v>
      </c>
      <c r="K139" s="271">
        <f t="shared" ref="K139" si="179">+SUMPRODUCT($D$116:$D$118,K140:K142)</f>
        <v>662.09550041218904</v>
      </c>
      <c r="L139" s="271">
        <f t="shared" ref="L139" si="180">+SUMPRODUCT($D$116:$D$118,L140:L142)</f>
        <v>1246.9539928660761</v>
      </c>
      <c r="M139" s="271">
        <f t="shared" ref="M139" si="181">+SUMPRODUCT($D$116:$D$118,M140:M142)</f>
        <v>2077.3630153996874</v>
      </c>
      <c r="N139" s="271">
        <f t="shared" ref="N139" si="182">+SUMPRODUCT($D$116:$D$118,N140:N142)</f>
        <v>3046.3619280627963</v>
      </c>
      <c r="O139" s="271">
        <f t="shared" ref="O139" si="183">+SUMPRODUCT($D$116:$D$118,O140:O142)</f>
        <v>3962.9902687875829</v>
      </c>
      <c r="P139" s="271">
        <f t="shared" ref="P139" si="184">+SUMPRODUCT($D$116:$D$118,P140:P142)</f>
        <v>4737.6054461982176</v>
      </c>
      <c r="Q139" s="271">
        <f t="shared" ref="Q139" si="185">+SUMPRODUCT($D$116:$D$118,Q140:Q142)</f>
        <v>5350.4686682025585</v>
      </c>
      <c r="R139" s="271">
        <f t="shared" ref="R139" si="186">+SUMPRODUCT($D$116:$D$118,R140:R142)</f>
        <v>5758.2719386858807</v>
      </c>
      <c r="S139" s="271">
        <f t="shared" ref="S139" si="187">+SUMPRODUCT($D$116:$D$118,S140:S142)</f>
        <v>5987.183136649086</v>
      </c>
      <c r="T139" s="271">
        <f t="shared" ref="T139" si="188">+SUMPRODUCT($D$116:$D$118,T140:T142)</f>
        <v>6192.9750149325473</v>
      </c>
      <c r="U139" s="271">
        <f t="shared" ref="U139" si="189">+SUMPRODUCT($D$116:$D$118,U140:U142)</f>
        <v>6397.6377093825386</v>
      </c>
      <c r="V139" s="271">
        <f t="shared" ref="V139" si="190">+SUMPRODUCT($D$116:$D$118,V140:V142)</f>
        <v>6604.2346861169444</v>
      </c>
      <c r="W139" s="271">
        <f t="shared" ref="W139" si="191">+SUMPRODUCT($D$116:$D$118,W140:W142)</f>
        <v>6812.924582750019</v>
      </c>
      <c r="X139" s="271">
        <f t="shared" ref="X139" si="192">+SUMPRODUCT($D$116:$D$118,X140:X142)</f>
        <v>7023.7283823810121</v>
      </c>
      <c r="Y139" s="271">
        <f t="shared" ref="Y139" si="193">+SUMPRODUCT($D$116:$D$118,Y140:Y142)</f>
        <v>7236.6672780479666</v>
      </c>
      <c r="Z139" s="271">
        <f t="shared" ref="Z139" si="194">+SUMPRODUCT($D$116:$D$118,Z140:Z142)</f>
        <v>7451.7626748273196</v>
      </c>
      <c r="AA139" s="271">
        <f t="shared" ref="AA139" si="195">+SUMPRODUCT($D$116:$D$118,AA140:AA142)</f>
        <v>7669.0361919545057</v>
      </c>
      <c r="AB139" s="271">
        <f t="shared" ref="AB139" si="196">+SUMPRODUCT($D$116:$D$118,AB140:AB142)</f>
        <v>7888.5096649657671</v>
      </c>
      <c r="AC139" s="271">
        <f t="shared" ref="AC139" si="197">+SUMPRODUCT($D$116:$D$118,AC140:AC142)</f>
        <v>8110.2051478613666</v>
      </c>
      <c r="AD139" s="1">
        <f>+AC139/AC127</f>
        <v>1.0842607547333849</v>
      </c>
    </row>
    <row r="140" spans="1:30" x14ac:dyDescent="0.3">
      <c r="A140" s="282" t="s">
        <v>347</v>
      </c>
      <c r="B140" s="278" t="str">
        <f>+B128</f>
        <v>NDSP - bulls, NDSP-SS and NDSP-AI</v>
      </c>
      <c r="C140" s="279" t="s">
        <v>345</v>
      </c>
      <c r="E140" s="280">
        <f>+E116*$D$107</f>
        <v>0</v>
      </c>
      <c r="F140" s="280">
        <f t="shared" ref="F140:AC140" si="198">+F116*$D$107</f>
        <v>0</v>
      </c>
      <c r="G140" s="280">
        <f t="shared" si="198"/>
        <v>0</v>
      </c>
      <c r="H140" s="280">
        <f t="shared" si="198"/>
        <v>0</v>
      </c>
      <c r="I140" s="280">
        <f t="shared" si="198"/>
        <v>81.203035244148083</v>
      </c>
      <c r="J140" s="280">
        <f t="shared" si="198"/>
        <v>279.21120273468057</v>
      </c>
      <c r="K140" s="280">
        <f t="shared" si="198"/>
        <v>662.09550041218904</v>
      </c>
      <c r="L140" s="280">
        <f t="shared" si="198"/>
        <v>1246.9539928660761</v>
      </c>
      <c r="M140" s="280">
        <f t="shared" si="198"/>
        <v>2077.3630153996874</v>
      </c>
      <c r="N140" s="280">
        <f t="shared" si="198"/>
        <v>3046.3619280627963</v>
      </c>
      <c r="O140" s="280">
        <f t="shared" si="198"/>
        <v>3962.9902687875829</v>
      </c>
      <c r="P140" s="280">
        <f t="shared" si="198"/>
        <v>4737.6054461982176</v>
      </c>
      <c r="Q140" s="280">
        <f t="shared" si="198"/>
        <v>5350.4686682025585</v>
      </c>
      <c r="R140" s="280">
        <f t="shared" si="198"/>
        <v>5758.2719386858807</v>
      </c>
      <c r="S140" s="280">
        <f t="shared" si="198"/>
        <v>5987.183136649086</v>
      </c>
      <c r="T140" s="280">
        <f t="shared" si="198"/>
        <v>6192.9750149325473</v>
      </c>
      <c r="U140" s="280">
        <f t="shared" si="198"/>
        <v>6397.6377093825386</v>
      </c>
      <c r="V140" s="280">
        <f t="shared" si="198"/>
        <v>6604.2346861169444</v>
      </c>
      <c r="W140" s="280">
        <f t="shared" si="198"/>
        <v>6812.924582750019</v>
      </c>
      <c r="X140" s="280">
        <f t="shared" si="198"/>
        <v>7023.7283823810121</v>
      </c>
      <c r="Y140" s="280">
        <f t="shared" si="198"/>
        <v>7236.6672780479666</v>
      </c>
      <c r="Z140" s="280">
        <f t="shared" si="198"/>
        <v>7451.7626748273196</v>
      </c>
      <c r="AA140" s="280">
        <f t="shared" si="198"/>
        <v>7669.0361919545057</v>
      </c>
      <c r="AB140" s="280">
        <f t="shared" si="198"/>
        <v>7888.5096649657671</v>
      </c>
      <c r="AC140" s="280">
        <f t="shared" si="198"/>
        <v>8110.2051478613666</v>
      </c>
    </row>
    <row r="141" spans="1:30" x14ac:dyDescent="0.3">
      <c r="A141" s="26" t="s">
        <v>348</v>
      </c>
      <c r="B141" s="262" t="str">
        <f t="shared" ref="B141:B142" si="199">+B129</f>
        <v>NDSP-Bulls, NDSP-SS, and non-NDSP-AI</v>
      </c>
      <c r="C141" s="263" t="s">
        <v>345</v>
      </c>
      <c r="E141" s="269">
        <f t="shared" ref="E141:AC141" si="200">+E117*$D$107</f>
        <v>0</v>
      </c>
      <c r="F141" s="269">
        <f t="shared" si="200"/>
        <v>0</v>
      </c>
      <c r="G141" s="269">
        <f t="shared" si="200"/>
        <v>0</v>
      </c>
      <c r="H141" s="269">
        <f t="shared" si="200"/>
        <v>0</v>
      </c>
      <c r="I141" s="269">
        <f t="shared" si="200"/>
        <v>60.090625161225944</v>
      </c>
      <c r="J141" s="269">
        <f t="shared" si="200"/>
        <v>1103.6841438238457</v>
      </c>
      <c r="K141" s="269">
        <f t="shared" si="200"/>
        <v>3706.9210203364578</v>
      </c>
      <c r="L141" s="269">
        <f t="shared" si="200"/>
        <v>8683.3131405920358</v>
      </c>
      <c r="M141" s="269">
        <f t="shared" si="200"/>
        <v>17165.385750931775</v>
      </c>
      <c r="N141" s="269">
        <f t="shared" si="200"/>
        <v>29283.172608478289</v>
      </c>
      <c r="O141" s="269">
        <f t="shared" si="200"/>
        <v>41771.802450641364</v>
      </c>
      <c r="P141" s="269">
        <f t="shared" si="200"/>
        <v>53529.239769552951</v>
      </c>
      <c r="Q141" s="269">
        <f t="shared" si="200"/>
        <v>63664.341505886863</v>
      </c>
      <c r="R141" s="269">
        <f t="shared" si="200"/>
        <v>71047.291953594395</v>
      </c>
      <c r="S141" s="269">
        <f t="shared" si="200"/>
        <v>75495.502022406305</v>
      </c>
      <c r="T141" s="269">
        <f t="shared" si="200"/>
        <v>79358.041351507374</v>
      </c>
      <c r="U141" s="269">
        <f t="shared" si="200"/>
        <v>83168.491735801101</v>
      </c>
      <c r="V141" s="269">
        <f t="shared" si="200"/>
        <v>87012.247967618605</v>
      </c>
      <c r="W141" s="269">
        <f t="shared" si="200"/>
        <v>90894.441761754279</v>
      </c>
      <c r="X141" s="269">
        <f t="shared" si="200"/>
        <v>94815.457493831316</v>
      </c>
      <c r="Y141" s="269">
        <f t="shared" si="200"/>
        <v>98775.683383229087</v>
      </c>
      <c r="Z141" s="269">
        <f t="shared" si="200"/>
        <v>102775.51153152087</v>
      </c>
      <c r="AA141" s="269">
        <f t="shared" si="200"/>
        <v>106815.33796129558</v>
      </c>
      <c r="AB141" s="269">
        <f t="shared" si="200"/>
        <v>110895.562655368</v>
      </c>
      <c r="AC141" s="269">
        <f t="shared" si="200"/>
        <v>115016.58959638121</v>
      </c>
    </row>
    <row r="142" spans="1:30" x14ac:dyDescent="0.3">
      <c r="A142" s="26" t="s">
        <v>349</v>
      </c>
      <c r="B142" s="262" t="str">
        <f t="shared" si="199"/>
        <v>NDSP-Bulls, Non-NDSP-SS and Non-NDSP-AI</v>
      </c>
      <c r="C142" s="263" t="s">
        <v>345</v>
      </c>
      <c r="E142" s="269">
        <f t="shared" ref="E142:AC142" si="201">+E118*$D$107</f>
        <v>0</v>
      </c>
      <c r="F142" s="269">
        <f t="shared" si="201"/>
        <v>0</v>
      </c>
      <c r="G142" s="269">
        <f t="shared" si="201"/>
        <v>0</v>
      </c>
      <c r="H142" s="269">
        <f t="shared" si="201"/>
        <v>0</v>
      </c>
      <c r="I142" s="269">
        <f t="shared" si="201"/>
        <v>0</v>
      </c>
      <c r="J142" s="269">
        <f t="shared" si="201"/>
        <v>0</v>
      </c>
      <c r="K142" s="269">
        <f t="shared" si="201"/>
        <v>0</v>
      </c>
      <c r="L142" s="269">
        <f t="shared" si="201"/>
        <v>0</v>
      </c>
      <c r="M142" s="269">
        <f t="shared" si="201"/>
        <v>0</v>
      </c>
      <c r="N142" s="269">
        <f t="shared" si="201"/>
        <v>0</v>
      </c>
      <c r="O142" s="269">
        <f t="shared" si="201"/>
        <v>0</v>
      </c>
      <c r="P142" s="269">
        <f t="shared" si="201"/>
        <v>0</v>
      </c>
      <c r="Q142" s="269">
        <f t="shared" si="201"/>
        <v>0</v>
      </c>
      <c r="R142" s="269">
        <f t="shared" si="201"/>
        <v>0</v>
      </c>
      <c r="S142" s="269">
        <f t="shared" si="201"/>
        <v>0</v>
      </c>
      <c r="T142" s="269">
        <f t="shared" si="201"/>
        <v>0</v>
      </c>
      <c r="U142" s="269">
        <f t="shared" si="201"/>
        <v>0</v>
      </c>
      <c r="V142" s="269">
        <f t="shared" si="201"/>
        <v>0</v>
      </c>
      <c r="W142" s="269">
        <f t="shared" si="201"/>
        <v>0</v>
      </c>
      <c r="X142" s="269">
        <f t="shared" si="201"/>
        <v>0</v>
      </c>
      <c r="Y142" s="269">
        <f t="shared" si="201"/>
        <v>0</v>
      </c>
      <c r="Z142" s="269">
        <f t="shared" si="201"/>
        <v>0</v>
      </c>
      <c r="AA142" s="269">
        <f t="shared" si="201"/>
        <v>0</v>
      </c>
      <c r="AB142" s="269">
        <f t="shared" si="201"/>
        <v>0</v>
      </c>
      <c r="AC142" s="269">
        <f t="shared" si="201"/>
        <v>0</v>
      </c>
    </row>
  </sheetData>
  <mergeCells count="9">
    <mergeCell ref="B40:C40"/>
    <mergeCell ref="B4:E4"/>
    <mergeCell ref="B3:E3"/>
    <mergeCell ref="B35:E35"/>
    <mergeCell ref="B36:E36"/>
    <mergeCell ref="B37:E37"/>
    <mergeCell ref="B38:E38"/>
    <mergeCell ref="B6:E6"/>
    <mergeCell ref="B24:E24"/>
  </mergeCells>
  <pageMargins left="0.17" right="0.16" top="0.32" bottom="0.28999999999999998" header="0.3" footer="0.3"/>
  <pageSetup scale="31"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FF0000"/>
  </sheetPr>
  <dimension ref="A1:AO221"/>
  <sheetViews>
    <sheetView zoomScale="110" zoomScaleNormal="110" workbookViewId="0">
      <pane xSplit="1" ySplit="1" topLeftCell="B2" activePane="bottomRight" state="frozen"/>
      <selection pane="topRight" activeCell="B1" sqref="B1"/>
      <selection pane="bottomLeft" activeCell="A2" sqref="A2"/>
      <selection pane="bottomRight" activeCell="G11" sqref="G11"/>
    </sheetView>
  </sheetViews>
  <sheetFormatPr defaultRowHeight="15" x14ac:dyDescent="0.25"/>
  <cols>
    <col min="1" max="1" width="35" style="108" customWidth="1"/>
    <col min="2" max="2" width="14.5703125" style="108" customWidth="1"/>
    <col min="3" max="3" width="14.140625" style="108" bestFit="1" customWidth="1"/>
    <col min="4" max="4" width="14.42578125" style="108" bestFit="1" customWidth="1"/>
    <col min="5" max="5" width="14.5703125" style="108" bestFit="1" customWidth="1"/>
    <col min="6" max="7" width="14.7109375" style="108" bestFit="1" customWidth="1"/>
    <col min="8" max="8" width="14.85546875" style="108" bestFit="1" customWidth="1"/>
    <col min="9" max="9" width="13" style="108" customWidth="1"/>
    <col min="10" max="16" width="14.85546875" style="108" bestFit="1" customWidth="1"/>
    <col min="17" max="28" width="15" style="108" customWidth="1"/>
    <col min="29" max="32" width="9.140625" style="108"/>
    <col min="33" max="33" width="10.140625" style="187" customWidth="1"/>
    <col min="34" max="34" width="8.7109375" style="108" customWidth="1"/>
    <col min="35" max="36" width="9.140625" style="108"/>
    <col min="37" max="37" width="9.140625" style="187"/>
    <col min="38" max="38" width="10.140625" style="108" customWidth="1"/>
    <col min="39" max="39" width="9.5703125" style="108" customWidth="1"/>
    <col min="40" max="40" width="10.42578125" style="108" customWidth="1"/>
    <col min="41" max="41" width="10.85546875" style="108" customWidth="1"/>
    <col min="42" max="16384" width="9.140625" style="108"/>
  </cols>
  <sheetData>
    <row r="1" spans="1:29" x14ac:dyDescent="0.25">
      <c r="A1" s="103"/>
      <c r="B1" s="104" t="s">
        <v>47</v>
      </c>
      <c r="C1" s="105" t="s">
        <v>4</v>
      </c>
      <c r="D1" s="105" t="s">
        <v>5</v>
      </c>
      <c r="E1" s="105" t="s">
        <v>6</v>
      </c>
      <c r="F1" s="105" t="s">
        <v>7</v>
      </c>
      <c r="G1" s="105" t="s">
        <v>8</v>
      </c>
      <c r="H1" s="105" t="s">
        <v>9</v>
      </c>
      <c r="I1" s="106" t="s">
        <v>48</v>
      </c>
      <c r="J1" s="104" t="s">
        <v>49</v>
      </c>
      <c r="K1" s="104" t="s">
        <v>121</v>
      </c>
      <c r="L1" s="104" t="s">
        <v>122</v>
      </c>
      <c r="M1" s="104" t="s">
        <v>123</v>
      </c>
      <c r="N1" s="104" t="s">
        <v>124</v>
      </c>
      <c r="O1" s="104" t="s">
        <v>125</v>
      </c>
      <c r="P1" s="104" t="s">
        <v>126</v>
      </c>
      <c r="Q1" s="104" t="s">
        <v>127</v>
      </c>
      <c r="R1" s="104" t="s">
        <v>196</v>
      </c>
      <c r="S1" s="107" t="s">
        <v>167</v>
      </c>
      <c r="T1" s="107" t="s">
        <v>168</v>
      </c>
      <c r="U1" s="107" t="s">
        <v>169</v>
      </c>
      <c r="V1" s="107" t="s">
        <v>170</v>
      </c>
      <c r="W1" s="107" t="s">
        <v>171</v>
      </c>
      <c r="X1" s="107" t="s">
        <v>172</v>
      </c>
      <c r="Y1" s="107" t="s">
        <v>173</v>
      </c>
      <c r="Z1" s="107" t="s">
        <v>174</v>
      </c>
      <c r="AA1" s="107" t="s">
        <v>175</v>
      </c>
      <c r="AB1" s="107" t="s">
        <v>176</v>
      </c>
      <c r="AC1" s="107" t="s">
        <v>177</v>
      </c>
    </row>
    <row r="2" spans="1:29" x14ac:dyDescent="0.25">
      <c r="A2" s="109" t="s">
        <v>119</v>
      </c>
      <c r="B2" s="107"/>
    </row>
    <row r="3" spans="1:29" x14ac:dyDescent="0.25">
      <c r="A3" s="412" t="s">
        <v>324</v>
      </c>
      <c r="B3" s="412"/>
      <c r="C3" s="412"/>
      <c r="D3" s="412"/>
      <c r="E3" s="412"/>
      <c r="F3" s="412"/>
      <c r="G3" s="412"/>
      <c r="H3" s="412"/>
      <c r="I3" s="111"/>
    </row>
    <row r="4" spans="1:29" x14ac:dyDescent="0.25">
      <c r="A4" s="412" t="s">
        <v>325</v>
      </c>
      <c r="B4" s="412"/>
      <c r="C4" s="412"/>
      <c r="D4" s="412"/>
      <c r="E4" s="412"/>
      <c r="F4" s="412"/>
      <c r="G4" s="412"/>
      <c r="H4" s="412"/>
      <c r="I4" s="111"/>
    </row>
    <row r="5" spans="1:29" ht="30.75" customHeight="1" x14ac:dyDescent="0.25">
      <c r="A5" s="413" t="s">
        <v>229</v>
      </c>
      <c r="B5" s="413"/>
      <c r="C5" s="413"/>
      <c r="D5" s="413"/>
      <c r="E5" s="413"/>
      <c r="F5" s="413"/>
      <c r="G5" s="413"/>
      <c r="H5" s="413"/>
      <c r="I5" s="111"/>
    </row>
    <row r="6" spans="1:29" x14ac:dyDescent="0.25">
      <c r="A6" s="414" t="s">
        <v>227</v>
      </c>
      <c r="B6" s="414"/>
      <c r="C6" s="414"/>
      <c r="D6" s="414"/>
      <c r="E6" s="414"/>
      <c r="F6" s="414"/>
      <c r="G6" s="414"/>
      <c r="H6" s="414"/>
      <c r="I6" s="111"/>
    </row>
    <row r="7" spans="1:29" ht="44.25" customHeight="1" x14ac:dyDescent="0.25">
      <c r="A7" s="415" t="s">
        <v>228</v>
      </c>
      <c r="B7" s="415"/>
      <c r="C7" s="415"/>
      <c r="D7" s="415"/>
      <c r="E7" s="415"/>
      <c r="F7" s="415"/>
      <c r="G7" s="415"/>
      <c r="H7" s="415"/>
      <c r="I7" s="111"/>
    </row>
    <row r="8" spans="1:29" x14ac:dyDescent="0.25">
      <c r="A8" s="110"/>
      <c r="B8" s="110"/>
      <c r="C8" s="112"/>
      <c r="D8" s="112"/>
      <c r="E8" s="112"/>
      <c r="F8" s="112"/>
      <c r="G8" s="112"/>
      <c r="H8" s="112"/>
      <c r="I8" s="111"/>
    </row>
    <row r="9" spans="1:29" x14ac:dyDescent="0.25">
      <c r="A9" s="110"/>
      <c r="B9" s="110"/>
      <c r="C9" s="112"/>
      <c r="D9" s="112"/>
      <c r="E9" s="112"/>
      <c r="F9" s="112"/>
      <c r="G9" s="112" t="s">
        <v>352</v>
      </c>
      <c r="H9" s="112"/>
      <c r="I9" s="111"/>
    </row>
    <row r="10" spans="1:29" x14ac:dyDescent="0.25">
      <c r="A10" s="107" t="s">
        <v>50</v>
      </c>
      <c r="B10" s="113" t="s">
        <v>47</v>
      </c>
      <c r="C10" s="114" t="s">
        <v>134</v>
      </c>
      <c r="D10" s="115" t="s">
        <v>135</v>
      </c>
      <c r="E10" s="115" t="s">
        <v>14</v>
      </c>
      <c r="F10" s="116"/>
      <c r="G10" s="112"/>
      <c r="H10" s="112"/>
      <c r="I10" s="111"/>
    </row>
    <row r="11" spans="1:29" x14ac:dyDescent="0.25">
      <c r="A11" s="103" t="s">
        <v>327</v>
      </c>
      <c r="B11" s="133" t="s">
        <v>51</v>
      </c>
      <c r="C11" s="210">
        <f>Assumptions!C3</f>
        <v>779.6400000000001</v>
      </c>
      <c r="D11" s="210">
        <f>Assumptions!D3</f>
        <v>2507.1849999999999</v>
      </c>
      <c r="E11" s="210">
        <f>Assumptions!E3</f>
        <v>1668.415</v>
      </c>
      <c r="F11" s="298">
        <f>+SUMPRODUCT(C11:E11,C17:E17)</f>
        <v>1650.9132500000001</v>
      </c>
      <c r="G11" s="108">
        <f>3.94*365</f>
        <v>1438.1</v>
      </c>
      <c r="H11" s="299">
        <f>+D11/H42-1</f>
        <v>2.1839841287499531</v>
      </c>
      <c r="I11" s="299">
        <f>+D11/C11-1</f>
        <v>2.2158239700374529</v>
      </c>
    </row>
    <row r="12" spans="1:29" x14ac:dyDescent="0.25">
      <c r="A12" s="103" t="s">
        <v>52</v>
      </c>
      <c r="B12" s="133" t="s">
        <v>53</v>
      </c>
      <c r="C12" s="133">
        <f>Assumptions!C4</f>
        <v>4</v>
      </c>
      <c r="D12" s="133">
        <f>Assumptions!D4</f>
        <v>3</v>
      </c>
      <c r="E12" s="133">
        <f>Assumptions!E4</f>
        <v>4</v>
      </c>
      <c r="F12" s="117"/>
    </row>
    <row r="13" spans="1:29" x14ac:dyDescent="0.25">
      <c r="A13" s="120" t="s">
        <v>77</v>
      </c>
      <c r="B13" s="133" t="s">
        <v>54</v>
      </c>
      <c r="C13" s="133">
        <f>Assumptions!C5</f>
        <v>5</v>
      </c>
      <c r="D13" s="133">
        <f>Assumptions!D5</f>
        <v>5</v>
      </c>
      <c r="E13" s="133">
        <f>Assumptions!E5</f>
        <v>5</v>
      </c>
      <c r="F13" s="117"/>
      <c r="G13" s="119"/>
    </row>
    <row r="14" spans="1:29" x14ac:dyDescent="0.25">
      <c r="A14" s="120" t="s">
        <v>178</v>
      </c>
      <c r="B14" s="134" t="s">
        <v>137</v>
      </c>
      <c r="C14" s="211">
        <f>Assumptions!C6</f>
        <v>0.01</v>
      </c>
      <c r="D14" s="211">
        <f>Assumptions!D6</f>
        <v>0.01</v>
      </c>
      <c r="E14" s="211">
        <f>Assumptions!E6</f>
        <v>0.01</v>
      </c>
      <c r="F14" s="117"/>
      <c r="G14" s="119"/>
    </row>
    <row r="15" spans="1:29" x14ac:dyDescent="0.25">
      <c r="A15" s="120" t="s">
        <v>78</v>
      </c>
      <c r="B15" s="133"/>
      <c r="C15" s="212">
        <f>Assumptions!C7</f>
        <v>0.9</v>
      </c>
      <c r="D15" s="212">
        <f>Assumptions!D7</f>
        <v>0.9</v>
      </c>
      <c r="E15" s="212">
        <f>Assumptions!E7</f>
        <v>0.9</v>
      </c>
      <c r="F15" s="117"/>
      <c r="G15" s="119"/>
    </row>
    <row r="16" spans="1:29" x14ac:dyDescent="0.25">
      <c r="A16" s="120" t="s">
        <v>79</v>
      </c>
      <c r="B16" s="133"/>
      <c r="C16" s="212">
        <f>Assumptions!C8</f>
        <v>0.9</v>
      </c>
      <c r="D16" s="212">
        <f>Assumptions!D8</f>
        <v>0.9</v>
      </c>
      <c r="E16" s="212">
        <f>Assumptions!E8</f>
        <v>0.9</v>
      </c>
      <c r="F16" s="117"/>
      <c r="G16" s="119">
        <f>514/C11</f>
        <v>0.65927864142424697</v>
      </c>
      <c r="H16" s="299">
        <f>514/G11</f>
        <v>0.35741603504624159</v>
      </c>
    </row>
    <row r="17" spans="1:28" x14ac:dyDescent="0.25">
      <c r="A17" s="120" t="s">
        <v>136</v>
      </c>
      <c r="B17" s="133" t="s">
        <v>137</v>
      </c>
      <c r="C17" s="286">
        <v>0.35</v>
      </c>
      <c r="D17" s="286">
        <v>0.35</v>
      </c>
      <c r="E17" s="286">
        <f>Assumptions!E9</f>
        <v>0.3</v>
      </c>
      <c r="F17" s="117"/>
      <c r="G17" s="299">
        <f>+G16/15</f>
        <v>4.3951909428283129E-2</v>
      </c>
      <c r="H17" s="304">
        <f>+H16/15</f>
        <v>2.3827735669749439E-2</v>
      </c>
    </row>
    <row r="18" spans="1:28" x14ac:dyDescent="0.25">
      <c r="A18" s="123"/>
      <c r="B18" s="126"/>
      <c r="C18" s="124"/>
      <c r="D18" s="124"/>
      <c r="E18" s="124"/>
      <c r="F18" s="117"/>
    </row>
    <row r="19" spans="1:28" ht="24" x14ac:dyDescent="0.25">
      <c r="A19" s="123"/>
      <c r="B19" s="126"/>
      <c r="C19" s="213" t="s">
        <v>75</v>
      </c>
      <c r="D19" s="213" t="s">
        <v>74</v>
      </c>
      <c r="E19" s="124"/>
      <c r="F19" s="117"/>
    </row>
    <row r="20" spans="1:28" x14ac:dyDescent="0.25">
      <c r="A20" s="103" t="s">
        <v>43</v>
      </c>
      <c r="B20" s="103"/>
      <c r="C20" s="128">
        <f>Assumptions!B14</f>
        <v>0.35</v>
      </c>
      <c r="D20" s="128">
        <f>Assumptions!C14</f>
        <v>0.45</v>
      </c>
      <c r="E20" s="124"/>
      <c r="F20" s="117"/>
    </row>
    <row r="21" spans="1:28" x14ac:dyDescent="0.25">
      <c r="A21" s="123"/>
      <c r="B21" s="126"/>
      <c r="C21" s="124"/>
      <c r="D21" s="124"/>
      <c r="E21" s="124"/>
      <c r="F21" s="117"/>
    </row>
    <row r="22" spans="1:28" x14ac:dyDescent="0.25">
      <c r="A22" s="123" t="s">
        <v>334</v>
      </c>
      <c r="B22" s="126" t="s">
        <v>336</v>
      </c>
      <c r="C22" s="133">
        <f>+Assumptions!C26</f>
        <v>305</v>
      </c>
      <c r="D22" s="133">
        <f>+Assumptions!D26</f>
        <v>305</v>
      </c>
      <c r="E22" s="133">
        <f>+Assumptions!E26</f>
        <v>305</v>
      </c>
      <c r="F22" s="117"/>
    </row>
    <row r="24" spans="1:28" x14ac:dyDescent="0.25">
      <c r="A24" s="129" t="s">
        <v>235</v>
      </c>
      <c r="B24" s="129" t="s">
        <v>128</v>
      </c>
      <c r="C24" s="130">
        <v>700</v>
      </c>
      <c r="D24" s="130">
        <v>640</v>
      </c>
      <c r="E24" s="130">
        <v>840</v>
      </c>
      <c r="F24" s="130">
        <v>420</v>
      </c>
      <c r="G24" s="130">
        <v>400</v>
      </c>
      <c r="H24" s="130">
        <v>0</v>
      </c>
      <c r="I24" s="130">
        <v>0</v>
      </c>
      <c r="J24" s="130">
        <v>0</v>
      </c>
      <c r="K24" s="130">
        <v>0</v>
      </c>
      <c r="L24" s="130">
        <v>0</v>
      </c>
      <c r="M24" s="130">
        <v>0</v>
      </c>
      <c r="N24" s="130">
        <v>0</v>
      </c>
      <c r="O24" s="130">
        <v>0</v>
      </c>
      <c r="P24" s="130">
        <v>0</v>
      </c>
      <c r="Q24" s="130">
        <v>0</v>
      </c>
      <c r="R24" s="130">
        <v>0</v>
      </c>
      <c r="S24" s="130">
        <v>0</v>
      </c>
      <c r="T24" s="130">
        <v>0</v>
      </c>
      <c r="U24" s="130">
        <v>0</v>
      </c>
      <c r="V24" s="130">
        <v>0</v>
      </c>
      <c r="W24" s="130">
        <v>0</v>
      </c>
      <c r="X24" s="130">
        <v>0</v>
      </c>
      <c r="Y24" s="130">
        <v>0</v>
      </c>
      <c r="Z24" s="130">
        <v>0</v>
      </c>
      <c r="AA24" s="130">
        <v>0</v>
      </c>
      <c r="AB24" s="130">
        <v>0</v>
      </c>
    </row>
    <row r="25" spans="1:28" x14ac:dyDescent="0.25">
      <c r="A25" s="129" t="s">
        <v>138</v>
      </c>
      <c r="B25" s="129" t="s">
        <v>56</v>
      </c>
      <c r="C25" s="131">
        <v>3.8</v>
      </c>
      <c r="D25" s="131">
        <v>8.6999999999999993</v>
      </c>
      <c r="E25" s="131">
        <v>16.100000000000001</v>
      </c>
      <c r="F25" s="131">
        <v>23.4</v>
      </c>
      <c r="G25" s="131">
        <v>31.9</v>
      </c>
      <c r="H25" s="131">
        <v>38.5</v>
      </c>
      <c r="I25" s="131">
        <f>H25</f>
        <v>38.5</v>
      </c>
      <c r="J25" s="131">
        <f t="shared" ref="J25:AB25" si="0">I25</f>
        <v>38.5</v>
      </c>
      <c r="K25" s="131">
        <f t="shared" si="0"/>
        <v>38.5</v>
      </c>
      <c r="L25" s="131">
        <f t="shared" si="0"/>
        <v>38.5</v>
      </c>
      <c r="M25" s="131">
        <f t="shared" si="0"/>
        <v>38.5</v>
      </c>
      <c r="N25" s="131">
        <f t="shared" si="0"/>
        <v>38.5</v>
      </c>
      <c r="O25" s="131">
        <f t="shared" si="0"/>
        <v>38.5</v>
      </c>
      <c r="P25" s="131">
        <f t="shared" si="0"/>
        <v>38.5</v>
      </c>
      <c r="Q25" s="131">
        <f t="shared" si="0"/>
        <v>38.5</v>
      </c>
      <c r="R25" s="131">
        <f t="shared" si="0"/>
        <v>38.5</v>
      </c>
      <c r="S25" s="131">
        <f t="shared" si="0"/>
        <v>38.5</v>
      </c>
      <c r="T25" s="131">
        <f t="shared" si="0"/>
        <v>38.5</v>
      </c>
      <c r="U25" s="131">
        <f t="shared" si="0"/>
        <v>38.5</v>
      </c>
      <c r="V25" s="131">
        <f t="shared" si="0"/>
        <v>38.5</v>
      </c>
      <c r="W25" s="131">
        <f t="shared" si="0"/>
        <v>38.5</v>
      </c>
      <c r="X25" s="131">
        <f t="shared" si="0"/>
        <v>38.5</v>
      </c>
      <c r="Y25" s="131">
        <f t="shared" si="0"/>
        <v>38.5</v>
      </c>
      <c r="Z25" s="131">
        <f t="shared" si="0"/>
        <v>38.5</v>
      </c>
      <c r="AA25" s="131">
        <f t="shared" si="0"/>
        <v>38.5</v>
      </c>
      <c r="AB25" s="131">
        <f t="shared" si="0"/>
        <v>38.5</v>
      </c>
    </row>
    <row r="26" spans="1:28" x14ac:dyDescent="0.25">
      <c r="A26" s="129" t="s">
        <v>46</v>
      </c>
      <c r="B26" s="129" t="s">
        <v>128</v>
      </c>
      <c r="C26" s="130">
        <f>C25*100000</f>
        <v>380000</v>
      </c>
      <c r="D26" s="130">
        <f t="shared" ref="D26:M26" si="1">D25*100000</f>
        <v>869999.99999999988</v>
      </c>
      <c r="E26" s="130">
        <f t="shared" si="1"/>
        <v>1610000.0000000002</v>
      </c>
      <c r="F26" s="130">
        <f t="shared" si="1"/>
        <v>2340000</v>
      </c>
      <c r="G26" s="130">
        <f t="shared" si="1"/>
        <v>3190000</v>
      </c>
      <c r="H26" s="130">
        <f t="shared" si="1"/>
        <v>3850000</v>
      </c>
      <c r="I26" s="130">
        <f t="shared" si="1"/>
        <v>3850000</v>
      </c>
      <c r="J26" s="130">
        <f t="shared" si="1"/>
        <v>3850000</v>
      </c>
      <c r="K26" s="130">
        <f t="shared" si="1"/>
        <v>3850000</v>
      </c>
      <c r="L26" s="130">
        <f t="shared" si="1"/>
        <v>3850000</v>
      </c>
      <c r="M26" s="130">
        <f t="shared" si="1"/>
        <v>3850000</v>
      </c>
      <c r="N26" s="130">
        <f t="shared" ref="N26:AB26" si="2">N25*100000</f>
        <v>3850000</v>
      </c>
      <c r="O26" s="130">
        <f t="shared" si="2"/>
        <v>3850000</v>
      </c>
      <c r="P26" s="130">
        <f t="shared" si="2"/>
        <v>3850000</v>
      </c>
      <c r="Q26" s="130">
        <f t="shared" si="2"/>
        <v>3850000</v>
      </c>
      <c r="R26" s="130">
        <f t="shared" si="2"/>
        <v>3850000</v>
      </c>
      <c r="S26" s="130">
        <f t="shared" si="2"/>
        <v>3850000</v>
      </c>
      <c r="T26" s="130">
        <f t="shared" si="2"/>
        <v>3850000</v>
      </c>
      <c r="U26" s="130">
        <f t="shared" si="2"/>
        <v>3850000</v>
      </c>
      <c r="V26" s="130">
        <f t="shared" si="2"/>
        <v>3850000</v>
      </c>
      <c r="W26" s="130">
        <f t="shared" si="2"/>
        <v>3850000</v>
      </c>
      <c r="X26" s="130">
        <f t="shared" si="2"/>
        <v>3850000</v>
      </c>
      <c r="Y26" s="130">
        <f t="shared" si="2"/>
        <v>3850000</v>
      </c>
      <c r="Z26" s="130">
        <f t="shared" si="2"/>
        <v>3850000</v>
      </c>
      <c r="AA26" s="130">
        <f t="shared" si="2"/>
        <v>3850000</v>
      </c>
      <c r="AB26" s="130">
        <f t="shared" si="2"/>
        <v>3850000</v>
      </c>
    </row>
    <row r="27" spans="1:28" x14ac:dyDescent="0.25">
      <c r="A27" s="129"/>
      <c r="B27" s="129"/>
      <c r="C27" s="130"/>
      <c r="D27" s="130"/>
      <c r="E27" s="130"/>
      <c r="F27" s="130"/>
      <c r="G27" s="130"/>
      <c r="H27" s="130"/>
      <c r="I27" s="132"/>
      <c r="J27" s="103"/>
      <c r="K27" s="103"/>
      <c r="L27" s="103"/>
      <c r="M27" s="103"/>
      <c r="N27" s="103"/>
      <c r="O27" s="103"/>
      <c r="P27" s="103"/>
      <c r="Q27" s="103"/>
      <c r="R27" s="103"/>
    </row>
    <row r="28" spans="1:28" ht="25.5" x14ac:dyDescent="0.25">
      <c r="A28" s="103"/>
      <c r="B28" s="103"/>
      <c r="C28" s="127" t="s">
        <v>75</v>
      </c>
      <c r="D28" s="104" t="s">
        <v>74</v>
      </c>
      <c r="E28" s="104" t="s">
        <v>45</v>
      </c>
      <c r="F28" s="130"/>
      <c r="G28" s="130"/>
      <c r="H28" s="130"/>
      <c r="I28" s="132"/>
      <c r="J28" s="103"/>
      <c r="K28" s="103"/>
      <c r="L28" s="103"/>
      <c r="M28" s="103"/>
      <c r="N28" s="103"/>
      <c r="O28" s="103"/>
      <c r="P28" s="103"/>
      <c r="Q28" s="103"/>
      <c r="R28" s="103"/>
    </row>
    <row r="29" spans="1:28" x14ac:dyDescent="0.25">
      <c r="A29" s="219" t="s">
        <v>141</v>
      </c>
      <c r="B29" s="103"/>
      <c r="C29" s="127"/>
      <c r="D29" s="104"/>
      <c r="E29" s="104"/>
      <c r="F29" s="130"/>
      <c r="G29" s="130"/>
      <c r="H29" s="130"/>
      <c r="I29" s="132"/>
      <c r="J29" s="103"/>
      <c r="K29" s="103"/>
      <c r="L29" s="103"/>
      <c r="M29" s="103"/>
      <c r="N29" s="103"/>
      <c r="O29" s="103"/>
      <c r="P29" s="103"/>
      <c r="Q29" s="103"/>
      <c r="R29" s="103"/>
    </row>
    <row r="30" spans="1:28" x14ac:dyDescent="0.25">
      <c r="A30" s="133" t="s">
        <v>138</v>
      </c>
      <c r="B30" s="103" t="s">
        <v>128</v>
      </c>
      <c r="C30" s="134">
        <f>C26*$C$17</f>
        <v>133000</v>
      </c>
      <c r="D30" s="134">
        <f t="shared" ref="D30:L30" si="3">D26*$C$17</f>
        <v>304499.99999999994</v>
      </c>
      <c r="E30" s="134">
        <f t="shared" si="3"/>
        <v>563500</v>
      </c>
      <c r="F30" s="120">
        <f t="shared" si="3"/>
        <v>819000</v>
      </c>
      <c r="G30" s="120">
        <f t="shared" si="3"/>
        <v>1116500</v>
      </c>
      <c r="H30" s="120">
        <f t="shared" si="3"/>
        <v>1347500</v>
      </c>
      <c r="I30" s="120">
        <f t="shared" si="3"/>
        <v>1347500</v>
      </c>
      <c r="J30" s="120">
        <f t="shared" si="3"/>
        <v>1347500</v>
      </c>
      <c r="K30" s="120">
        <f t="shared" si="3"/>
        <v>1347500</v>
      </c>
      <c r="L30" s="120">
        <f t="shared" si="3"/>
        <v>1347500</v>
      </c>
      <c r="M30" s="120">
        <f>M26*$C$17</f>
        <v>1347500</v>
      </c>
      <c r="N30" s="120">
        <f t="shared" ref="N30:AB30" si="4">N26*$C$17</f>
        <v>1347500</v>
      </c>
      <c r="O30" s="120">
        <f t="shared" si="4"/>
        <v>1347500</v>
      </c>
      <c r="P30" s="120">
        <f t="shared" si="4"/>
        <v>1347500</v>
      </c>
      <c r="Q30" s="120">
        <f t="shared" si="4"/>
        <v>1347500</v>
      </c>
      <c r="R30" s="120">
        <f t="shared" si="4"/>
        <v>1347500</v>
      </c>
      <c r="S30" s="120">
        <f t="shared" si="4"/>
        <v>1347500</v>
      </c>
      <c r="T30" s="120">
        <f t="shared" si="4"/>
        <v>1347500</v>
      </c>
      <c r="U30" s="120">
        <f t="shared" si="4"/>
        <v>1347500</v>
      </c>
      <c r="V30" s="120">
        <f t="shared" si="4"/>
        <v>1347500</v>
      </c>
      <c r="W30" s="120">
        <f t="shared" si="4"/>
        <v>1347500</v>
      </c>
      <c r="X30" s="120">
        <f t="shared" si="4"/>
        <v>1347500</v>
      </c>
      <c r="Y30" s="120">
        <f t="shared" si="4"/>
        <v>1347500</v>
      </c>
      <c r="Z30" s="120">
        <f t="shared" si="4"/>
        <v>1347500</v>
      </c>
      <c r="AA30" s="120">
        <f t="shared" si="4"/>
        <v>1347500</v>
      </c>
      <c r="AB30" s="120">
        <f t="shared" si="4"/>
        <v>1347500</v>
      </c>
    </row>
    <row r="31" spans="1:28" x14ac:dyDescent="0.25">
      <c r="A31" s="103" t="s">
        <v>44</v>
      </c>
      <c r="B31" s="129"/>
      <c r="C31" s="135">
        <f>280+60+((1/C20)-1)*22</f>
        <v>380.85714285714289</v>
      </c>
      <c r="D31" s="135">
        <f>280+60+((1/D20)-1)*22</f>
        <v>366.88888888888891</v>
      </c>
      <c r="E31" s="135">
        <f>C31-D31</f>
        <v>13.968253968253975</v>
      </c>
      <c r="F31" s="130"/>
      <c r="G31" s="130"/>
      <c r="H31" s="130"/>
      <c r="I31" s="132"/>
      <c r="J31" s="103"/>
      <c r="K31" s="103"/>
      <c r="L31" s="103"/>
      <c r="M31" s="103"/>
      <c r="N31" s="103"/>
      <c r="O31" s="103"/>
      <c r="P31" s="103"/>
      <c r="Q31" s="103"/>
      <c r="R31" s="103"/>
    </row>
    <row r="32" spans="1:28" x14ac:dyDescent="0.25">
      <c r="A32" s="103"/>
      <c r="B32" s="129"/>
      <c r="C32" s="133"/>
      <c r="D32" s="135"/>
      <c r="E32" s="135"/>
      <c r="F32" s="130"/>
      <c r="G32" s="130"/>
      <c r="H32" s="130"/>
      <c r="I32" s="132"/>
      <c r="J32" s="103"/>
      <c r="K32" s="103"/>
      <c r="L32" s="103"/>
      <c r="M32" s="103"/>
      <c r="N32" s="103"/>
      <c r="O32" s="103"/>
      <c r="P32" s="103"/>
      <c r="Q32" s="103"/>
      <c r="R32" s="103"/>
    </row>
    <row r="33" spans="1:28" x14ac:dyDescent="0.25">
      <c r="A33" s="220" t="s">
        <v>139</v>
      </c>
      <c r="B33" s="129"/>
      <c r="C33" s="133"/>
      <c r="D33" s="135"/>
      <c r="E33" s="135"/>
      <c r="F33" s="130"/>
      <c r="G33" s="130"/>
      <c r="H33" s="130"/>
      <c r="I33" s="132"/>
      <c r="J33" s="103"/>
      <c r="K33" s="103"/>
      <c r="L33" s="103"/>
      <c r="M33" s="103"/>
      <c r="N33" s="103"/>
      <c r="O33" s="103"/>
      <c r="P33" s="103"/>
      <c r="Q33" s="103"/>
      <c r="R33" s="103"/>
    </row>
    <row r="34" spans="1:28" x14ac:dyDescent="0.25">
      <c r="A34" s="123" t="s">
        <v>198</v>
      </c>
      <c r="B34" s="103" t="s">
        <v>51</v>
      </c>
      <c r="C34" s="131">
        <f>C11/C22</f>
        <v>2.5561967213114758</v>
      </c>
      <c r="D34" s="103"/>
      <c r="E34" s="103"/>
      <c r="F34" s="103"/>
      <c r="G34" s="103"/>
      <c r="H34" s="103"/>
      <c r="I34" s="103"/>
      <c r="J34" s="103"/>
      <c r="K34" s="103"/>
      <c r="L34" s="103"/>
      <c r="M34" s="103"/>
      <c r="N34" s="103"/>
      <c r="O34" s="103"/>
      <c r="P34" s="103"/>
      <c r="Q34" s="103"/>
      <c r="R34" s="103"/>
    </row>
    <row r="35" spans="1:28" ht="45" x14ac:dyDescent="0.25">
      <c r="A35" s="123" t="s">
        <v>199</v>
      </c>
      <c r="B35" s="103" t="s">
        <v>51</v>
      </c>
      <c r="C35" s="131">
        <f>C34*E31</f>
        <v>35.705604996096824</v>
      </c>
      <c r="D35" s="103"/>
      <c r="E35" s="103"/>
      <c r="F35" s="130"/>
      <c r="G35" s="103"/>
      <c r="H35" s="103"/>
      <c r="I35" s="103"/>
      <c r="J35" s="103"/>
      <c r="K35" s="103"/>
      <c r="L35" s="103"/>
      <c r="M35" s="103"/>
      <c r="N35" s="103"/>
      <c r="O35" s="103"/>
      <c r="P35" s="103"/>
      <c r="Q35" s="103"/>
      <c r="R35" s="103"/>
    </row>
    <row r="36" spans="1:28" x14ac:dyDescent="0.25">
      <c r="A36" s="120" t="s">
        <v>80</v>
      </c>
      <c r="B36" s="103" t="s">
        <v>54</v>
      </c>
      <c r="C36" s="103"/>
      <c r="D36" s="130">
        <f>C30*$D$20*$C$15*365/$D$31</f>
        <v>53587.681708055723</v>
      </c>
      <c r="E36" s="130">
        <f t="shared" ref="E36:AB36" si="5">(D30*$D$20*$C$15*365/$D$31)+(C30*$D$20*$C$15*($D$31-365)/$D$31)</f>
        <v>122964.90536038761</v>
      </c>
      <c r="F36" s="130">
        <f t="shared" si="5"/>
        <v>227677.45911568747</v>
      </c>
      <c r="G36" s="130">
        <f t="shared" si="5"/>
        <v>331162.25696547545</v>
      </c>
      <c r="H36" s="130">
        <f t="shared" si="5"/>
        <v>451562.18276801938</v>
      </c>
      <c r="I36" s="130">
        <f t="shared" si="5"/>
        <v>545255.84191399161</v>
      </c>
      <c r="J36" s="130">
        <f t="shared" si="5"/>
        <v>545737.5</v>
      </c>
      <c r="K36" s="130">
        <f t="shared" si="5"/>
        <v>545737.5</v>
      </c>
      <c r="L36" s="130">
        <f t="shared" si="5"/>
        <v>545737.5</v>
      </c>
      <c r="M36" s="130">
        <f t="shared" si="5"/>
        <v>545737.5</v>
      </c>
      <c r="N36" s="130">
        <f t="shared" si="5"/>
        <v>545737.5</v>
      </c>
      <c r="O36" s="130">
        <f t="shared" si="5"/>
        <v>545737.5</v>
      </c>
      <c r="P36" s="130">
        <f t="shared" si="5"/>
        <v>545737.5</v>
      </c>
      <c r="Q36" s="130">
        <f t="shared" si="5"/>
        <v>545737.5</v>
      </c>
      <c r="R36" s="130">
        <f t="shared" si="5"/>
        <v>545737.5</v>
      </c>
      <c r="S36" s="130">
        <f t="shared" si="5"/>
        <v>545737.5</v>
      </c>
      <c r="T36" s="130">
        <f t="shared" si="5"/>
        <v>545737.5</v>
      </c>
      <c r="U36" s="130">
        <f t="shared" si="5"/>
        <v>545737.5</v>
      </c>
      <c r="V36" s="130">
        <f t="shared" si="5"/>
        <v>545737.5</v>
      </c>
      <c r="W36" s="130">
        <f t="shared" si="5"/>
        <v>545737.5</v>
      </c>
      <c r="X36" s="130">
        <f t="shared" si="5"/>
        <v>545737.5</v>
      </c>
      <c r="Y36" s="130">
        <f t="shared" si="5"/>
        <v>545737.5</v>
      </c>
      <c r="Z36" s="130">
        <f t="shared" si="5"/>
        <v>545737.5</v>
      </c>
      <c r="AA36" s="130">
        <f t="shared" si="5"/>
        <v>545737.5</v>
      </c>
      <c r="AB36" s="130">
        <f t="shared" si="5"/>
        <v>545737.5</v>
      </c>
    </row>
    <row r="37" spans="1:28" ht="38.25" x14ac:dyDescent="0.25">
      <c r="A37" s="136" t="s">
        <v>200</v>
      </c>
      <c r="B37" s="137" t="s">
        <v>201</v>
      </c>
      <c r="C37" s="104"/>
      <c r="D37" s="138">
        <f>D36*$C$35*1.03/1000/1000</f>
        <v>1.9707820135961329</v>
      </c>
      <c r="E37" s="138">
        <f t="shared" ref="E37:AB37" si="6">E36*$C$35*1.03/1000/1000</f>
        <v>4.5222524293558406</v>
      </c>
      <c r="F37" s="138">
        <f t="shared" si="6"/>
        <v>8.3732422643507132</v>
      </c>
      <c r="G37" s="138">
        <f t="shared" si="6"/>
        <v>12.179079198929937</v>
      </c>
      <c r="H37" s="138">
        <f t="shared" si="6"/>
        <v>16.606999956962884</v>
      </c>
      <c r="I37" s="138">
        <f t="shared" si="6"/>
        <v>20.052750404591055</v>
      </c>
      <c r="J37" s="138">
        <f t="shared" si="6"/>
        <v>20.070464234754116</v>
      </c>
      <c r="K37" s="138">
        <f t="shared" si="6"/>
        <v>20.070464234754116</v>
      </c>
      <c r="L37" s="138">
        <f t="shared" si="6"/>
        <v>20.070464234754116</v>
      </c>
      <c r="M37" s="138">
        <f t="shared" si="6"/>
        <v>20.070464234754116</v>
      </c>
      <c r="N37" s="138">
        <f t="shared" si="6"/>
        <v>20.070464234754116</v>
      </c>
      <c r="O37" s="138">
        <f t="shared" si="6"/>
        <v>20.070464234754116</v>
      </c>
      <c r="P37" s="138">
        <f t="shared" si="6"/>
        <v>20.070464234754116</v>
      </c>
      <c r="Q37" s="138">
        <f t="shared" si="6"/>
        <v>20.070464234754116</v>
      </c>
      <c r="R37" s="138">
        <f t="shared" si="6"/>
        <v>20.070464234754116</v>
      </c>
      <c r="S37" s="138">
        <f t="shared" si="6"/>
        <v>20.070464234754116</v>
      </c>
      <c r="T37" s="138">
        <f t="shared" si="6"/>
        <v>20.070464234754116</v>
      </c>
      <c r="U37" s="138">
        <f t="shared" si="6"/>
        <v>20.070464234754116</v>
      </c>
      <c r="V37" s="138">
        <f t="shared" si="6"/>
        <v>20.070464234754116</v>
      </c>
      <c r="W37" s="138">
        <f t="shared" si="6"/>
        <v>20.070464234754116</v>
      </c>
      <c r="X37" s="138">
        <f t="shared" si="6"/>
        <v>20.070464234754116</v>
      </c>
      <c r="Y37" s="138">
        <f t="shared" si="6"/>
        <v>20.070464234754116</v>
      </c>
      <c r="Z37" s="138">
        <f t="shared" si="6"/>
        <v>20.070464234754116</v>
      </c>
      <c r="AA37" s="138">
        <f t="shared" si="6"/>
        <v>20.070464234754116</v>
      </c>
      <c r="AB37" s="138">
        <f t="shared" si="6"/>
        <v>20.070464234754116</v>
      </c>
    </row>
    <row r="38" spans="1:28" x14ac:dyDescent="0.25">
      <c r="A38" s="120"/>
      <c r="B38" s="103"/>
      <c r="C38" s="103"/>
      <c r="D38" s="103"/>
      <c r="E38" s="103"/>
      <c r="F38" s="103"/>
      <c r="G38" s="103"/>
      <c r="H38" s="103"/>
      <c r="I38" s="103"/>
      <c r="J38" s="103"/>
      <c r="K38" s="103"/>
      <c r="L38" s="103"/>
      <c r="M38" s="103"/>
      <c r="N38" s="103"/>
      <c r="O38" s="103"/>
      <c r="P38" s="103"/>
      <c r="Q38" s="103"/>
      <c r="R38" s="103"/>
    </row>
    <row r="39" spans="1:28" x14ac:dyDescent="0.25">
      <c r="A39" s="221" t="s">
        <v>140</v>
      </c>
      <c r="B39" s="103"/>
      <c r="C39" s="103"/>
      <c r="D39" s="103"/>
      <c r="E39" s="103"/>
      <c r="F39" s="103"/>
      <c r="G39" s="103"/>
      <c r="H39" s="103"/>
      <c r="I39" s="103"/>
      <c r="J39" s="103"/>
      <c r="K39" s="103"/>
      <c r="L39" s="103"/>
      <c r="M39" s="103"/>
      <c r="N39" s="103"/>
      <c r="O39" s="103"/>
      <c r="P39" s="103"/>
      <c r="Q39" s="103"/>
      <c r="R39" s="103"/>
    </row>
    <row r="40" spans="1:28" x14ac:dyDescent="0.25">
      <c r="A40" s="120" t="s">
        <v>155</v>
      </c>
      <c r="B40" s="103" t="s">
        <v>56</v>
      </c>
      <c r="C40" s="103"/>
      <c r="D40" s="131">
        <f>D36/2/100000*$C$16*Assumptions!$C$10</f>
        <v>0.12057228384312538</v>
      </c>
      <c r="E40" s="131">
        <f>E36/2/100000*$C$16*Assumptions!$C$10</f>
        <v>0.27667103706087209</v>
      </c>
      <c r="F40" s="131">
        <f>F36/2/100000*$C$16*Assumptions!$C$10</f>
        <v>0.51227428301029676</v>
      </c>
      <c r="G40" s="131">
        <f>G36/2/100000*$C$16*Assumptions!$C$10</f>
        <v>0.7451150781723197</v>
      </c>
      <c r="H40" s="131">
        <f>H36/2/100000*$C$16*Assumptions!$C$10</f>
        <v>1.0160149112280437</v>
      </c>
      <c r="I40" s="131">
        <f>I36/2/100000*$C$16*Assumptions!$C$10</f>
        <v>1.2268256443064811</v>
      </c>
      <c r="J40" s="131">
        <f>J36/2/100000*$C$16*Assumptions!$C$10</f>
        <v>1.2279093750000001</v>
      </c>
      <c r="K40" s="131">
        <f>K36/2/100000*$C$16*Assumptions!$C$10</f>
        <v>1.2279093750000001</v>
      </c>
      <c r="L40" s="131">
        <f>L36/2/100000*$C$16*Assumptions!$C$10</f>
        <v>1.2279093750000001</v>
      </c>
      <c r="M40" s="131">
        <f>M36/2/100000*$C$16*Assumptions!$C$10</f>
        <v>1.2279093750000001</v>
      </c>
      <c r="N40" s="131">
        <f>N36/2/100000*$C$16*Assumptions!$C$10</f>
        <v>1.2279093750000001</v>
      </c>
      <c r="O40" s="131">
        <f>O36/2/100000*$C$16*Assumptions!$C$10</f>
        <v>1.2279093750000001</v>
      </c>
      <c r="P40" s="131">
        <f>P36/2/100000*$C$16*Assumptions!$C$10</f>
        <v>1.2279093750000001</v>
      </c>
      <c r="Q40" s="131">
        <f>Q36/2/100000*$C$16*Assumptions!$C$10</f>
        <v>1.2279093750000001</v>
      </c>
      <c r="R40" s="131">
        <f>R36/2/100000*$C$16*Assumptions!$C$10</f>
        <v>1.2279093750000001</v>
      </c>
      <c r="S40" s="131">
        <f>S36/2/100000*$C$16*Assumptions!$C$10</f>
        <v>1.2279093750000001</v>
      </c>
      <c r="T40" s="131">
        <f>T36/2/100000*$C$16*Assumptions!$C$10</f>
        <v>1.2279093750000001</v>
      </c>
      <c r="U40" s="131">
        <f>U36/2/100000*$C$16*Assumptions!$C$10</f>
        <v>1.2279093750000001</v>
      </c>
      <c r="V40" s="131">
        <f>V36/2/100000*$C$16*Assumptions!$C$10</f>
        <v>1.2279093750000001</v>
      </c>
      <c r="W40" s="131">
        <f>W36/2/100000*$C$16*Assumptions!$C$10</f>
        <v>1.2279093750000001</v>
      </c>
      <c r="X40" s="131">
        <f>X36/2/100000*$C$16*Assumptions!$C$10</f>
        <v>1.2279093750000001</v>
      </c>
      <c r="Y40" s="131">
        <f>Y36/2/100000*$C$16*Assumptions!$C$10</f>
        <v>1.2279093750000001</v>
      </c>
      <c r="Z40" s="131">
        <f>Z36/2/100000*$C$16*Assumptions!$C$10</f>
        <v>1.2279093750000001</v>
      </c>
      <c r="AA40" s="131">
        <f>AA36/2/100000*$C$16*Assumptions!$C$10</f>
        <v>1.2279093750000001</v>
      </c>
      <c r="AB40" s="131">
        <f>AB36/2/100000*$C$16*Assumptions!$C$10</f>
        <v>1.2279093750000001</v>
      </c>
    </row>
    <row r="41" spans="1:28" ht="15.75" thickBot="1" x14ac:dyDescent="0.3">
      <c r="A41" s="120" t="s">
        <v>156</v>
      </c>
      <c r="B41" s="103" t="s">
        <v>56</v>
      </c>
      <c r="C41" s="289"/>
      <c r="D41" s="131">
        <f>D36/2/100000*$C$16*Assumptions!$C$11</f>
        <v>0.12057228384312538</v>
      </c>
      <c r="E41" s="131">
        <f>E36/2/100000*$C$16*Assumptions!$C$11</f>
        <v>0.27667103706087209</v>
      </c>
      <c r="F41" s="131">
        <f>F36/2/100000*$C$16*Assumptions!$C$11</f>
        <v>0.51227428301029676</v>
      </c>
      <c r="G41" s="131">
        <f>G36/2/100000*$C$16*Assumptions!$C$11</f>
        <v>0.7451150781723197</v>
      </c>
      <c r="H41" s="131">
        <f>H36/2/100000*$C$16*Assumptions!$C$11</f>
        <v>1.0160149112280437</v>
      </c>
      <c r="I41" s="131">
        <f>I36/2/100000*$C$16*Assumptions!$C$11</f>
        <v>1.2268256443064811</v>
      </c>
      <c r="J41" s="131">
        <f>J36/2/100000*$C$16*Assumptions!$C$11</f>
        <v>1.2279093750000001</v>
      </c>
      <c r="K41" s="131">
        <f>K36/2/100000*$C$16*Assumptions!$C$11</f>
        <v>1.2279093750000001</v>
      </c>
      <c r="L41" s="131">
        <f>L36/2/100000*$C$16*Assumptions!$C$11</f>
        <v>1.2279093750000001</v>
      </c>
      <c r="M41" s="131">
        <f>M36/2/100000*$C$16*Assumptions!$C$11</f>
        <v>1.2279093750000001</v>
      </c>
      <c r="N41" s="131">
        <f>N36/2/100000*$C$16*Assumptions!$C$11</f>
        <v>1.2279093750000001</v>
      </c>
      <c r="O41" s="131">
        <f>O36/2/100000*$C$16*Assumptions!$C$11</f>
        <v>1.2279093750000001</v>
      </c>
      <c r="P41" s="131">
        <f>P36/2/100000*$C$16*Assumptions!$C$11</f>
        <v>1.2279093750000001</v>
      </c>
      <c r="Q41" s="131">
        <f>Q36/2/100000*$C$16*Assumptions!$C$11</f>
        <v>1.2279093750000001</v>
      </c>
      <c r="R41" s="131">
        <f>R36/2/100000*$C$16*Assumptions!$C$11</f>
        <v>1.2279093750000001</v>
      </c>
      <c r="S41" s="131">
        <f>S36/2/100000*$C$16*Assumptions!$C$11</f>
        <v>1.2279093750000001</v>
      </c>
      <c r="T41" s="131">
        <f>T36/2/100000*$C$16*Assumptions!$C$11</f>
        <v>1.2279093750000001</v>
      </c>
      <c r="U41" s="131">
        <f>U36/2/100000*$C$16*Assumptions!$C$11</f>
        <v>1.2279093750000001</v>
      </c>
      <c r="V41" s="131">
        <f>V36/2/100000*$C$16*Assumptions!$C$11</f>
        <v>1.2279093750000001</v>
      </c>
      <c r="W41" s="131">
        <f>W36/2/100000*$C$16*Assumptions!$C$11</f>
        <v>1.2279093750000001</v>
      </c>
      <c r="X41" s="131">
        <f>X36/2/100000*$C$16*Assumptions!$C$11</f>
        <v>1.2279093750000001</v>
      </c>
      <c r="Y41" s="131">
        <f>Y36/2/100000*$C$16*Assumptions!$C$11</f>
        <v>1.2279093750000001</v>
      </c>
      <c r="Z41" s="131">
        <f>Z36/2/100000*$C$16*Assumptions!$C$11</f>
        <v>1.2279093750000001</v>
      </c>
      <c r="AA41" s="131">
        <f>AA36/2/100000*$C$16*Assumptions!$C$11</f>
        <v>1.2279093750000001</v>
      </c>
      <c r="AB41" s="131">
        <f>AB36/2/100000*$C$16*Assumptions!$C$11</f>
        <v>1.2279093750000001</v>
      </c>
    </row>
    <row r="42" spans="1:28" ht="15.75" thickBot="1" x14ac:dyDescent="0.3">
      <c r="A42" s="120" t="s">
        <v>350</v>
      </c>
      <c r="B42" s="287"/>
      <c r="C42" s="291">
        <v>2E-3</v>
      </c>
      <c r="D42" s="288"/>
      <c r="E42" s="131"/>
      <c r="F42" s="131"/>
      <c r="G42" s="131"/>
      <c r="H42" s="131">
        <f>+C11*(1+$C$42*5)</f>
        <v>787.43640000000016</v>
      </c>
      <c r="I42" s="131">
        <f>+H42*(1+$C$42)</f>
        <v>789.01127280000014</v>
      </c>
      <c r="J42" s="131">
        <f>+I42*(1+$C$42)</f>
        <v>790.58929534560014</v>
      </c>
      <c r="K42" s="131">
        <f t="shared" ref="K42:AB42" si="7">+J42*(1+$C$42)</f>
        <v>792.17047393629139</v>
      </c>
      <c r="L42" s="131">
        <f t="shared" si="7"/>
        <v>793.75481488416392</v>
      </c>
      <c r="M42" s="131">
        <f t="shared" si="7"/>
        <v>795.34232451393223</v>
      </c>
      <c r="N42" s="131">
        <f t="shared" si="7"/>
        <v>796.93300916296005</v>
      </c>
      <c r="O42" s="131">
        <f t="shared" si="7"/>
        <v>798.52687518128596</v>
      </c>
      <c r="P42" s="131">
        <f t="shared" si="7"/>
        <v>800.12392893164849</v>
      </c>
      <c r="Q42" s="131">
        <f t="shared" si="7"/>
        <v>801.72417678951183</v>
      </c>
      <c r="R42" s="131">
        <f t="shared" si="7"/>
        <v>803.32762514309081</v>
      </c>
      <c r="S42" s="131">
        <f t="shared" si="7"/>
        <v>804.93428039337698</v>
      </c>
      <c r="T42" s="131">
        <f t="shared" si="7"/>
        <v>806.54414895416369</v>
      </c>
      <c r="U42" s="131">
        <f t="shared" si="7"/>
        <v>808.15723725207204</v>
      </c>
      <c r="V42" s="131">
        <f t="shared" si="7"/>
        <v>809.77355172657622</v>
      </c>
      <c r="W42" s="131">
        <f t="shared" si="7"/>
        <v>811.39309883002932</v>
      </c>
      <c r="X42" s="131">
        <f t="shared" si="7"/>
        <v>813.01588502768936</v>
      </c>
      <c r="Y42" s="131">
        <f t="shared" si="7"/>
        <v>814.64191679774478</v>
      </c>
      <c r="Z42" s="131">
        <f t="shared" si="7"/>
        <v>816.27120063134032</v>
      </c>
      <c r="AA42" s="131">
        <f t="shared" si="7"/>
        <v>817.90374303260296</v>
      </c>
      <c r="AB42" s="131">
        <f t="shared" si="7"/>
        <v>819.53955051866819</v>
      </c>
    </row>
    <row r="43" spans="1:28" x14ac:dyDescent="0.25">
      <c r="A43" s="214" t="s">
        <v>182</v>
      </c>
      <c r="B43" s="103" t="s">
        <v>56</v>
      </c>
      <c r="C43" s="290"/>
      <c r="D43" s="131"/>
      <c r="E43" s="131"/>
      <c r="F43" s="131"/>
      <c r="G43" s="131"/>
      <c r="H43" s="131">
        <f>D40</f>
        <v>0.12057228384312538</v>
      </c>
      <c r="I43" s="131">
        <f>SUM(D40:E40)</f>
        <v>0.3972433209039975</v>
      </c>
      <c r="J43" s="131">
        <f>SUM(D40:F40)</f>
        <v>0.90951760391429426</v>
      </c>
      <c r="K43" s="131">
        <f>SUM(D40:G40)</f>
        <v>1.654632682086614</v>
      </c>
      <c r="L43" s="131">
        <f>SUM(D40:H40)</f>
        <v>2.6706475933146576</v>
      </c>
      <c r="M43" s="131">
        <f t="shared" ref="M43:R43" si="8">SUM(E40:I40)</f>
        <v>3.7769009537780134</v>
      </c>
      <c r="N43" s="131">
        <f t="shared" si="8"/>
        <v>4.7281392917171416</v>
      </c>
      <c r="O43" s="131">
        <f t="shared" si="8"/>
        <v>5.4437743837068453</v>
      </c>
      <c r="P43" s="131">
        <f t="shared" si="8"/>
        <v>5.9265686805345252</v>
      </c>
      <c r="Q43" s="131">
        <f t="shared" si="8"/>
        <v>6.1384631443064821</v>
      </c>
      <c r="R43" s="131">
        <f t="shared" si="8"/>
        <v>6.1395468750000006</v>
      </c>
      <c r="S43" s="131">
        <f t="shared" ref="S43:AB43" si="9">SUM(K40:O40)</f>
        <v>6.1395468750000006</v>
      </c>
      <c r="T43" s="131">
        <f t="shared" si="9"/>
        <v>6.1395468750000006</v>
      </c>
      <c r="U43" s="131">
        <f t="shared" si="9"/>
        <v>6.1395468750000006</v>
      </c>
      <c r="V43" s="131">
        <f t="shared" si="9"/>
        <v>6.1395468750000006</v>
      </c>
      <c r="W43" s="131">
        <f t="shared" si="9"/>
        <v>6.1395468750000006</v>
      </c>
      <c r="X43" s="131">
        <f t="shared" si="9"/>
        <v>6.1395468750000006</v>
      </c>
      <c r="Y43" s="131">
        <f t="shared" si="9"/>
        <v>6.1395468750000006</v>
      </c>
      <c r="Z43" s="131">
        <f t="shared" si="9"/>
        <v>6.1395468750000006</v>
      </c>
      <c r="AA43" s="131">
        <f t="shared" si="9"/>
        <v>6.1395468750000006</v>
      </c>
      <c r="AB43" s="131">
        <f t="shared" si="9"/>
        <v>6.1395468750000006</v>
      </c>
    </row>
    <row r="44" spans="1:28" ht="30" x14ac:dyDescent="0.25">
      <c r="A44" s="120" t="s">
        <v>180</v>
      </c>
      <c r="B44" s="103" t="s">
        <v>51</v>
      </c>
      <c r="C44" s="103"/>
      <c r="D44" s="131"/>
      <c r="E44" s="131"/>
      <c r="F44" s="131"/>
      <c r="G44" s="131"/>
      <c r="H44" s="131">
        <f>(1+$C$14*5)*C11</f>
        <v>818.62200000000018</v>
      </c>
      <c r="I44" s="131">
        <f>(1+$C$14)*H44</f>
        <v>826.80822000000023</v>
      </c>
      <c r="J44" s="131">
        <f t="shared" ref="J44:AB44" si="10">(1+$C$14)*I44</f>
        <v>835.07630220000021</v>
      </c>
      <c r="K44" s="131">
        <f t="shared" si="10"/>
        <v>843.42706522200024</v>
      </c>
      <c r="L44" s="131">
        <f t="shared" si="10"/>
        <v>851.86133587422023</v>
      </c>
      <c r="M44" s="131">
        <f t="shared" si="10"/>
        <v>860.37994923296242</v>
      </c>
      <c r="N44" s="131">
        <f t="shared" si="10"/>
        <v>868.983748725292</v>
      </c>
      <c r="O44" s="131">
        <f t="shared" si="10"/>
        <v>877.67358621254493</v>
      </c>
      <c r="P44" s="131">
        <f t="shared" si="10"/>
        <v>886.45032207467034</v>
      </c>
      <c r="Q44" s="131">
        <f t="shared" si="10"/>
        <v>895.31482529541699</v>
      </c>
      <c r="R44" s="131">
        <f t="shared" si="10"/>
        <v>904.26797354837117</v>
      </c>
      <c r="S44" s="131">
        <f t="shared" si="10"/>
        <v>913.31065328385489</v>
      </c>
      <c r="T44" s="131">
        <f t="shared" si="10"/>
        <v>922.4437598166935</v>
      </c>
      <c r="U44" s="131">
        <f t="shared" si="10"/>
        <v>931.6681974148604</v>
      </c>
      <c r="V44" s="131">
        <f t="shared" si="10"/>
        <v>940.98487938900905</v>
      </c>
      <c r="W44" s="131">
        <f t="shared" si="10"/>
        <v>950.39472818289914</v>
      </c>
      <c r="X44" s="131">
        <f t="shared" si="10"/>
        <v>959.89867546472817</v>
      </c>
      <c r="Y44" s="131">
        <f t="shared" si="10"/>
        <v>969.49766221937546</v>
      </c>
      <c r="Z44" s="131">
        <f t="shared" si="10"/>
        <v>979.19263884156919</v>
      </c>
      <c r="AA44" s="131">
        <f t="shared" si="10"/>
        <v>988.98456522998492</v>
      </c>
      <c r="AB44" s="131">
        <f t="shared" si="10"/>
        <v>998.87441088228479</v>
      </c>
    </row>
    <row r="45" spans="1:28" ht="45" x14ac:dyDescent="0.25">
      <c r="A45" s="120" t="s">
        <v>181</v>
      </c>
      <c r="B45" s="103" t="s">
        <v>51</v>
      </c>
      <c r="C45" s="103"/>
      <c r="D45" s="131"/>
      <c r="E45" s="131"/>
      <c r="F45" s="131"/>
      <c r="G45" s="131"/>
      <c r="H45" s="131">
        <f>+H44-H42</f>
        <v>31.185600000000022</v>
      </c>
      <c r="I45" s="131">
        <f>+I44-I42</f>
        <v>37.796947200000091</v>
      </c>
      <c r="J45" s="131">
        <f t="shared" ref="J45:AB45" si="11">+J44-J42</f>
        <v>44.487006854400079</v>
      </c>
      <c r="K45" s="131">
        <f t="shared" si="11"/>
        <v>51.256591285708851</v>
      </c>
      <c r="L45" s="131">
        <f t="shared" si="11"/>
        <v>58.10652099005631</v>
      </c>
      <c r="M45" s="131">
        <f t="shared" si="11"/>
        <v>65.037624719030191</v>
      </c>
      <c r="N45" s="131">
        <f t="shared" si="11"/>
        <v>72.050739562331955</v>
      </c>
      <c r="O45" s="131">
        <f t="shared" si="11"/>
        <v>79.146711031258974</v>
      </c>
      <c r="P45" s="131">
        <f t="shared" si="11"/>
        <v>86.326393143021846</v>
      </c>
      <c r="Q45" s="131">
        <f t="shared" si="11"/>
        <v>93.590648505905165</v>
      </c>
      <c r="R45" s="131">
        <f t="shared" si="11"/>
        <v>100.94034840528036</v>
      </c>
      <c r="S45" s="131">
        <f t="shared" si="11"/>
        <v>108.37637289047791</v>
      </c>
      <c r="T45" s="131">
        <f t="shared" si="11"/>
        <v>115.89961086252981</v>
      </c>
      <c r="U45" s="131">
        <f t="shared" si="11"/>
        <v>123.51096016278836</v>
      </c>
      <c r="V45" s="131">
        <f t="shared" si="11"/>
        <v>131.21132766243284</v>
      </c>
      <c r="W45" s="131">
        <f t="shared" si="11"/>
        <v>139.00162935286983</v>
      </c>
      <c r="X45" s="131">
        <f t="shared" si="11"/>
        <v>146.88279043703881</v>
      </c>
      <c r="Y45" s="131">
        <f t="shared" si="11"/>
        <v>154.85574542163067</v>
      </c>
      <c r="Z45" s="131">
        <f t="shared" si="11"/>
        <v>162.92143821022887</v>
      </c>
      <c r="AA45" s="131">
        <f t="shared" si="11"/>
        <v>171.08082219738196</v>
      </c>
      <c r="AB45" s="131">
        <f t="shared" si="11"/>
        <v>179.3348603636166</v>
      </c>
    </row>
    <row r="46" spans="1:28" x14ac:dyDescent="0.25">
      <c r="A46" s="103"/>
      <c r="B46" s="103"/>
      <c r="C46" s="103"/>
      <c r="D46" s="131"/>
      <c r="E46" s="131"/>
      <c r="F46" s="131"/>
      <c r="G46" s="131"/>
      <c r="H46" s="131"/>
      <c r="I46" s="131"/>
      <c r="J46" s="131"/>
      <c r="K46" s="131"/>
      <c r="L46" s="131"/>
      <c r="M46" s="131"/>
      <c r="N46" s="131"/>
      <c r="O46" s="131"/>
      <c r="P46" s="131"/>
      <c r="Q46" s="131"/>
      <c r="R46" s="131"/>
      <c r="S46" s="131"/>
      <c r="T46" s="131"/>
      <c r="U46" s="131"/>
      <c r="V46" s="131"/>
      <c r="W46" s="131"/>
      <c r="X46" s="131"/>
      <c r="Y46" s="131"/>
      <c r="Z46" s="131"/>
      <c r="AA46" s="131"/>
      <c r="AB46" s="131"/>
    </row>
    <row r="47" spans="1:28" x14ac:dyDescent="0.25">
      <c r="A47" s="103" t="s">
        <v>183</v>
      </c>
      <c r="B47" s="103"/>
      <c r="C47" s="103"/>
      <c r="D47" s="131"/>
      <c r="E47" s="131"/>
      <c r="F47" s="131"/>
      <c r="G47" s="131"/>
      <c r="H47" s="131"/>
      <c r="I47" s="131"/>
      <c r="J47" s="131"/>
      <c r="K47" s="131"/>
      <c r="L47" s="131"/>
      <c r="M47" s="131"/>
      <c r="N47" s="131"/>
      <c r="O47" s="131"/>
      <c r="P47" s="131"/>
      <c r="Q47" s="131"/>
      <c r="R47" s="131"/>
      <c r="S47" s="131"/>
      <c r="T47" s="131"/>
      <c r="U47" s="131"/>
      <c r="V47" s="131"/>
      <c r="W47" s="131"/>
      <c r="X47" s="131"/>
      <c r="Y47" s="131"/>
      <c r="Z47" s="131"/>
      <c r="AA47" s="131"/>
      <c r="AB47" s="131"/>
    </row>
    <row r="48" spans="1:28" x14ac:dyDescent="0.25">
      <c r="A48" s="103" t="s">
        <v>184</v>
      </c>
      <c r="B48" s="103" t="s">
        <v>51</v>
      </c>
      <c r="C48" s="103"/>
      <c r="D48" s="131"/>
      <c r="E48" s="131"/>
      <c r="F48" s="131"/>
      <c r="G48" s="131"/>
      <c r="H48" s="130">
        <f t="shared" ref="H48:AB48" si="12">H$45*D$40*100000</f>
        <v>376011.90150181734</v>
      </c>
      <c r="I48" s="130">
        <f t="shared" si="12"/>
        <v>1045732.0579559051</v>
      </c>
      <c r="J48" s="130">
        <f t="shared" si="12"/>
        <v>2278954.9539611959</v>
      </c>
      <c r="K48" s="130">
        <f t="shared" si="12"/>
        <v>3819205.9022697592</v>
      </c>
      <c r="L48" s="130">
        <f t="shared" si="12"/>
        <v>5903709.1765482519</v>
      </c>
      <c r="M48" s="130">
        <f t="shared" si="12"/>
        <v>7978982.5850087339</v>
      </c>
      <c r="N48" s="130">
        <f t="shared" si="12"/>
        <v>8847177.8584270813</v>
      </c>
      <c r="O48" s="130">
        <f t="shared" si="12"/>
        <v>9718498.847569881</v>
      </c>
      <c r="P48" s="130">
        <f t="shared" si="12"/>
        <v>10600098.745025225</v>
      </c>
      <c r="Q48" s="130">
        <f t="shared" si="12"/>
        <v>11492083.47127307</v>
      </c>
      <c r="R48" s="130">
        <f t="shared" si="12"/>
        <v>12394560.012261005</v>
      </c>
      <c r="S48" s="130">
        <f t="shared" si="12"/>
        <v>13307636.430071369</v>
      </c>
      <c r="T48" s="130">
        <f t="shared" si="12"/>
        <v>14231421.873695221</v>
      </c>
      <c r="U48" s="130">
        <f t="shared" si="12"/>
        <v>15166026.589913938</v>
      </c>
      <c r="V48" s="130">
        <f t="shared" si="12"/>
        <v>16111561.934289813</v>
      </c>
      <c r="W48" s="130">
        <f t="shared" si="12"/>
        <v>17068140.382266406</v>
      </c>
      <c r="X48" s="130">
        <f t="shared" si="12"/>
        <v>18035875.540380031</v>
      </c>
      <c r="Y48" s="130">
        <f t="shared" si="12"/>
        <v>19014882.157583363</v>
      </c>
      <c r="Z48" s="130">
        <f t="shared" si="12"/>
        <v>20005276.136682328</v>
      </c>
      <c r="AA48" s="130">
        <f t="shared" si="12"/>
        <v>21007174.545887344</v>
      </c>
      <c r="AB48" s="130">
        <f t="shared" si="12"/>
        <v>22020695.630480073</v>
      </c>
    </row>
    <row r="49" spans="1:29" x14ac:dyDescent="0.25">
      <c r="A49" s="103" t="s">
        <v>185</v>
      </c>
      <c r="B49" s="103" t="s">
        <v>51</v>
      </c>
      <c r="C49" s="103"/>
      <c r="D49" s="131"/>
      <c r="E49" s="131"/>
      <c r="F49" s="131"/>
      <c r="G49" s="131"/>
      <c r="H49" s="130"/>
      <c r="I49" s="130">
        <f t="shared" ref="I49:AB49" si="13">H$45*D$40*100000</f>
        <v>376011.90150181734</v>
      </c>
      <c r="J49" s="130">
        <f t="shared" si="13"/>
        <v>1045732.0579559051</v>
      </c>
      <c r="K49" s="130">
        <f t="shared" si="13"/>
        <v>2278954.9539611959</v>
      </c>
      <c r="L49" s="130">
        <f t="shared" si="13"/>
        <v>3819205.9022697592</v>
      </c>
      <c r="M49" s="130">
        <f t="shared" si="13"/>
        <v>5903709.1765482519</v>
      </c>
      <c r="N49" s="130">
        <f t="shared" si="13"/>
        <v>7978982.5850087339</v>
      </c>
      <c r="O49" s="130">
        <f t="shared" si="13"/>
        <v>8847177.8584270813</v>
      </c>
      <c r="P49" s="130">
        <f t="shared" si="13"/>
        <v>9718498.847569881</v>
      </c>
      <c r="Q49" s="130">
        <f t="shared" si="13"/>
        <v>10600098.745025225</v>
      </c>
      <c r="R49" s="130">
        <f t="shared" si="13"/>
        <v>11492083.47127307</v>
      </c>
      <c r="S49" s="130">
        <f t="shared" si="13"/>
        <v>12394560.012261005</v>
      </c>
      <c r="T49" s="130">
        <f t="shared" si="13"/>
        <v>13307636.430071369</v>
      </c>
      <c r="U49" s="130">
        <f t="shared" si="13"/>
        <v>14231421.873695221</v>
      </c>
      <c r="V49" s="130">
        <f t="shared" si="13"/>
        <v>15166026.589913938</v>
      </c>
      <c r="W49" s="130">
        <f t="shared" si="13"/>
        <v>16111561.934289813</v>
      </c>
      <c r="X49" s="130">
        <f t="shared" si="13"/>
        <v>17068140.382266406</v>
      </c>
      <c r="Y49" s="130">
        <f t="shared" si="13"/>
        <v>18035875.540380031</v>
      </c>
      <c r="Z49" s="130">
        <f t="shared" si="13"/>
        <v>19014882.157583363</v>
      </c>
      <c r="AA49" s="130">
        <f t="shared" si="13"/>
        <v>20005276.136682328</v>
      </c>
      <c r="AB49" s="130">
        <f t="shared" si="13"/>
        <v>21007174.545887344</v>
      </c>
    </row>
    <row r="50" spans="1:29" x14ac:dyDescent="0.25">
      <c r="A50" s="103" t="s">
        <v>186</v>
      </c>
      <c r="B50" s="103" t="s">
        <v>51</v>
      </c>
      <c r="C50" s="103"/>
      <c r="D50" s="131"/>
      <c r="E50" s="131"/>
      <c r="F50" s="131"/>
      <c r="G50" s="131"/>
      <c r="H50" s="130"/>
      <c r="I50" s="130"/>
      <c r="J50" s="130">
        <f t="shared" ref="J50:AB50" si="14">H$45*D$40*100000</f>
        <v>376011.90150181734</v>
      </c>
      <c r="K50" s="130">
        <f t="shared" si="14"/>
        <v>1045732.0579559051</v>
      </c>
      <c r="L50" s="130">
        <f t="shared" si="14"/>
        <v>2278954.9539611959</v>
      </c>
      <c r="M50" s="130">
        <f t="shared" si="14"/>
        <v>3819205.9022697592</v>
      </c>
      <c r="N50" s="130">
        <f t="shared" si="14"/>
        <v>5903709.1765482519</v>
      </c>
      <c r="O50" s="130">
        <f t="shared" si="14"/>
        <v>7978982.5850087339</v>
      </c>
      <c r="P50" s="130">
        <f t="shared" si="14"/>
        <v>8847177.8584270813</v>
      </c>
      <c r="Q50" s="130">
        <f t="shared" si="14"/>
        <v>9718498.847569881</v>
      </c>
      <c r="R50" s="130">
        <f t="shared" si="14"/>
        <v>10600098.745025225</v>
      </c>
      <c r="S50" s="130">
        <f t="shared" si="14"/>
        <v>11492083.47127307</v>
      </c>
      <c r="T50" s="130">
        <f t="shared" si="14"/>
        <v>12394560.012261005</v>
      </c>
      <c r="U50" s="130">
        <f t="shared" si="14"/>
        <v>13307636.430071369</v>
      </c>
      <c r="V50" s="130">
        <f t="shared" si="14"/>
        <v>14231421.873695221</v>
      </c>
      <c r="W50" s="130">
        <f t="shared" si="14"/>
        <v>15166026.589913938</v>
      </c>
      <c r="X50" s="130">
        <f t="shared" si="14"/>
        <v>16111561.934289813</v>
      </c>
      <c r="Y50" s="130">
        <f t="shared" si="14"/>
        <v>17068140.382266406</v>
      </c>
      <c r="Z50" s="130">
        <f t="shared" si="14"/>
        <v>18035875.540380031</v>
      </c>
      <c r="AA50" s="130">
        <f t="shared" si="14"/>
        <v>19014882.157583363</v>
      </c>
      <c r="AB50" s="130">
        <f t="shared" si="14"/>
        <v>20005276.136682328</v>
      </c>
    </row>
    <row r="51" spans="1:29" x14ac:dyDescent="0.25">
      <c r="A51" s="103" t="s">
        <v>187</v>
      </c>
      <c r="B51" s="103" t="s">
        <v>51</v>
      </c>
      <c r="C51" s="103"/>
      <c r="D51" s="131"/>
      <c r="E51" s="131"/>
      <c r="F51" s="131"/>
      <c r="G51" s="131"/>
      <c r="H51" s="130"/>
      <c r="I51" s="130"/>
      <c r="J51" s="130"/>
      <c r="K51" s="130">
        <f>H$45*D$40*100000</f>
        <v>376011.90150181734</v>
      </c>
      <c r="L51" s="130">
        <f>I$45*E$40*100000</f>
        <v>1045732.0579559051</v>
      </c>
      <c r="M51" s="130">
        <f t="shared" ref="M51:AB51" si="15">J$45*F$40*100000</f>
        <v>2278954.9539611959</v>
      </c>
      <c r="N51" s="130">
        <f t="shared" si="15"/>
        <v>3819205.9022697592</v>
      </c>
      <c r="O51" s="130">
        <f t="shared" si="15"/>
        <v>5903709.1765482519</v>
      </c>
      <c r="P51" s="130">
        <f t="shared" si="15"/>
        <v>7978982.5850087339</v>
      </c>
      <c r="Q51" s="130">
        <f t="shared" si="15"/>
        <v>8847177.8584270813</v>
      </c>
      <c r="R51" s="130">
        <f t="shared" si="15"/>
        <v>9718498.847569881</v>
      </c>
      <c r="S51" s="130">
        <f t="shared" si="15"/>
        <v>10600098.745025225</v>
      </c>
      <c r="T51" s="130">
        <f t="shared" si="15"/>
        <v>11492083.47127307</v>
      </c>
      <c r="U51" s="130">
        <f t="shared" si="15"/>
        <v>12394560.012261005</v>
      </c>
      <c r="V51" s="130">
        <f t="shared" si="15"/>
        <v>13307636.430071369</v>
      </c>
      <c r="W51" s="130">
        <f t="shared" si="15"/>
        <v>14231421.873695221</v>
      </c>
      <c r="X51" s="130">
        <f t="shared" si="15"/>
        <v>15166026.589913938</v>
      </c>
      <c r="Y51" s="130">
        <f t="shared" si="15"/>
        <v>16111561.934289813</v>
      </c>
      <c r="Z51" s="130">
        <f t="shared" si="15"/>
        <v>17068140.382266406</v>
      </c>
      <c r="AA51" s="130">
        <f t="shared" si="15"/>
        <v>18035875.540380031</v>
      </c>
      <c r="AB51" s="130">
        <f t="shared" si="15"/>
        <v>19014882.157583363</v>
      </c>
    </row>
    <row r="52" spans="1:29" x14ac:dyDescent="0.25">
      <c r="A52" s="103" t="s">
        <v>188</v>
      </c>
      <c r="B52" s="103" t="s">
        <v>51</v>
      </c>
      <c r="C52" s="103"/>
      <c r="D52" s="131"/>
      <c r="E52" s="131"/>
      <c r="F52" s="131"/>
      <c r="G52" s="131"/>
      <c r="H52" s="130"/>
      <c r="I52" s="130"/>
      <c r="J52" s="130"/>
      <c r="K52" s="130"/>
      <c r="L52" s="130">
        <f>H$45*D$40*100000</f>
        <v>376011.90150181734</v>
      </c>
      <c r="M52" s="130">
        <f t="shared" ref="M52:AB52" si="16">I$45*E$40*100000</f>
        <v>1045732.0579559051</v>
      </c>
      <c r="N52" s="130">
        <f t="shared" si="16"/>
        <v>2278954.9539611959</v>
      </c>
      <c r="O52" s="130">
        <f t="shared" si="16"/>
        <v>3819205.9022697592</v>
      </c>
      <c r="P52" s="130">
        <f t="shared" si="16"/>
        <v>5903709.1765482519</v>
      </c>
      <c r="Q52" s="130">
        <f t="shared" si="16"/>
        <v>7978982.5850087339</v>
      </c>
      <c r="R52" s="130">
        <f t="shared" si="16"/>
        <v>8847177.8584270813</v>
      </c>
      <c r="S52" s="130">
        <f t="shared" si="16"/>
        <v>9718498.847569881</v>
      </c>
      <c r="T52" s="130">
        <f t="shared" si="16"/>
        <v>10600098.745025225</v>
      </c>
      <c r="U52" s="130">
        <f t="shared" si="16"/>
        <v>11492083.47127307</v>
      </c>
      <c r="V52" s="130">
        <f t="shared" si="16"/>
        <v>12394560.012261005</v>
      </c>
      <c r="W52" s="130">
        <f t="shared" si="16"/>
        <v>13307636.430071369</v>
      </c>
      <c r="X52" s="130">
        <f t="shared" si="16"/>
        <v>14231421.873695221</v>
      </c>
      <c r="Y52" s="130">
        <f t="shared" si="16"/>
        <v>15166026.589913938</v>
      </c>
      <c r="Z52" s="130">
        <f t="shared" si="16"/>
        <v>16111561.934289813</v>
      </c>
      <c r="AA52" s="130">
        <f t="shared" si="16"/>
        <v>17068140.382266406</v>
      </c>
      <c r="AB52" s="130">
        <f t="shared" si="16"/>
        <v>18035875.540380031</v>
      </c>
    </row>
    <row r="53" spans="1:29" x14ac:dyDescent="0.25">
      <c r="A53" s="104" t="s">
        <v>31</v>
      </c>
      <c r="B53" s="103" t="s">
        <v>51</v>
      </c>
      <c r="C53" s="103"/>
      <c r="D53" s="131"/>
      <c r="E53" s="131"/>
      <c r="F53" s="131"/>
      <c r="G53" s="131"/>
      <c r="H53" s="130">
        <f>SUM(H48:H52)</f>
        <v>376011.90150181734</v>
      </c>
      <c r="I53" s="130">
        <f t="shared" ref="I53:AB53" si="17">SUM(I48:I52)</f>
        <v>1421743.9594577225</v>
      </c>
      <c r="J53" s="130">
        <f t="shared" si="17"/>
        <v>3700698.9134189184</v>
      </c>
      <c r="K53" s="130">
        <f t="shared" si="17"/>
        <v>7519904.8156886781</v>
      </c>
      <c r="L53" s="130">
        <f t="shared" si="17"/>
        <v>13423613.992236931</v>
      </c>
      <c r="M53" s="130">
        <f t="shared" si="17"/>
        <v>21026584.675743848</v>
      </c>
      <c r="N53" s="130">
        <f t="shared" si="17"/>
        <v>28828030.476215024</v>
      </c>
      <c r="O53" s="130">
        <f t="shared" si="17"/>
        <v>36267574.369823702</v>
      </c>
      <c r="P53" s="130">
        <f t="shared" si="17"/>
        <v>43048467.212579176</v>
      </c>
      <c r="Q53" s="130">
        <f t="shared" si="17"/>
        <v>48636841.50730399</v>
      </c>
      <c r="R53" s="130">
        <f t="shared" si="17"/>
        <v>53052418.934556261</v>
      </c>
      <c r="S53" s="130">
        <f t="shared" si="17"/>
        <v>57512877.506200552</v>
      </c>
      <c r="T53" s="130">
        <f t="shared" si="17"/>
        <v>62025800.532325894</v>
      </c>
      <c r="U53" s="130">
        <f t="shared" si="17"/>
        <v>66591728.377214603</v>
      </c>
      <c r="V53" s="130">
        <f t="shared" si="17"/>
        <v>71211206.840231344</v>
      </c>
      <c r="W53" s="130">
        <f t="shared" si="17"/>
        <v>75884787.210236743</v>
      </c>
      <c r="X53" s="130">
        <f t="shared" si="17"/>
        <v>80613026.320545405</v>
      </c>
      <c r="Y53" s="130">
        <f t="shared" si="17"/>
        <v>85396486.604433551</v>
      </c>
      <c r="Z53" s="130">
        <f t="shared" si="17"/>
        <v>90235736.151201934</v>
      </c>
      <c r="AA53" s="130">
        <f t="shared" si="17"/>
        <v>95131348.762799472</v>
      </c>
      <c r="AB53" s="130">
        <f t="shared" si="17"/>
        <v>100083904.01101315</v>
      </c>
    </row>
    <row r="54" spans="1:29" x14ac:dyDescent="0.25">
      <c r="A54" s="103"/>
      <c r="B54" s="103"/>
      <c r="C54" s="103"/>
      <c r="D54" s="131"/>
      <c r="E54" s="131"/>
      <c r="F54" s="131"/>
      <c r="G54" s="131"/>
      <c r="H54" s="131"/>
      <c r="I54" s="131"/>
      <c r="J54" s="131"/>
      <c r="K54" s="131"/>
      <c r="L54" s="131"/>
      <c r="M54" s="131"/>
      <c r="N54" s="131"/>
      <c r="O54" s="131"/>
      <c r="P54" s="131"/>
      <c r="Q54" s="131"/>
      <c r="R54" s="131"/>
      <c r="S54" s="131"/>
      <c r="T54" s="131"/>
      <c r="U54" s="131"/>
      <c r="V54" s="131"/>
      <c r="W54" s="131"/>
      <c r="X54" s="131"/>
      <c r="Y54" s="131"/>
      <c r="Z54" s="131"/>
      <c r="AA54" s="131"/>
      <c r="AB54" s="131"/>
    </row>
    <row r="55" spans="1:29" ht="30" x14ac:dyDescent="0.25">
      <c r="A55" s="120" t="s">
        <v>159</v>
      </c>
      <c r="B55" s="140" t="s">
        <v>55</v>
      </c>
      <c r="C55" s="103"/>
      <c r="D55" s="131"/>
      <c r="E55" s="131"/>
      <c r="F55" s="131"/>
      <c r="G55" s="131"/>
      <c r="H55" s="131">
        <f>H53*(365/$D$31)*1.03/1000/1000</f>
        <v>0.38529832505344463</v>
      </c>
      <c r="I55" s="131">
        <f>((H53*($D$31-365)/$D$31)+(I53*(365/$D$31)))*1.03/1000/1000</f>
        <v>1.4588509213865757</v>
      </c>
      <c r="J55" s="131">
        <f>((I53*($D$31-365)/$D$31)+(J53*(365/$D$31)))*1.03/1000/1000</f>
        <v>3.7996349319287361</v>
      </c>
      <c r="K55" s="131">
        <f t="shared" ref="K55:AB55" si="18">((J53*($D$31-365)/$D$31)+(K53*(365/$D$31)))*1.03/1000/1000</f>
        <v>7.7252492965164716</v>
      </c>
      <c r="L55" s="131">
        <f t="shared" si="18"/>
        <v>13.795015946927915</v>
      </c>
      <c r="M55" s="131">
        <f t="shared" si="18"/>
        <v>21.617064827564256</v>
      </c>
      <c r="N55" s="131">
        <f t="shared" si="18"/>
        <v>29.651501518918717</v>
      </c>
      <c r="O55" s="131">
        <f t="shared" si="18"/>
        <v>37.31615083968974</v>
      </c>
      <c r="P55" s="131">
        <f t="shared" si="18"/>
        <v>44.303963193318559</v>
      </c>
      <c r="Q55" s="131">
        <f t="shared" si="18"/>
        <v>50.066312460003225</v>
      </c>
      <c r="R55" s="131">
        <f t="shared" si="18"/>
        <v>54.620576372141343</v>
      </c>
      <c r="S55" s="131">
        <f t="shared" si="18"/>
        <v>59.214610703103865</v>
      </c>
      <c r="T55" s="131">
        <f t="shared" si="18"/>
        <v>63.862643209050525</v>
      </c>
      <c r="U55" s="131">
        <f t="shared" si="18"/>
        <v>68.565267812854486</v>
      </c>
      <c r="V55" s="131">
        <f t="shared" si="18"/>
        <v>73.323046659039917</v>
      </c>
      <c r="W55" s="131">
        <f t="shared" si="18"/>
        <v>78.136547546023323</v>
      </c>
      <c r="X55" s="131">
        <f t="shared" si="18"/>
        <v>83.00634398271734</v>
      </c>
      <c r="Y55" s="131">
        <f t="shared" si="18"/>
        <v>87.933015245700744</v>
      </c>
      <c r="Z55" s="131">
        <f t="shared" si="18"/>
        <v>92.917146436960294</v>
      </c>
      <c r="AA55" s="131">
        <f t="shared" si="18"/>
        <v>97.959328542210073</v>
      </c>
      <c r="AB55" s="131">
        <f t="shared" si="18"/>
        <v>103.06015848979412</v>
      </c>
      <c r="AC55" s="131"/>
    </row>
    <row r="56" spans="1:29" x14ac:dyDescent="0.25">
      <c r="A56" s="103"/>
      <c r="B56" s="103"/>
      <c r="C56" s="103"/>
      <c r="D56" s="131"/>
      <c r="E56" s="131"/>
      <c r="F56" s="131"/>
      <c r="G56" s="131"/>
      <c r="H56" s="131"/>
      <c r="I56" s="131"/>
      <c r="J56" s="131"/>
      <c r="K56" s="131"/>
      <c r="L56" s="131"/>
      <c r="M56" s="131"/>
      <c r="N56" s="131"/>
      <c r="O56" s="131"/>
      <c r="P56" s="131"/>
      <c r="Q56" s="131"/>
      <c r="R56" s="131"/>
      <c r="S56" s="131"/>
      <c r="T56" s="131"/>
      <c r="U56" s="131"/>
      <c r="V56" s="131"/>
      <c r="W56" s="131"/>
      <c r="X56" s="131"/>
      <c r="Y56" s="131"/>
      <c r="Z56" s="131"/>
      <c r="AA56" s="131"/>
      <c r="AB56" s="131"/>
    </row>
    <row r="57" spans="1:29" x14ac:dyDescent="0.25">
      <c r="A57" s="214" t="s">
        <v>189</v>
      </c>
      <c r="B57" s="103" t="s">
        <v>56</v>
      </c>
      <c r="C57" s="103"/>
      <c r="D57" s="131"/>
      <c r="E57" s="131"/>
      <c r="F57" s="131"/>
      <c r="G57" s="131">
        <f>D41</f>
        <v>0.12057228384312538</v>
      </c>
      <c r="H57" s="131">
        <f>SUM(D41:E41)</f>
        <v>0.3972433209039975</v>
      </c>
      <c r="I57" s="131">
        <f>SUM(D41:F41)</f>
        <v>0.90951760391429426</v>
      </c>
      <c r="J57" s="131">
        <f>SUM(D41:G41)</f>
        <v>1.654632682086614</v>
      </c>
      <c r="K57" s="131">
        <f>SUM(D41:H41)</f>
        <v>2.6706475933146576</v>
      </c>
      <c r="L57" s="131">
        <f t="shared" ref="L57:R57" si="19">SUM(E41:I41)</f>
        <v>3.7769009537780134</v>
      </c>
      <c r="M57" s="131">
        <f t="shared" si="19"/>
        <v>4.7281392917171416</v>
      </c>
      <c r="N57" s="131">
        <f t="shared" si="19"/>
        <v>5.4437743837068453</v>
      </c>
      <c r="O57" s="131">
        <f t="shared" si="19"/>
        <v>5.9265686805345252</v>
      </c>
      <c r="P57" s="131">
        <f t="shared" si="19"/>
        <v>6.1384631443064821</v>
      </c>
      <c r="Q57" s="131">
        <f t="shared" si="19"/>
        <v>6.1395468750000006</v>
      </c>
      <c r="R57" s="131">
        <f t="shared" si="19"/>
        <v>6.1395468750000006</v>
      </c>
      <c r="S57" s="131">
        <f t="shared" ref="S57:AB57" si="20">SUM(L41:P41)</f>
        <v>6.1395468750000006</v>
      </c>
      <c r="T57" s="131">
        <f t="shared" si="20"/>
        <v>6.1395468750000006</v>
      </c>
      <c r="U57" s="131">
        <f t="shared" si="20"/>
        <v>6.1395468750000006</v>
      </c>
      <c r="V57" s="131">
        <f t="shared" si="20"/>
        <v>6.1395468750000006</v>
      </c>
      <c r="W57" s="131">
        <f t="shared" si="20"/>
        <v>6.1395468750000006</v>
      </c>
      <c r="X57" s="131">
        <f t="shared" si="20"/>
        <v>6.1395468750000006</v>
      </c>
      <c r="Y57" s="131">
        <f t="shared" si="20"/>
        <v>6.1395468750000006</v>
      </c>
      <c r="Z57" s="131">
        <f t="shared" si="20"/>
        <v>6.1395468750000006</v>
      </c>
      <c r="AA57" s="131">
        <f t="shared" si="20"/>
        <v>6.1395468750000006</v>
      </c>
      <c r="AB57" s="131">
        <f t="shared" si="20"/>
        <v>6.1395468750000006</v>
      </c>
    </row>
    <row r="58" spans="1:29" ht="30" x14ac:dyDescent="0.25">
      <c r="A58" s="120" t="s">
        <v>190</v>
      </c>
      <c r="B58" s="103" t="s">
        <v>51</v>
      </c>
      <c r="C58" s="103"/>
      <c r="D58" s="131"/>
      <c r="E58" s="131"/>
      <c r="F58" s="131"/>
      <c r="G58" s="131">
        <f>$D$11</f>
        <v>2507.1849999999999</v>
      </c>
      <c r="H58" s="131">
        <f t="shared" ref="H58:AB58" si="21">$D$11</f>
        <v>2507.1849999999999</v>
      </c>
      <c r="I58" s="131">
        <f t="shared" si="21"/>
        <v>2507.1849999999999</v>
      </c>
      <c r="J58" s="131">
        <f t="shared" si="21"/>
        <v>2507.1849999999999</v>
      </c>
      <c r="K58" s="131">
        <f t="shared" si="21"/>
        <v>2507.1849999999999</v>
      </c>
      <c r="L58" s="131">
        <f t="shared" si="21"/>
        <v>2507.1849999999999</v>
      </c>
      <c r="M58" s="131">
        <f t="shared" si="21"/>
        <v>2507.1849999999999</v>
      </c>
      <c r="N58" s="131">
        <f t="shared" si="21"/>
        <v>2507.1849999999999</v>
      </c>
      <c r="O58" s="131">
        <f t="shared" si="21"/>
        <v>2507.1849999999999</v>
      </c>
      <c r="P58" s="131">
        <f t="shared" si="21"/>
        <v>2507.1849999999999</v>
      </c>
      <c r="Q58" s="131">
        <f t="shared" si="21"/>
        <v>2507.1849999999999</v>
      </c>
      <c r="R58" s="131">
        <f t="shared" si="21"/>
        <v>2507.1849999999999</v>
      </c>
      <c r="S58" s="131">
        <f t="shared" si="21"/>
        <v>2507.1849999999999</v>
      </c>
      <c r="T58" s="131">
        <f t="shared" si="21"/>
        <v>2507.1849999999999</v>
      </c>
      <c r="U58" s="131">
        <f t="shared" si="21"/>
        <v>2507.1849999999999</v>
      </c>
      <c r="V58" s="131">
        <f t="shared" si="21"/>
        <v>2507.1849999999999</v>
      </c>
      <c r="W58" s="131">
        <f t="shared" si="21"/>
        <v>2507.1849999999999</v>
      </c>
      <c r="X58" s="131">
        <f t="shared" si="21"/>
        <v>2507.1849999999999</v>
      </c>
      <c r="Y58" s="131">
        <f t="shared" si="21"/>
        <v>2507.1849999999999</v>
      </c>
      <c r="Z58" s="131">
        <f t="shared" si="21"/>
        <v>2507.1849999999999</v>
      </c>
      <c r="AA58" s="131">
        <f t="shared" si="21"/>
        <v>2507.1849999999999</v>
      </c>
      <c r="AB58" s="131">
        <f t="shared" si="21"/>
        <v>2507.1849999999999</v>
      </c>
    </row>
    <row r="59" spans="1:29" ht="45" x14ac:dyDescent="0.25">
      <c r="A59" s="120" t="s">
        <v>191</v>
      </c>
      <c r="B59" s="103" t="s">
        <v>51</v>
      </c>
      <c r="C59" s="103"/>
      <c r="D59" s="131"/>
      <c r="E59" s="131"/>
      <c r="F59" s="131"/>
      <c r="G59" s="131">
        <f>+G58-$C$11</f>
        <v>1727.5449999999998</v>
      </c>
      <c r="H59" s="131">
        <f t="shared" ref="H59:AB59" si="22">+H58-$C$11</f>
        <v>1727.5449999999998</v>
      </c>
      <c r="I59" s="131">
        <f t="shared" si="22"/>
        <v>1727.5449999999998</v>
      </c>
      <c r="J59" s="131">
        <f t="shared" si="22"/>
        <v>1727.5449999999998</v>
      </c>
      <c r="K59" s="131">
        <f t="shared" si="22"/>
        <v>1727.5449999999998</v>
      </c>
      <c r="L59" s="131">
        <f t="shared" si="22"/>
        <v>1727.5449999999998</v>
      </c>
      <c r="M59" s="131">
        <f t="shared" si="22"/>
        <v>1727.5449999999998</v>
      </c>
      <c r="N59" s="131">
        <f t="shared" si="22"/>
        <v>1727.5449999999998</v>
      </c>
      <c r="O59" s="131">
        <f t="shared" si="22"/>
        <v>1727.5449999999998</v>
      </c>
      <c r="P59" s="131">
        <f t="shared" si="22"/>
        <v>1727.5449999999998</v>
      </c>
      <c r="Q59" s="131">
        <f t="shared" si="22"/>
        <v>1727.5449999999998</v>
      </c>
      <c r="R59" s="131">
        <f t="shared" si="22"/>
        <v>1727.5449999999998</v>
      </c>
      <c r="S59" s="131">
        <f t="shared" si="22"/>
        <v>1727.5449999999998</v>
      </c>
      <c r="T59" s="131">
        <f t="shared" si="22"/>
        <v>1727.5449999999998</v>
      </c>
      <c r="U59" s="131">
        <f t="shared" si="22"/>
        <v>1727.5449999999998</v>
      </c>
      <c r="V59" s="131">
        <f t="shared" si="22"/>
        <v>1727.5449999999998</v>
      </c>
      <c r="W59" s="131">
        <f t="shared" si="22"/>
        <v>1727.5449999999998</v>
      </c>
      <c r="X59" s="131">
        <f t="shared" si="22"/>
        <v>1727.5449999999998</v>
      </c>
      <c r="Y59" s="131">
        <f t="shared" si="22"/>
        <v>1727.5449999999998</v>
      </c>
      <c r="Z59" s="131">
        <f t="shared" si="22"/>
        <v>1727.5449999999998</v>
      </c>
      <c r="AA59" s="131">
        <f t="shared" si="22"/>
        <v>1727.5449999999998</v>
      </c>
      <c r="AB59" s="131">
        <f t="shared" si="22"/>
        <v>1727.5449999999998</v>
      </c>
    </row>
    <row r="60" spans="1:29" x14ac:dyDescent="0.25">
      <c r="A60" s="103"/>
      <c r="B60" s="103"/>
      <c r="C60" s="103"/>
      <c r="D60" s="131"/>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row>
    <row r="61" spans="1:29" x14ac:dyDescent="0.25">
      <c r="A61" s="103" t="s">
        <v>183</v>
      </c>
      <c r="B61" s="103"/>
      <c r="C61" s="103"/>
      <c r="D61" s="131"/>
      <c r="E61" s="131"/>
      <c r="F61" s="131"/>
      <c r="G61" s="131"/>
      <c r="H61" s="131"/>
      <c r="I61" s="131"/>
      <c r="J61" s="131"/>
      <c r="K61" s="131"/>
      <c r="L61" s="131"/>
      <c r="M61" s="131"/>
      <c r="N61" s="131"/>
      <c r="O61" s="131"/>
      <c r="P61" s="131"/>
      <c r="Q61" s="131"/>
      <c r="R61" s="131"/>
      <c r="S61" s="131"/>
      <c r="T61" s="131"/>
      <c r="U61" s="131"/>
      <c r="V61" s="131"/>
      <c r="W61" s="131"/>
      <c r="X61" s="131"/>
      <c r="Y61" s="131"/>
      <c r="Z61" s="131"/>
      <c r="AA61" s="131"/>
      <c r="AB61" s="131"/>
    </row>
    <row r="62" spans="1:29" x14ac:dyDescent="0.25">
      <c r="A62" s="103" t="s">
        <v>184</v>
      </c>
      <c r="B62" s="103" t="s">
        <v>51</v>
      </c>
      <c r="C62" s="103"/>
      <c r="D62" s="131"/>
      <c r="E62" s="131"/>
      <c r="F62" s="131"/>
      <c r="G62" s="130">
        <f t="shared" ref="G62:AB62" si="23">D41*G59*100000</f>
        <v>20829404.609177202</v>
      </c>
      <c r="H62" s="130">
        <f t="shared" si="23"/>
        <v>47796166.671932422</v>
      </c>
      <c r="I62" s="130">
        <f t="shared" si="23"/>
        <v>88497687.624302313</v>
      </c>
      <c r="J62" s="130">
        <f t="shared" si="23"/>
        <v>128721982.77211998</v>
      </c>
      <c r="K62" s="130">
        <f t="shared" si="23"/>
        <v>175521147.98174503</v>
      </c>
      <c r="L62" s="130">
        <f t="shared" si="23"/>
        <v>211939650.76934397</v>
      </c>
      <c r="M62" s="130">
        <f t="shared" si="23"/>
        <v>212126870.12343749</v>
      </c>
      <c r="N62" s="130">
        <f t="shared" si="23"/>
        <v>212126870.12343749</v>
      </c>
      <c r="O62" s="130">
        <f t="shared" si="23"/>
        <v>212126870.12343749</v>
      </c>
      <c r="P62" s="130">
        <f t="shared" si="23"/>
        <v>212126870.12343749</v>
      </c>
      <c r="Q62" s="130">
        <f t="shared" si="23"/>
        <v>212126870.12343749</v>
      </c>
      <c r="R62" s="130">
        <f t="shared" si="23"/>
        <v>212126870.12343749</v>
      </c>
      <c r="S62" s="130">
        <f t="shared" si="23"/>
        <v>212126870.12343749</v>
      </c>
      <c r="T62" s="130">
        <f t="shared" si="23"/>
        <v>212126870.12343749</v>
      </c>
      <c r="U62" s="130">
        <f t="shared" si="23"/>
        <v>212126870.12343749</v>
      </c>
      <c r="V62" s="130">
        <f t="shared" si="23"/>
        <v>212126870.12343749</v>
      </c>
      <c r="W62" s="130">
        <f t="shared" si="23"/>
        <v>212126870.12343749</v>
      </c>
      <c r="X62" s="130">
        <f t="shared" si="23"/>
        <v>212126870.12343749</v>
      </c>
      <c r="Y62" s="130">
        <f t="shared" si="23"/>
        <v>212126870.12343749</v>
      </c>
      <c r="Z62" s="130">
        <f t="shared" si="23"/>
        <v>212126870.12343749</v>
      </c>
      <c r="AA62" s="130">
        <f t="shared" si="23"/>
        <v>212126870.12343749</v>
      </c>
      <c r="AB62" s="130">
        <f t="shared" si="23"/>
        <v>212126870.12343749</v>
      </c>
    </row>
    <row r="63" spans="1:29" x14ac:dyDescent="0.25">
      <c r="A63" s="103" t="s">
        <v>185</v>
      </c>
      <c r="B63" s="103" t="s">
        <v>51</v>
      </c>
      <c r="C63" s="103"/>
      <c r="D63" s="131"/>
      <c r="E63" s="131"/>
      <c r="F63" s="131"/>
      <c r="G63" s="130"/>
      <c r="H63" s="130">
        <f t="shared" ref="H63:AB63" si="24">D41*G59*100000</f>
        <v>20829404.609177202</v>
      </c>
      <c r="I63" s="130">
        <f t="shared" si="24"/>
        <v>47796166.671932422</v>
      </c>
      <c r="J63" s="130">
        <f t="shared" si="24"/>
        <v>88497687.624302313</v>
      </c>
      <c r="K63" s="130">
        <f t="shared" si="24"/>
        <v>128721982.77211998</v>
      </c>
      <c r="L63" s="130">
        <f t="shared" si="24"/>
        <v>175521147.98174503</v>
      </c>
      <c r="M63" s="130">
        <f t="shared" si="24"/>
        <v>211939650.76934397</v>
      </c>
      <c r="N63" s="130">
        <f t="shared" si="24"/>
        <v>212126870.12343749</v>
      </c>
      <c r="O63" s="130">
        <f t="shared" si="24"/>
        <v>212126870.12343749</v>
      </c>
      <c r="P63" s="130">
        <f t="shared" si="24"/>
        <v>212126870.12343749</v>
      </c>
      <c r="Q63" s="130">
        <f t="shared" si="24"/>
        <v>212126870.12343749</v>
      </c>
      <c r="R63" s="130">
        <f t="shared" si="24"/>
        <v>212126870.12343749</v>
      </c>
      <c r="S63" s="130">
        <f t="shared" si="24"/>
        <v>212126870.12343749</v>
      </c>
      <c r="T63" s="130">
        <f t="shared" si="24"/>
        <v>212126870.12343749</v>
      </c>
      <c r="U63" s="130">
        <f t="shared" si="24"/>
        <v>212126870.12343749</v>
      </c>
      <c r="V63" s="130">
        <f t="shared" si="24"/>
        <v>212126870.12343749</v>
      </c>
      <c r="W63" s="130">
        <f t="shared" si="24"/>
        <v>212126870.12343749</v>
      </c>
      <c r="X63" s="130">
        <f t="shared" si="24"/>
        <v>212126870.12343749</v>
      </c>
      <c r="Y63" s="130">
        <f t="shared" si="24"/>
        <v>212126870.12343749</v>
      </c>
      <c r="Z63" s="130">
        <f t="shared" si="24"/>
        <v>212126870.12343749</v>
      </c>
      <c r="AA63" s="130">
        <f t="shared" si="24"/>
        <v>212126870.12343749</v>
      </c>
      <c r="AB63" s="130">
        <f t="shared" si="24"/>
        <v>212126870.12343749</v>
      </c>
    </row>
    <row r="64" spans="1:29" x14ac:dyDescent="0.25">
      <c r="A64" s="103" t="s">
        <v>186</v>
      </c>
      <c r="B64" s="103" t="s">
        <v>51</v>
      </c>
      <c r="C64" s="103"/>
      <c r="D64" s="131"/>
      <c r="E64" s="131"/>
      <c r="F64" s="131"/>
      <c r="G64" s="130"/>
      <c r="H64" s="130"/>
      <c r="I64" s="130">
        <f t="shared" ref="I64:AB64" si="25">D41*G59*100000</f>
        <v>20829404.609177202</v>
      </c>
      <c r="J64" s="130">
        <f t="shared" si="25"/>
        <v>47796166.671932422</v>
      </c>
      <c r="K64" s="130">
        <f t="shared" si="25"/>
        <v>88497687.624302313</v>
      </c>
      <c r="L64" s="130">
        <f t="shared" si="25"/>
        <v>128721982.77211998</v>
      </c>
      <c r="M64" s="130">
        <f t="shared" si="25"/>
        <v>175521147.98174503</v>
      </c>
      <c r="N64" s="130">
        <f t="shared" si="25"/>
        <v>211939650.76934397</v>
      </c>
      <c r="O64" s="130">
        <f t="shared" si="25"/>
        <v>212126870.12343749</v>
      </c>
      <c r="P64" s="130">
        <f t="shared" si="25"/>
        <v>212126870.12343749</v>
      </c>
      <c r="Q64" s="130">
        <f t="shared" si="25"/>
        <v>212126870.12343749</v>
      </c>
      <c r="R64" s="130">
        <f t="shared" si="25"/>
        <v>212126870.12343749</v>
      </c>
      <c r="S64" s="130">
        <f t="shared" si="25"/>
        <v>212126870.12343749</v>
      </c>
      <c r="T64" s="130">
        <f t="shared" si="25"/>
        <v>212126870.12343749</v>
      </c>
      <c r="U64" s="130">
        <f t="shared" si="25"/>
        <v>212126870.12343749</v>
      </c>
      <c r="V64" s="130">
        <f t="shared" si="25"/>
        <v>212126870.12343749</v>
      </c>
      <c r="W64" s="130">
        <f t="shared" si="25"/>
        <v>212126870.12343749</v>
      </c>
      <c r="X64" s="130">
        <f t="shared" si="25"/>
        <v>212126870.12343749</v>
      </c>
      <c r="Y64" s="130">
        <f t="shared" si="25"/>
        <v>212126870.12343749</v>
      </c>
      <c r="Z64" s="130">
        <f t="shared" si="25"/>
        <v>212126870.12343749</v>
      </c>
      <c r="AA64" s="130">
        <f t="shared" si="25"/>
        <v>212126870.12343749</v>
      </c>
      <c r="AB64" s="130">
        <f t="shared" si="25"/>
        <v>212126870.12343749</v>
      </c>
    </row>
    <row r="65" spans="1:29" x14ac:dyDescent="0.25">
      <c r="A65" s="103" t="s">
        <v>187</v>
      </c>
      <c r="B65" s="103" t="s">
        <v>51</v>
      </c>
      <c r="C65" s="103"/>
      <c r="D65" s="131"/>
      <c r="E65" s="131"/>
      <c r="F65" s="131"/>
      <c r="G65" s="130"/>
      <c r="H65" s="130"/>
      <c r="I65" s="130"/>
      <c r="J65" s="130">
        <f t="shared" ref="J65:AB65" si="26">D41*G59*100000</f>
        <v>20829404.609177202</v>
      </c>
      <c r="K65" s="130">
        <f t="shared" si="26"/>
        <v>47796166.671932422</v>
      </c>
      <c r="L65" s="130">
        <f t="shared" si="26"/>
        <v>88497687.624302313</v>
      </c>
      <c r="M65" s="130">
        <f t="shared" si="26"/>
        <v>128721982.77211998</v>
      </c>
      <c r="N65" s="130">
        <f t="shared" si="26"/>
        <v>175521147.98174503</v>
      </c>
      <c r="O65" s="130">
        <f t="shared" si="26"/>
        <v>211939650.76934397</v>
      </c>
      <c r="P65" s="130">
        <f t="shared" si="26"/>
        <v>212126870.12343749</v>
      </c>
      <c r="Q65" s="130">
        <f t="shared" si="26"/>
        <v>212126870.12343749</v>
      </c>
      <c r="R65" s="130">
        <f t="shared" si="26"/>
        <v>212126870.12343749</v>
      </c>
      <c r="S65" s="130">
        <f t="shared" si="26"/>
        <v>212126870.12343749</v>
      </c>
      <c r="T65" s="130">
        <f t="shared" si="26"/>
        <v>212126870.12343749</v>
      </c>
      <c r="U65" s="130">
        <f t="shared" si="26"/>
        <v>212126870.12343749</v>
      </c>
      <c r="V65" s="130">
        <f t="shared" si="26"/>
        <v>212126870.12343749</v>
      </c>
      <c r="W65" s="130">
        <f t="shared" si="26"/>
        <v>212126870.12343749</v>
      </c>
      <c r="X65" s="130">
        <f t="shared" si="26"/>
        <v>212126870.12343749</v>
      </c>
      <c r="Y65" s="130">
        <f t="shared" si="26"/>
        <v>212126870.12343749</v>
      </c>
      <c r="Z65" s="130">
        <f t="shared" si="26"/>
        <v>212126870.12343749</v>
      </c>
      <c r="AA65" s="130">
        <f t="shared" si="26"/>
        <v>212126870.12343749</v>
      </c>
      <c r="AB65" s="130">
        <f t="shared" si="26"/>
        <v>212126870.12343749</v>
      </c>
    </row>
    <row r="66" spans="1:29" x14ac:dyDescent="0.25">
      <c r="A66" s="103" t="s">
        <v>188</v>
      </c>
      <c r="B66" s="103" t="s">
        <v>51</v>
      </c>
      <c r="C66" s="103"/>
      <c r="D66" s="131"/>
      <c r="E66" s="131"/>
      <c r="F66" s="131"/>
      <c r="G66" s="130"/>
      <c r="H66" s="130"/>
      <c r="I66" s="130"/>
      <c r="J66" s="130"/>
      <c r="K66" s="130">
        <f t="shared" ref="K66:AB66" si="27">D41*G59*100000</f>
        <v>20829404.609177202</v>
      </c>
      <c r="L66" s="130">
        <f t="shared" si="27"/>
        <v>47796166.671932422</v>
      </c>
      <c r="M66" s="130">
        <f t="shared" si="27"/>
        <v>88497687.624302313</v>
      </c>
      <c r="N66" s="130">
        <f t="shared" si="27"/>
        <v>128721982.77211998</v>
      </c>
      <c r="O66" s="130">
        <f t="shared" si="27"/>
        <v>175521147.98174503</v>
      </c>
      <c r="P66" s="130">
        <f t="shared" si="27"/>
        <v>211939650.76934397</v>
      </c>
      <c r="Q66" s="130">
        <f t="shared" si="27"/>
        <v>212126870.12343749</v>
      </c>
      <c r="R66" s="130">
        <f t="shared" si="27"/>
        <v>212126870.12343749</v>
      </c>
      <c r="S66" s="130">
        <f t="shared" si="27"/>
        <v>212126870.12343749</v>
      </c>
      <c r="T66" s="130">
        <f t="shared" si="27"/>
        <v>212126870.12343749</v>
      </c>
      <c r="U66" s="130">
        <f t="shared" si="27"/>
        <v>212126870.12343749</v>
      </c>
      <c r="V66" s="130">
        <f t="shared" si="27"/>
        <v>212126870.12343749</v>
      </c>
      <c r="W66" s="130">
        <f t="shared" si="27"/>
        <v>212126870.12343749</v>
      </c>
      <c r="X66" s="130">
        <f t="shared" si="27"/>
        <v>212126870.12343749</v>
      </c>
      <c r="Y66" s="130">
        <f t="shared" si="27"/>
        <v>212126870.12343749</v>
      </c>
      <c r="Z66" s="130">
        <f t="shared" si="27"/>
        <v>212126870.12343749</v>
      </c>
      <c r="AA66" s="130">
        <f t="shared" si="27"/>
        <v>212126870.12343749</v>
      </c>
      <c r="AB66" s="130">
        <f t="shared" si="27"/>
        <v>212126870.12343749</v>
      </c>
    </row>
    <row r="67" spans="1:29" x14ac:dyDescent="0.25">
      <c r="A67" s="104" t="s">
        <v>31</v>
      </c>
      <c r="B67" s="103" t="s">
        <v>51</v>
      </c>
      <c r="C67" s="103"/>
      <c r="D67" s="131"/>
      <c r="E67" s="131"/>
      <c r="F67" s="131"/>
      <c r="G67" s="141">
        <f>SUM(G62:G66)</f>
        <v>20829404.609177202</v>
      </c>
      <c r="H67" s="141">
        <f t="shared" ref="H67:AB67" si="28">SUM(H62:H66)</f>
        <v>68625571.281109631</v>
      </c>
      <c r="I67" s="141">
        <f t="shared" si="28"/>
        <v>157123258.90541193</v>
      </c>
      <c r="J67" s="141">
        <f t="shared" si="28"/>
        <v>285845241.67753196</v>
      </c>
      <c r="K67" s="141">
        <f t="shared" si="28"/>
        <v>461366389.65927696</v>
      </c>
      <c r="L67" s="141">
        <f t="shared" si="28"/>
        <v>652476635.8194437</v>
      </c>
      <c r="M67" s="141">
        <f t="shared" si="28"/>
        <v>816807339.27094877</v>
      </c>
      <c r="N67" s="141">
        <f t="shared" si="28"/>
        <v>940436521.7700839</v>
      </c>
      <c r="O67" s="141">
        <f t="shared" si="28"/>
        <v>1023841409.1214014</v>
      </c>
      <c r="P67" s="141">
        <f t="shared" si="28"/>
        <v>1060447131.2630939</v>
      </c>
      <c r="Q67" s="141">
        <f t="shared" si="28"/>
        <v>1060634350.6171875</v>
      </c>
      <c r="R67" s="141">
        <f t="shared" si="28"/>
        <v>1060634350.6171875</v>
      </c>
      <c r="S67" s="141">
        <f t="shared" si="28"/>
        <v>1060634350.6171875</v>
      </c>
      <c r="T67" s="141">
        <f t="shared" si="28"/>
        <v>1060634350.6171875</v>
      </c>
      <c r="U67" s="141">
        <f t="shared" si="28"/>
        <v>1060634350.6171875</v>
      </c>
      <c r="V67" s="141">
        <f t="shared" si="28"/>
        <v>1060634350.6171875</v>
      </c>
      <c r="W67" s="141">
        <f t="shared" si="28"/>
        <v>1060634350.6171875</v>
      </c>
      <c r="X67" s="141">
        <f t="shared" si="28"/>
        <v>1060634350.6171875</v>
      </c>
      <c r="Y67" s="141">
        <f t="shared" si="28"/>
        <v>1060634350.6171875</v>
      </c>
      <c r="Z67" s="141">
        <f t="shared" si="28"/>
        <v>1060634350.6171875</v>
      </c>
      <c r="AA67" s="141">
        <f t="shared" si="28"/>
        <v>1060634350.6171875</v>
      </c>
      <c r="AB67" s="141">
        <f t="shared" si="28"/>
        <v>1060634350.6171875</v>
      </c>
    </row>
    <row r="68" spans="1:29" x14ac:dyDescent="0.25">
      <c r="A68" s="120"/>
      <c r="B68" s="103"/>
      <c r="C68" s="103"/>
      <c r="D68" s="131"/>
      <c r="E68" s="131"/>
      <c r="F68" s="131"/>
      <c r="G68" s="131"/>
      <c r="H68" s="131"/>
      <c r="I68" s="131"/>
      <c r="J68" s="131"/>
      <c r="K68" s="131"/>
      <c r="L68" s="131"/>
      <c r="M68" s="131"/>
      <c r="N68" s="131"/>
      <c r="O68" s="131"/>
      <c r="P68" s="131"/>
      <c r="Q68" s="131"/>
      <c r="R68" s="131"/>
      <c r="S68" s="131"/>
      <c r="T68" s="131"/>
      <c r="U68" s="131"/>
      <c r="V68" s="131"/>
      <c r="W68" s="131"/>
      <c r="X68" s="131"/>
      <c r="Y68" s="131"/>
      <c r="Z68" s="131"/>
      <c r="AA68" s="131"/>
      <c r="AB68" s="131"/>
    </row>
    <row r="69" spans="1:29" ht="30" x14ac:dyDescent="0.25">
      <c r="A69" s="120" t="s">
        <v>160</v>
      </c>
      <c r="B69" s="140" t="s">
        <v>55</v>
      </c>
      <c r="C69" s="103"/>
      <c r="D69" s="131"/>
      <c r="E69" s="131"/>
      <c r="F69" s="131"/>
      <c r="G69" s="131">
        <f>G67*(365/$D$31)*1.03/1000/1000</f>
        <v>21.3438316067176</v>
      </c>
      <c r="H69" s="131">
        <f>((G67*($D$31 -365)/$D$31)+(H67*365/$D$31))*1.03/1000/1000</f>
        <v>70.430882671988229</v>
      </c>
      <c r="I69" s="131">
        <f t="shared" ref="I69:AB69" si="29">((H67*($D$31 -365)/$D$31)+(I67*365/$D$31))*1.03/1000/1000</f>
        <v>161.36766699652898</v>
      </c>
      <c r="J69" s="131">
        <f t="shared" si="29"/>
        <v>293.73800597863328</v>
      </c>
      <c r="K69" s="131">
        <f t="shared" si="29"/>
        <v>474.27661959824951</v>
      </c>
      <c r="L69" s="131">
        <f t="shared" si="29"/>
        <v>671.03750654446173</v>
      </c>
      <c r="M69" s="131">
        <f t="shared" si="29"/>
        <v>840.44013891078646</v>
      </c>
      <c r="N69" s="131">
        <f t="shared" si="29"/>
        <v>967.99403081338642</v>
      </c>
      <c r="O69" s="131">
        <f t="shared" si="29"/>
        <v>1054.1143680584228</v>
      </c>
      <c r="P69" s="131">
        <f t="shared" si="29"/>
        <v>1092.0664306659471</v>
      </c>
      <c r="Q69" s="131">
        <f t="shared" si="29"/>
        <v>1092.452388340158</v>
      </c>
      <c r="R69" s="131">
        <f t="shared" si="29"/>
        <v>1092.453381135703</v>
      </c>
      <c r="S69" s="131">
        <f t="shared" si="29"/>
        <v>1092.453381135703</v>
      </c>
      <c r="T69" s="131">
        <f t="shared" si="29"/>
        <v>1092.453381135703</v>
      </c>
      <c r="U69" s="131">
        <f t="shared" si="29"/>
        <v>1092.453381135703</v>
      </c>
      <c r="V69" s="131">
        <f t="shared" si="29"/>
        <v>1092.453381135703</v>
      </c>
      <c r="W69" s="131">
        <f t="shared" si="29"/>
        <v>1092.453381135703</v>
      </c>
      <c r="X69" s="131">
        <f t="shared" si="29"/>
        <v>1092.453381135703</v>
      </c>
      <c r="Y69" s="131">
        <f t="shared" si="29"/>
        <v>1092.453381135703</v>
      </c>
      <c r="Z69" s="131">
        <f t="shared" si="29"/>
        <v>1092.453381135703</v>
      </c>
      <c r="AA69" s="131">
        <f t="shared" si="29"/>
        <v>1092.453381135703</v>
      </c>
      <c r="AB69" s="131">
        <f t="shared" si="29"/>
        <v>1092.453381135703</v>
      </c>
      <c r="AC69" s="131"/>
    </row>
    <row r="70" spans="1:29" x14ac:dyDescent="0.25">
      <c r="A70" s="103"/>
      <c r="B70" s="103"/>
      <c r="C70" s="103"/>
      <c r="D70" s="131"/>
      <c r="E70" s="131"/>
      <c r="F70" s="131"/>
      <c r="G70" s="131"/>
      <c r="H70" s="131"/>
      <c r="I70" s="131"/>
      <c r="J70" s="131"/>
      <c r="K70" s="131"/>
      <c r="L70" s="131"/>
      <c r="M70" s="131"/>
      <c r="N70" s="131"/>
      <c r="O70" s="131"/>
      <c r="P70" s="131"/>
      <c r="Q70" s="131"/>
      <c r="R70" s="131"/>
      <c r="S70" s="131"/>
      <c r="T70" s="131"/>
      <c r="U70" s="131"/>
      <c r="V70" s="131"/>
      <c r="W70" s="131"/>
      <c r="X70" s="131"/>
      <c r="Y70" s="131"/>
      <c r="Z70" s="131"/>
      <c r="AA70" s="131"/>
      <c r="AB70" s="131"/>
    </row>
    <row r="71" spans="1:29" s="107" customFormat="1" ht="25.5" x14ac:dyDescent="0.25">
      <c r="A71" s="215" t="s">
        <v>161</v>
      </c>
      <c r="B71" s="216" t="s">
        <v>55</v>
      </c>
      <c r="C71" s="217"/>
      <c r="D71" s="218"/>
      <c r="E71" s="218"/>
      <c r="F71" s="218"/>
      <c r="G71" s="218">
        <f t="shared" ref="G71:AB71" si="30">G69+G55</f>
        <v>21.3438316067176</v>
      </c>
      <c r="H71" s="218">
        <f t="shared" si="30"/>
        <v>70.81618099704167</v>
      </c>
      <c r="I71" s="218">
        <f t="shared" si="30"/>
        <v>162.82651791791557</v>
      </c>
      <c r="J71" s="218">
        <f t="shared" si="30"/>
        <v>297.537640910562</v>
      </c>
      <c r="K71" s="218">
        <f t="shared" si="30"/>
        <v>482.00186889476601</v>
      </c>
      <c r="L71" s="218">
        <f t="shared" si="30"/>
        <v>684.83252249138968</v>
      </c>
      <c r="M71" s="218">
        <f t="shared" si="30"/>
        <v>862.05720373835072</v>
      </c>
      <c r="N71" s="218">
        <f t="shared" si="30"/>
        <v>997.64553233230515</v>
      </c>
      <c r="O71" s="218">
        <f t="shared" si="30"/>
        <v>1091.4305188981125</v>
      </c>
      <c r="P71" s="218">
        <f t="shared" si="30"/>
        <v>1136.3703938592657</v>
      </c>
      <c r="Q71" s="218">
        <f t="shared" si="30"/>
        <v>1142.5187008001612</v>
      </c>
      <c r="R71" s="218">
        <f t="shared" si="30"/>
        <v>1147.0739575078444</v>
      </c>
      <c r="S71" s="218">
        <f t="shared" si="30"/>
        <v>1151.667991838807</v>
      </c>
      <c r="T71" s="218">
        <f t="shared" si="30"/>
        <v>1156.3160243447535</v>
      </c>
      <c r="U71" s="218">
        <f t="shared" si="30"/>
        <v>1161.0186489485575</v>
      </c>
      <c r="V71" s="218">
        <f t="shared" si="30"/>
        <v>1165.7764277947429</v>
      </c>
      <c r="W71" s="218">
        <f t="shared" si="30"/>
        <v>1170.5899286817264</v>
      </c>
      <c r="X71" s="218">
        <f t="shared" si="30"/>
        <v>1175.4597251184205</v>
      </c>
      <c r="Y71" s="218">
        <f t="shared" si="30"/>
        <v>1180.3863963814038</v>
      </c>
      <c r="Z71" s="218">
        <f t="shared" si="30"/>
        <v>1185.3705275726634</v>
      </c>
      <c r="AA71" s="218">
        <f t="shared" si="30"/>
        <v>1190.412709677913</v>
      </c>
      <c r="AB71" s="218">
        <f t="shared" si="30"/>
        <v>1195.5135396254971</v>
      </c>
    </row>
    <row r="72" spans="1:29" x14ac:dyDescent="0.25">
      <c r="A72" s="103"/>
      <c r="B72" s="103"/>
      <c r="C72" s="103"/>
      <c r="D72" s="131"/>
      <c r="E72" s="131"/>
      <c r="F72" s="131"/>
      <c r="G72" s="131"/>
      <c r="H72" s="131"/>
      <c r="I72" s="131"/>
      <c r="J72" s="131"/>
      <c r="K72" s="131"/>
      <c r="L72" s="131"/>
      <c r="M72" s="131"/>
      <c r="N72" s="131"/>
      <c r="O72" s="131"/>
      <c r="P72" s="131"/>
      <c r="Q72" s="131"/>
      <c r="R72" s="131"/>
      <c r="S72" s="131"/>
      <c r="T72" s="131"/>
      <c r="U72" s="131"/>
      <c r="V72" s="131"/>
      <c r="W72" s="131"/>
      <c r="X72" s="131"/>
      <c r="Y72" s="131"/>
      <c r="Z72" s="131"/>
      <c r="AA72" s="131"/>
      <c r="AB72" s="131"/>
    </row>
    <row r="73" spans="1:29" s="146" customFormat="1" ht="74.25" customHeight="1" x14ac:dyDescent="0.25">
      <c r="A73" s="142" t="s">
        <v>202</v>
      </c>
      <c r="B73" s="143" t="s">
        <v>55</v>
      </c>
      <c r="C73" s="144"/>
      <c r="D73" s="145">
        <f t="shared" ref="D73:AB73" si="31">D71+D37</f>
        <v>1.9707820135961329</v>
      </c>
      <c r="E73" s="145">
        <f t="shared" si="31"/>
        <v>4.5222524293558406</v>
      </c>
      <c r="F73" s="145">
        <f t="shared" si="31"/>
        <v>8.3732422643507132</v>
      </c>
      <c r="G73" s="145">
        <f t="shared" si="31"/>
        <v>33.522910805647541</v>
      </c>
      <c r="H73" s="145">
        <f t="shared" si="31"/>
        <v>87.42318095400455</v>
      </c>
      <c r="I73" s="145">
        <f t="shared" si="31"/>
        <v>182.87926832250662</v>
      </c>
      <c r="J73" s="145">
        <f t="shared" si="31"/>
        <v>317.60810514531613</v>
      </c>
      <c r="K73" s="145">
        <f t="shared" si="31"/>
        <v>502.07233312952013</v>
      </c>
      <c r="L73" s="145">
        <f t="shared" si="31"/>
        <v>704.90298672614381</v>
      </c>
      <c r="M73" s="145">
        <f t="shared" si="31"/>
        <v>882.12766797310485</v>
      </c>
      <c r="N73" s="145">
        <f t="shared" si="31"/>
        <v>1017.7159965670593</v>
      </c>
      <c r="O73" s="145">
        <f t="shared" si="31"/>
        <v>1111.5009831328666</v>
      </c>
      <c r="P73" s="145">
        <f t="shared" si="31"/>
        <v>1156.4408580940199</v>
      </c>
      <c r="Q73" s="145">
        <f t="shared" si="31"/>
        <v>1162.5891650349154</v>
      </c>
      <c r="R73" s="145">
        <f t="shared" si="31"/>
        <v>1167.1444217425985</v>
      </c>
      <c r="S73" s="145">
        <f t="shared" si="31"/>
        <v>1171.7384560735611</v>
      </c>
      <c r="T73" s="145">
        <f t="shared" si="31"/>
        <v>1176.3864885795076</v>
      </c>
      <c r="U73" s="145">
        <f t="shared" si="31"/>
        <v>1181.0891131833116</v>
      </c>
      <c r="V73" s="145">
        <f t="shared" si="31"/>
        <v>1185.846892029497</v>
      </c>
      <c r="W73" s="145">
        <f t="shared" si="31"/>
        <v>1190.6603929164805</v>
      </c>
      <c r="X73" s="145">
        <f t="shared" si="31"/>
        <v>1195.5301893531746</v>
      </c>
      <c r="Y73" s="145">
        <f t="shared" si="31"/>
        <v>1200.4568606161579</v>
      </c>
      <c r="Z73" s="145">
        <f t="shared" si="31"/>
        <v>1205.4409918074175</v>
      </c>
      <c r="AA73" s="145">
        <f t="shared" si="31"/>
        <v>1210.4831739126671</v>
      </c>
      <c r="AB73" s="145">
        <f t="shared" si="31"/>
        <v>1215.5840038602512</v>
      </c>
    </row>
    <row r="75" spans="1:29" x14ac:dyDescent="0.25">
      <c r="A75" s="219" t="s">
        <v>142</v>
      </c>
      <c r="B75" s="103"/>
      <c r="C75" s="127"/>
      <c r="D75" s="104"/>
      <c r="E75" s="104"/>
      <c r="F75" s="130"/>
      <c r="G75" s="130"/>
      <c r="H75" s="130"/>
      <c r="I75" s="132"/>
      <c r="J75" s="103"/>
      <c r="K75" s="103"/>
      <c r="L75" s="103"/>
      <c r="M75" s="103"/>
      <c r="N75" s="103"/>
      <c r="O75" s="103"/>
      <c r="P75" s="103"/>
      <c r="Q75" s="103"/>
      <c r="R75" s="103"/>
    </row>
    <row r="76" spans="1:29" x14ac:dyDescent="0.25">
      <c r="A76" s="133" t="s">
        <v>138</v>
      </c>
      <c r="B76" s="103" t="s">
        <v>128</v>
      </c>
      <c r="C76" s="120">
        <f>C26*$D$17</f>
        <v>133000</v>
      </c>
      <c r="D76" s="120">
        <f t="shared" ref="D76:AB76" si="32">D26*$D$17</f>
        <v>304499.99999999994</v>
      </c>
      <c r="E76" s="120">
        <f t="shared" si="32"/>
        <v>563500</v>
      </c>
      <c r="F76" s="120">
        <f t="shared" si="32"/>
        <v>819000</v>
      </c>
      <c r="G76" s="120">
        <f t="shared" si="32"/>
        <v>1116500</v>
      </c>
      <c r="H76" s="120">
        <f t="shared" si="32"/>
        <v>1347500</v>
      </c>
      <c r="I76" s="120">
        <f t="shared" si="32"/>
        <v>1347500</v>
      </c>
      <c r="J76" s="120">
        <f t="shared" si="32"/>
        <v>1347500</v>
      </c>
      <c r="K76" s="120">
        <f t="shared" si="32"/>
        <v>1347500</v>
      </c>
      <c r="L76" s="120">
        <f t="shared" si="32"/>
        <v>1347500</v>
      </c>
      <c r="M76" s="120">
        <f t="shared" si="32"/>
        <v>1347500</v>
      </c>
      <c r="N76" s="120">
        <f t="shared" si="32"/>
        <v>1347500</v>
      </c>
      <c r="O76" s="120">
        <f t="shared" si="32"/>
        <v>1347500</v>
      </c>
      <c r="P76" s="120">
        <f t="shared" si="32"/>
        <v>1347500</v>
      </c>
      <c r="Q76" s="120">
        <f t="shared" si="32"/>
        <v>1347500</v>
      </c>
      <c r="R76" s="120">
        <f t="shared" si="32"/>
        <v>1347500</v>
      </c>
      <c r="S76" s="120">
        <f t="shared" si="32"/>
        <v>1347500</v>
      </c>
      <c r="T76" s="120">
        <f t="shared" si="32"/>
        <v>1347500</v>
      </c>
      <c r="U76" s="120">
        <f t="shared" si="32"/>
        <v>1347500</v>
      </c>
      <c r="V76" s="120">
        <f t="shared" si="32"/>
        <v>1347500</v>
      </c>
      <c r="W76" s="120">
        <f t="shared" si="32"/>
        <v>1347500</v>
      </c>
      <c r="X76" s="120">
        <f t="shared" si="32"/>
        <v>1347500</v>
      </c>
      <c r="Y76" s="120">
        <f t="shared" si="32"/>
        <v>1347500</v>
      </c>
      <c r="Z76" s="120">
        <f t="shared" si="32"/>
        <v>1347500</v>
      </c>
      <c r="AA76" s="120">
        <f t="shared" si="32"/>
        <v>1347500</v>
      </c>
      <c r="AB76" s="120">
        <f t="shared" si="32"/>
        <v>1347500</v>
      </c>
    </row>
    <row r="77" spans="1:29" x14ac:dyDescent="0.25">
      <c r="A77" s="103" t="s">
        <v>44</v>
      </c>
      <c r="B77" s="129"/>
      <c r="C77" s="135">
        <f>280+60+((1/C20)-1)*22</f>
        <v>380.85714285714289</v>
      </c>
      <c r="D77" s="135">
        <f>280+60+((1/D20)-1)*22</f>
        <v>366.88888888888891</v>
      </c>
      <c r="E77" s="135">
        <f>C77-D77</f>
        <v>13.968253968253975</v>
      </c>
      <c r="F77" s="130"/>
      <c r="G77" s="130"/>
      <c r="H77" s="130"/>
      <c r="I77" s="132"/>
      <c r="J77" s="103"/>
      <c r="K77" s="103"/>
      <c r="L77" s="103"/>
      <c r="M77" s="103"/>
      <c r="N77" s="103"/>
      <c r="O77" s="103"/>
      <c r="P77" s="103"/>
      <c r="Q77" s="103"/>
      <c r="R77" s="103"/>
    </row>
    <row r="78" spans="1:29" x14ac:dyDescent="0.25">
      <c r="A78" s="103"/>
      <c r="B78" s="129"/>
      <c r="C78" s="133"/>
      <c r="D78" s="130"/>
      <c r="E78" s="130"/>
      <c r="F78" s="130"/>
      <c r="G78" s="130"/>
      <c r="H78" s="130"/>
      <c r="I78" s="130"/>
      <c r="J78" s="130"/>
      <c r="K78" s="130"/>
      <c r="L78" s="130"/>
      <c r="M78" s="130"/>
      <c r="N78" s="130"/>
      <c r="O78" s="130"/>
      <c r="P78" s="130"/>
      <c r="Q78" s="130"/>
      <c r="R78" s="130"/>
    </row>
    <row r="79" spans="1:29" x14ac:dyDescent="0.25">
      <c r="A79" s="220" t="s">
        <v>139</v>
      </c>
      <c r="B79" s="129"/>
      <c r="C79" s="133"/>
      <c r="D79" s="135"/>
      <c r="E79" s="135"/>
      <c r="F79" s="130"/>
      <c r="G79" s="130"/>
      <c r="H79" s="130"/>
      <c r="I79" s="132"/>
      <c r="J79" s="103"/>
      <c r="K79" s="103"/>
      <c r="L79" s="103"/>
      <c r="M79" s="103"/>
      <c r="N79" s="103"/>
      <c r="O79" s="103"/>
      <c r="P79" s="103"/>
      <c r="Q79" s="103"/>
      <c r="R79" s="103"/>
    </row>
    <row r="80" spans="1:29" x14ac:dyDescent="0.25">
      <c r="A80" s="123" t="s">
        <v>198</v>
      </c>
      <c r="B80" s="103" t="s">
        <v>51</v>
      </c>
      <c r="C80" s="103">
        <f>D11/D22</f>
        <v>8.2202786885245906</v>
      </c>
      <c r="D80" s="103"/>
      <c r="E80" s="103"/>
      <c r="F80" s="103"/>
      <c r="G80" s="103"/>
      <c r="H80" s="103"/>
      <c r="I80" s="103"/>
      <c r="J80" s="103"/>
      <c r="K80" s="103"/>
      <c r="L80" s="103"/>
      <c r="M80" s="103"/>
      <c r="N80" s="103"/>
      <c r="O80" s="103"/>
      <c r="P80" s="103"/>
      <c r="Q80" s="103"/>
      <c r="R80" s="103"/>
    </row>
    <row r="81" spans="1:28" ht="45" x14ac:dyDescent="0.25">
      <c r="A81" s="123" t="s">
        <v>199</v>
      </c>
      <c r="B81" s="103" t="s">
        <v>51</v>
      </c>
      <c r="C81" s="103">
        <f>C80*E77</f>
        <v>114.8229404111372</v>
      </c>
      <c r="D81" s="103"/>
      <c r="E81" s="103"/>
      <c r="F81" s="103"/>
      <c r="G81" s="103"/>
      <c r="H81" s="103"/>
      <c r="I81" s="103"/>
      <c r="J81" s="103"/>
      <c r="K81" s="103"/>
      <c r="L81" s="103"/>
      <c r="M81" s="103"/>
      <c r="N81" s="103"/>
      <c r="O81" s="103"/>
      <c r="P81" s="103"/>
      <c r="Q81" s="103"/>
      <c r="R81" s="103"/>
    </row>
    <row r="82" spans="1:28" x14ac:dyDescent="0.25">
      <c r="A82" s="120" t="s">
        <v>80</v>
      </c>
      <c r="B82" s="103" t="s">
        <v>54</v>
      </c>
      <c r="C82" s="103"/>
      <c r="D82" s="130">
        <f>C76*$D$20*$D$15*365/$D$77</f>
        <v>53587.681708055723</v>
      </c>
      <c r="E82" s="130">
        <f t="shared" ref="E82:AB82" si="33">(D76*$D$20*$D$15*(365/$D$77))+(C76*$D$20*$D$15*($D$77-365)/$D$77)</f>
        <v>122964.90536038759</v>
      </c>
      <c r="F82" s="130">
        <f t="shared" si="33"/>
        <v>227677.45911568744</v>
      </c>
      <c r="G82" s="130">
        <f t="shared" si="33"/>
        <v>331162.25696547545</v>
      </c>
      <c r="H82" s="130">
        <f t="shared" si="33"/>
        <v>451562.18276801932</v>
      </c>
      <c r="I82" s="130">
        <f t="shared" si="33"/>
        <v>545255.84191399149</v>
      </c>
      <c r="J82" s="130">
        <f t="shared" si="33"/>
        <v>545737.49999999988</v>
      </c>
      <c r="K82" s="130">
        <f t="shared" si="33"/>
        <v>545737.49999999988</v>
      </c>
      <c r="L82" s="130">
        <f t="shared" si="33"/>
        <v>545737.49999999988</v>
      </c>
      <c r="M82" s="130">
        <f t="shared" si="33"/>
        <v>545737.49999999988</v>
      </c>
      <c r="N82" s="130">
        <f t="shared" si="33"/>
        <v>545737.49999999988</v>
      </c>
      <c r="O82" s="130">
        <f t="shared" si="33"/>
        <v>545737.49999999988</v>
      </c>
      <c r="P82" s="130">
        <f t="shared" si="33"/>
        <v>545737.49999999988</v>
      </c>
      <c r="Q82" s="130">
        <f t="shared" si="33"/>
        <v>545737.49999999988</v>
      </c>
      <c r="R82" s="130">
        <f t="shared" si="33"/>
        <v>545737.49999999988</v>
      </c>
      <c r="S82" s="130">
        <f t="shared" si="33"/>
        <v>545737.49999999988</v>
      </c>
      <c r="T82" s="130">
        <f t="shared" si="33"/>
        <v>545737.49999999988</v>
      </c>
      <c r="U82" s="130">
        <f t="shared" si="33"/>
        <v>545737.49999999988</v>
      </c>
      <c r="V82" s="130">
        <f t="shared" si="33"/>
        <v>545737.49999999988</v>
      </c>
      <c r="W82" s="130">
        <f t="shared" si="33"/>
        <v>545737.49999999988</v>
      </c>
      <c r="X82" s="130">
        <f t="shared" si="33"/>
        <v>545737.49999999988</v>
      </c>
      <c r="Y82" s="130">
        <f t="shared" si="33"/>
        <v>545737.49999999988</v>
      </c>
      <c r="Z82" s="130">
        <f t="shared" si="33"/>
        <v>545737.49999999988</v>
      </c>
      <c r="AA82" s="130">
        <f t="shared" si="33"/>
        <v>545737.49999999988</v>
      </c>
      <c r="AB82" s="130">
        <f t="shared" si="33"/>
        <v>545737.49999999988</v>
      </c>
    </row>
    <row r="83" spans="1:28" ht="38.25" x14ac:dyDescent="0.25">
      <c r="A83" s="222" t="s">
        <v>200</v>
      </c>
      <c r="B83" s="137" t="s">
        <v>201</v>
      </c>
      <c r="C83" s="104"/>
      <c r="D83" s="138">
        <f>D82*$C$81*1.03/1000/1000</f>
        <v>6.3376880390411214</v>
      </c>
      <c r="E83" s="138">
        <f t="shared" ref="E83:AB83" si="34">E82*$C$81*1.03/1000/1000</f>
        <v>14.542767760882619</v>
      </c>
      <c r="F83" s="138">
        <f t="shared" si="34"/>
        <v>26.926873180629695</v>
      </c>
      <c r="G83" s="138">
        <f t="shared" si="34"/>
        <v>39.165774820903415</v>
      </c>
      <c r="H83" s="138">
        <f t="shared" si="34"/>
        <v>53.40518853201219</v>
      </c>
      <c r="I83" s="138">
        <f t="shared" si="34"/>
        <v>64.486115416262123</v>
      </c>
      <c r="J83" s="138">
        <f t="shared" si="34"/>
        <v>64.543079975901662</v>
      </c>
      <c r="K83" s="138">
        <f t="shared" si="34"/>
        <v>64.543079975901662</v>
      </c>
      <c r="L83" s="138">
        <f t="shared" si="34"/>
        <v>64.543079975901662</v>
      </c>
      <c r="M83" s="138">
        <f t="shared" si="34"/>
        <v>64.543079975901662</v>
      </c>
      <c r="N83" s="138">
        <f t="shared" si="34"/>
        <v>64.543079975901662</v>
      </c>
      <c r="O83" s="138">
        <f t="shared" si="34"/>
        <v>64.543079975901662</v>
      </c>
      <c r="P83" s="138">
        <f t="shared" si="34"/>
        <v>64.543079975901662</v>
      </c>
      <c r="Q83" s="138">
        <f t="shared" si="34"/>
        <v>64.543079975901662</v>
      </c>
      <c r="R83" s="138">
        <f t="shared" si="34"/>
        <v>64.543079975901662</v>
      </c>
      <c r="S83" s="138">
        <f t="shared" si="34"/>
        <v>64.543079975901662</v>
      </c>
      <c r="T83" s="138">
        <f t="shared" si="34"/>
        <v>64.543079975901662</v>
      </c>
      <c r="U83" s="138">
        <f t="shared" si="34"/>
        <v>64.543079975901662</v>
      </c>
      <c r="V83" s="138">
        <f t="shared" si="34"/>
        <v>64.543079975901662</v>
      </c>
      <c r="W83" s="138">
        <f t="shared" si="34"/>
        <v>64.543079975901662</v>
      </c>
      <c r="X83" s="138">
        <f t="shared" si="34"/>
        <v>64.543079975901662</v>
      </c>
      <c r="Y83" s="138">
        <f t="shared" si="34"/>
        <v>64.543079975901662</v>
      </c>
      <c r="Z83" s="138">
        <f t="shared" si="34"/>
        <v>64.543079975901662</v>
      </c>
      <c r="AA83" s="138">
        <f t="shared" si="34"/>
        <v>64.543079975901662</v>
      </c>
      <c r="AB83" s="138">
        <f t="shared" si="34"/>
        <v>64.543079975901662</v>
      </c>
    </row>
    <row r="84" spans="1:28" x14ac:dyDescent="0.25">
      <c r="A84" s="120" t="s">
        <v>352</v>
      </c>
      <c r="B84" s="103"/>
      <c r="C84" s="103"/>
      <c r="D84" s="103"/>
      <c r="E84" s="103"/>
      <c r="F84" s="103"/>
      <c r="G84" s="294"/>
      <c r="H84" s="103"/>
      <c r="I84" s="103"/>
      <c r="J84" s="103"/>
      <c r="K84" s="103"/>
      <c r="L84" s="103"/>
      <c r="M84" s="103"/>
      <c r="N84" s="103"/>
      <c r="O84" s="103"/>
      <c r="P84" s="103"/>
      <c r="Q84" s="103"/>
      <c r="R84" s="103"/>
    </row>
    <row r="85" spans="1:28" x14ac:dyDescent="0.25">
      <c r="A85" s="221" t="s">
        <v>140</v>
      </c>
      <c r="B85" s="103"/>
      <c r="C85" s="103"/>
      <c r="D85" s="103"/>
      <c r="E85" s="103"/>
      <c r="F85" s="103"/>
      <c r="G85" s="131"/>
      <c r="H85" s="131"/>
      <c r="I85" s="131"/>
      <c r="J85" s="131"/>
      <c r="K85" s="131"/>
      <c r="L85" s="131"/>
      <c r="M85" s="131"/>
      <c r="N85" s="131"/>
      <c r="O85" s="131"/>
      <c r="P85" s="131"/>
      <c r="Q85" s="131"/>
      <c r="R85" s="131"/>
      <c r="S85" s="131"/>
      <c r="T85" s="131"/>
      <c r="U85" s="131"/>
      <c r="V85" s="131"/>
      <c r="W85" s="131"/>
      <c r="X85" s="131"/>
    </row>
    <row r="86" spans="1:28" x14ac:dyDescent="0.25">
      <c r="A86" s="120" t="s">
        <v>120</v>
      </c>
      <c r="B86" s="103" t="s">
        <v>56</v>
      </c>
      <c r="C86" s="103"/>
      <c r="D86" s="131">
        <f>D82/2/100000*$D$16</f>
        <v>0.24114456768625075</v>
      </c>
      <c r="E86" s="131">
        <f t="shared" ref="E86:AB86" si="35">E82/2/100000*$D$16</f>
        <v>0.55334207412174419</v>
      </c>
      <c r="F86" s="131">
        <f t="shared" si="35"/>
        <v>1.0245485660205935</v>
      </c>
      <c r="G86" s="131">
        <f t="shared" si="35"/>
        <v>1.4902301563446394</v>
      </c>
      <c r="H86" s="131">
        <f t="shared" si="35"/>
        <v>2.0320298224560869</v>
      </c>
      <c r="I86" s="131">
        <f t="shared" si="35"/>
        <v>2.4536512886129618</v>
      </c>
      <c r="J86" s="131">
        <f t="shared" si="35"/>
        <v>2.4558187499999997</v>
      </c>
      <c r="K86" s="131">
        <f t="shared" si="35"/>
        <v>2.4558187499999997</v>
      </c>
      <c r="L86" s="131">
        <f t="shared" si="35"/>
        <v>2.4558187499999997</v>
      </c>
      <c r="M86" s="131">
        <f t="shared" si="35"/>
        <v>2.4558187499999997</v>
      </c>
      <c r="N86" s="131">
        <f t="shared" si="35"/>
        <v>2.4558187499999997</v>
      </c>
      <c r="O86" s="131">
        <f t="shared" si="35"/>
        <v>2.4558187499999997</v>
      </c>
      <c r="P86" s="131">
        <f t="shared" si="35"/>
        <v>2.4558187499999997</v>
      </c>
      <c r="Q86" s="131">
        <f t="shared" si="35"/>
        <v>2.4558187499999997</v>
      </c>
      <c r="R86" s="131">
        <f t="shared" si="35"/>
        <v>2.4558187499999997</v>
      </c>
      <c r="S86" s="131">
        <f t="shared" si="35"/>
        <v>2.4558187499999997</v>
      </c>
      <c r="T86" s="131">
        <f t="shared" si="35"/>
        <v>2.4558187499999997</v>
      </c>
      <c r="U86" s="131">
        <f t="shared" si="35"/>
        <v>2.4558187499999997</v>
      </c>
      <c r="V86" s="131">
        <f t="shared" si="35"/>
        <v>2.4558187499999997</v>
      </c>
      <c r="W86" s="131">
        <f t="shared" si="35"/>
        <v>2.4558187499999997</v>
      </c>
      <c r="X86" s="131">
        <f t="shared" si="35"/>
        <v>2.4558187499999997</v>
      </c>
      <c r="Y86" s="131">
        <f t="shared" si="35"/>
        <v>2.4558187499999997</v>
      </c>
      <c r="Z86" s="131">
        <f t="shared" si="35"/>
        <v>2.4558187499999997</v>
      </c>
      <c r="AA86" s="131">
        <f t="shared" si="35"/>
        <v>2.4558187499999997</v>
      </c>
      <c r="AB86" s="131">
        <f t="shared" si="35"/>
        <v>2.4558187499999997</v>
      </c>
    </row>
    <row r="87" spans="1:28" x14ac:dyDescent="0.25">
      <c r="A87" s="120" t="s">
        <v>192</v>
      </c>
      <c r="B87" s="103" t="s">
        <v>56</v>
      </c>
      <c r="C87" s="103"/>
      <c r="D87" s="131"/>
      <c r="E87" s="131"/>
      <c r="F87" s="131"/>
      <c r="G87" s="131">
        <f>D86</f>
        <v>0.24114456768625075</v>
      </c>
      <c r="H87" s="131">
        <f>SUM(D86:E86)</f>
        <v>0.794486641807995</v>
      </c>
      <c r="I87" s="131">
        <f>SUM(D86:F86)</f>
        <v>1.8190352078285885</v>
      </c>
      <c r="J87" s="131">
        <f>SUM(D86:G86)</f>
        <v>3.3092653641732279</v>
      </c>
      <c r="K87" s="131">
        <f>SUM(D86:H86)</f>
        <v>5.3412951866293152</v>
      </c>
      <c r="L87" s="131">
        <f t="shared" ref="L87:Q87" si="36">SUM(E86:I86)</f>
        <v>7.5538019075560259</v>
      </c>
      <c r="M87" s="131">
        <f t="shared" si="36"/>
        <v>9.4562785834342815</v>
      </c>
      <c r="N87" s="131">
        <f t="shared" si="36"/>
        <v>10.887548767413687</v>
      </c>
      <c r="O87" s="131">
        <f t="shared" si="36"/>
        <v>11.853137361069049</v>
      </c>
      <c r="P87" s="131">
        <f t="shared" si="36"/>
        <v>12.276926288612959</v>
      </c>
      <c r="Q87" s="131">
        <f t="shared" si="36"/>
        <v>12.279093749999998</v>
      </c>
      <c r="R87" s="131">
        <f t="shared" ref="R87:AB87" si="37">SUM(K86:O86)</f>
        <v>12.279093749999998</v>
      </c>
      <c r="S87" s="131">
        <f t="shared" si="37"/>
        <v>12.279093749999998</v>
      </c>
      <c r="T87" s="131">
        <f t="shared" si="37"/>
        <v>12.279093749999998</v>
      </c>
      <c r="U87" s="131">
        <f t="shared" si="37"/>
        <v>12.279093749999998</v>
      </c>
      <c r="V87" s="131">
        <f t="shared" si="37"/>
        <v>12.279093749999998</v>
      </c>
      <c r="W87" s="131">
        <f t="shared" si="37"/>
        <v>12.279093749999998</v>
      </c>
      <c r="X87" s="131">
        <f t="shared" si="37"/>
        <v>12.279093749999998</v>
      </c>
      <c r="Y87" s="131">
        <f t="shared" si="37"/>
        <v>12.279093749999998</v>
      </c>
      <c r="Z87" s="131">
        <f t="shared" si="37"/>
        <v>12.279093749999998</v>
      </c>
      <c r="AA87" s="131">
        <f t="shared" si="37"/>
        <v>12.279093749999998</v>
      </c>
      <c r="AB87" s="131">
        <f t="shared" si="37"/>
        <v>12.279093749999998</v>
      </c>
    </row>
    <row r="88" spans="1:28" ht="30" x14ac:dyDescent="0.25">
      <c r="A88" s="120" t="s">
        <v>190</v>
      </c>
      <c r="B88" s="103" t="s">
        <v>51</v>
      </c>
      <c r="C88" s="103"/>
      <c r="D88" s="131"/>
      <c r="E88" s="131"/>
      <c r="F88" s="131"/>
      <c r="G88" s="131">
        <f>(1+$D$14*5)*D11</f>
        <v>2632.5442499999999</v>
      </c>
      <c r="H88" s="131">
        <f>(1+$D$14)*G88</f>
        <v>2658.8696924999999</v>
      </c>
      <c r="I88" s="131">
        <f t="shared" ref="I88:AB88" si="38">(1+$D$14)*H88</f>
        <v>2685.458389425</v>
      </c>
      <c r="J88" s="131">
        <f t="shared" si="38"/>
        <v>2712.31297331925</v>
      </c>
      <c r="K88" s="131">
        <f t="shared" si="38"/>
        <v>2739.4361030524424</v>
      </c>
      <c r="L88" s="131">
        <f t="shared" si="38"/>
        <v>2766.830464082967</v>
      </c>
      <c r="M88" s="131">
        <f t="shared" si="38"/>
        <v>2794.4987687237967</v>
      </c>
      <c r="N88" s="131">
        <f t="shared" si="38"/>
        <v>2822.4437564110349</v>
      </c>
      <c r="O88" s="131">
        <f t="shared" si="38"/>
        <v>2850.6681939751452</v>
      </c>
      <c r="P88" s="131">
        <f t="shared" si="38"/>
        <v>2879.1748759148968</v>
      </c>
      <c r="Q88" s="131">
        <f t="shared" si="38"/>
        <v>2907.9666246740458</v>
      </c>
      <c r="R88" s="131">
        <f t="shared" si="38"/>
        <v>2937.0462909207863</v>
      </c>
      <c r="S88" s="131">
        <f t="shared" si="38"/>
        <v>2966.4167538299944</v>
      </c>
      <c r="T88" s="131">
        <f t="shared" si="38"/>
        <v>2996.0809213682942</v>
      </c>
      <c r="U88" s="131">
        <f t="shared" si="38"/>
        <v>3026.0417305819769</v>
      </c>
      <c r="V88" s="131">
        <f t="shared" si="38"/>
        <v>3056.3021478877968</v>
      </c>
      <c r="W88" s="131">
        <f t="shared" si="38"/>
        <v>3086.8651693666748</v>
      </c>
      <c r="X88" s="131">
        <f t="shared" si="38"/>
        <v>3117.7338210603416</v>
      </c>
      <c r="Y88" s="131">
        <f t="shared" si="38"/>
        <v>3148.9111592709451</v>
      </c>
      <c r="Z88" s="131">
        <f t="shared" si="38"/>
        <v>3180.4002708636544</v>
      </c>
      <c r="AA88" s="131">
        <f t="shared" si="38"/>
        <v>3212.2042735722912</v>
      </c>
      <c r="AB88" s="131">
        <f t="shared" si="38"/>
        <v>3244.3263163080142</v>
      </c>
    </row>
    <row r="89" spans="1:28" ht="45" x14ac:dyDescent="0.25">
      <c r="A89" s="120" t="s">
        <v>191</v>
      </c>
      <c r="B89" s="103" t="s">
        <v>51</v>
      </c>
      <c r="C89" s="103"/>
      <c r="D89" s="131"/>
      <c r="E89" s="131"/>
      <c r="F89" s="131"/>
      <c r="G89" s="131">
        <f>G88-$D$11</f>
        <v>125.35924999999997</v>
      </c>
      <c r="H89" s="131">
        <f t="shared" ref="H89:AB89" si="39">H88-$D$11</f>
        <v>151.68469249999998</v>
      </c>
      <c r="I89" s="131">
        <f t="shared" si="39"/>
        <v>178.273389425</v>
      </c>
      <c r="J89" s="131">
        <f t="shared" si="39"/>
        <v>205.12797331925003</v>
      </c>
      <c r="K89" s="131">
        <f t="shared" si="39"/>
        <v>232.25110305244243</v>
      </c>
      <c r="L89" s="131">
        <f t="shared" si="39"/>
        <v>259.64546408296701</v>
      </c>
      <c r="M89" s="131">
        <f t="shared" si="39"/>
        <v>287.31376872379678</v>
      </c>
      <c r="N89" s="131">
        <f t="shared" si="39"/>
        <v>315.25875641103494</v>
      </c>
      <c r="O89" s="131">
        <f t="shared" si="39"/>
        <v>343.48319397514524</v>
      </c>
      <c r="P89" s="131">
        <f t="shared" si="39"/>
        <v>371.98987591489686</v>
      </c>
      <c r="Q89" s="131">
        <f t="shared" si="39"/>
        <v>400.78162467404582</v>
      </c>
      <c r="R89" s="131">
        <f t="shared" si="39"/>
        <v>429.86129092078636</v>
      </c>
      <c r="S89" s="131">
        <f t="shared" si="39"/>
        <v>459.23175382999443</v>
      </c>
      <c r="T89" s="131">
        <f t="shared" si="39"/>
        <v>488.89592136829424</v>
      </c>
      <c r="U89" s="131">
        <f t="shared" si="39"/>
        <v>518.85673058197699</v>
      </c>
      <c r="V89" s="131">
        <f t="shared" si="39"/>
        <v>549.11714788779682</v>
      </c>
      <c r="W89" s="131">
        <f t="shared" si="39"/>
        <v>579.68016936667482</v>
      </c>
      <c r="X89" s="131">
        <f t="shared" si="39"/>
        <v>610.54882106034165</v>
      </c>
      <c r="Y89" s="131">
        <f t="shared" si="39"/>
        <v>641.72615927094512</v>
      </c>
      <c r="Z89" s="131">
        <f t="shared" si="39"/>
        <v>673.2152708636545</v>
      </c>
      <c r="AA89" s="131">
        <f t="shared" si="39"/>
        <v>705.01927357229124</v>
      </c>
      <c r="AB89" s="131">
        <f t="shared" si="39"/>
        <v>737.14131630801421</v>
      </c>
    </row>
    <row r="90" spans="1:28" x14ac:dyDescent="0.25">
      <c r="A90" s="103"/>
      <c r="B90" s="103"/>
      <c r="C90" s="103"/>
      <c r="D90" s="131"/>
      <c r="E90" s="131"/>
      <c r="F90" s="131"/>
      <c r="G90" s="131"/>
      <c r="H90" s="131"/>
      <c r="I90" s="131"/>
      <c r="J90" s="131"/>
      <c r="K90" s="131"/>
      <c r="L90" s="131"/>
      <c r="M90" s="131"/>
      <c r="N90" s="131"/>
      <c r="O90" s="131"/>
      <c r="P90" s="131"/>
      <c r="Q90" s="131"/>
      <c r="R90" s="131"/>
      <c r="S90" s="131"/>
      <c r="T90" s="131"/>
      <c r="U90" s="131"/>
      <c r="V90" s="131"/>
      <c r="W90" s="131"/>
      <c r="X90" s="131"/>
      <c r="Y90" s="131"/>
      <c r="Z90" s="131"/>
      <c r="AA90" s="131"/>
      <c r="AB90" s="131"/>
    </row>
    <row r="91" spans="1:28" x14ac:dyDescent="0.25">
      <c r="A91" s="103" t="s">
        <v>183</v>
      </c>
      <c r="B91" s="103"/>
      <c r="C91" s="103"/>
      <c r="D91" s="131"/>
      <c r="E91" s="131"/>
      <c r="F91" s="131"/>
      <c r="G91" s="131"/>
      <c r="H91" s="131"/>
      <c r="I91" s="131"/>
      <c r="J91" s="131"/>
      <c r="K91" s="131"/>
      <c r="L91" s="131"/>
      <c r="M91" s="131"/>
      <c r="N91" s="131"/>
      <c r="O91" s="131"/>
      <c r="P91" s="131"/>
      <c r="Q91" s="131"/>
      <c r="R91" s="131"/>
      <c r="S91" s="131"/>
      <c r="T91" s="131"/>
      <c r="U91" s="131"/>
      <c r="V91" s="131"/>
      <c r="W91" s="131"/>
      <c r="X91" s="131"/>
      <c r="Y91" s="131"/>
      <c r="Z91" s="131"/>
      <c r="AA91" s="131"/>
      <c r="AB91" s="131"/>
    </row>
    <row r="92" spans="1:28" x14ac:dyDescent="0.25">
      <c r="A92" s="103" t="s">
        <v>184</v>
      </c>
      <c r="B92" s="103" t="s">
        <v>51</v>
      </c>
      <c r="C92" s="103"/>
      <c r="D92" s="131"/>
      <c r="E92" s="131"/>
      <c r="F92" s="131"/>
      <c r="G92" s="130">
        <f>G89*D86*100000</f>
        <v>3022970.2146722623</v>
      </c>
      <c r="H92" s="130">
        <f t="shared" ref="H92:AB92" si="40">H89*E86*100000</f>
        <v>8393352.2360468972</v>
      </c>
      <c r="I92" s="130">
        <f t="shared" si="40"/>
        <v>18264974.54950146</v>
      </c>
      <c r="J92" s="130">
        <f t="shared" si="40"/>
        <v>30568789.175020497</v>
      </c>
      <c r="K92" s="130">
        <f t="shared" si="40"/>
        <v>47194116.770088494</v>
      </c>
      <c r="L92" s="130">
        <f t="shared" si="40"/>
        <v>63707942.752968244</v>
      </c>
      <c r="M92" s="130">
        <f t="shared" si="40"/>
        <v>70559054.036506355</v>
      </c>
      <c r="N92" s="130">
        <f t="shared" si="40"/>
        <v>77421836.509590223</v>
      </c>
      <c r="O92" s="130">
        <f t="shared" si="40"/>
        <v>84353246.807404861</v>
      </c>
      <c r="P92" s="130">
        <f t="shared" si="40"/>
        <v>91353971.208197698</v>
      </c>
      <c r="Q92" s="130">
        <f t="shared" si="40"/>
        <v>98424702.852998421</v>
      </c>
      <c r="R92" s="130">
        <f t="shared" si="40"/>
        <v>105566141.81424718</v>
      </c>
      <c r="S92" s="130">
        <f t="shared" si="40"/>
        <v>112778995.16510844</v>
      </c>
      <c r="T92" s="130">
        <f t="shared" si="40"/>
        <v>120063977.04947823</v>
      </c>
      <c r="U92" s="130">
        <f t="shared" si="40"/>
        <v>127421808.75269173</v>
      </c>
      <c r="V92" s="130">
        <f t="shared" si="40"/>
        <v>134853218.77293742</v>
      </c>
      <c r="W92" s="130">
        <f t="shared" si="40"/>
        <v>142358942.89338556</v>
      </c>
      <c r="X92" s="130">
        <f t="shared" si="40"/>
        <v>149939724.25503817</v>
      </c>
      <c r="Y92" s="130">
        <f t="shared" si="40"/>
        <v>157596313.43030733</v>
      </c>
      <c r="Z92" s="130">
        <f t="shared" si="40"/>
        <v>165329468.49732912</v>
      </c>
      <c r="AA92" s="130">
        <f t="shared" si="40"/>
        <v>173139955.1150212</v>
      </c>
      <c r="AB92" s="130">
        <f t="shared" si="40"/>
        <v>181028546.59889019</v>
      </c>
    </row>
    <row r="93" spans="1:28" x14ac:dyDescent="0.25">
      <c r="A93" s="103" t="s">
        <v>185</v>
      </c>
      <c r="B93" s="103" t="s">
        <v>51</v>
      </c>
      <c r="C93" s="103"/>
      <c r="D93" s="131"/>
      <c r="E93" s="131"/>
      <c r="F93" s="131"/>
      <c r="G93" s="130"/>
      <c r="H93" s="130">
        <f>G89*D86*100000</f>
        <v>3022970.2146722623</v>
      </c>
      <c r="I93" s="130">
        <f t="shared" ref="I93:AB93" si="41">H89*E86*100000</f>
        <v>8393352.2360468972</v>
      </c>
      <c r="J93" s="130">
        <f t="shared" si="41"/>
        <v>18264974.54950146</v>
      </c>
      <c r="K93" s="130">
        <f t="shared" si="41"/>
        <v>30568789.175020497</v>
      </c>
      <c r="L93" s="130">
        <f t="shared" si="41"/>
        <v>47194116.770088494</v>
      </c>
      <c r="M93" s="130">
        <f t="shared" si="41"/>
        <v>63707942.752968244</v>
      </c>
      <c r="N93" s="130">
        <f t="shared" si="41"/>
        <v>70559054.036506355</v>
      </c>
      <c r="O93" s="130">
        <f t="shared" si="41"/>
        <v>77421836.509590223</v>
      </c>
      <c r="P93" s="130">
        <f t="shared" si="41"/>
        <v>84353246.807404861</v>
      </c>
      <c r="Q93" s="130">
        <f t="shared" si="41"/>
        <v>91353971.208197698</v>
      </c>
      <c r="R93" s="130">
        <f t="shared" si="41"/>
        <v>98424702.852998421</v>
      </c>
      <c r="S93" s="130">
        <f t="shared" si="41"/>
        <v>105566141.81424718</v>
      </c>
      <c r="T93" s="130">
        <f t="shared" si="41"/>
        <v>112778995.16510844</v>
      </c>
      <c r="U93" s="130">
        <f t="shared" si="41"/>
        <v>120063977.04947823</v>
      </c>
      <c r="V93" s="130">
        <f t="shared" si="41"/>
        <v>127421808.75269173</v>
      </c>
      <c r="W93" s="130">
        <f t="shared" si="41"/>
        <v>134853218.77293742</v>
      </c>
      <c r="X93" s="130">
        <f t="shared" si="41"/>
        <v>142358942.89338556</v>
      </c>
      <c r="Y93" s="130">
        <f t="shared" si="41"/>
        <v>149939724.25503817</v>
      </c>
      <c r="Z93" s="130">
        <f t="shared" si="41"/>
        <v>157596313.43030733</v>
      </c>
      <c r="AA93" s="130">
        <f t="shared" si="41"/>
        <v>165329468.49732912</v>
      </c>
      <c r="AB93" s="130">
        <f t="shared" si="41"/>
        <v>173139955.1150212</v>
      </c>
    </row>
    <row r="94" spans="1:28" x14ac:dyDescent="0.25">
      <c r="A94" s="103" t="s">
        <v>186</v>
      </c>
      <c r="B94" s="103" t="s">
        <v>51</v>
      </c>
      <c r="C94" s="103"/>
      <c r="D94" s="131"/>
      <c r="E94" s="131"/>
      <c r="F94" s="131"/>
      <c r="G94" s="130"/>
      <c r="H94" s="130"/>
      <c r="I94" s="130">
        <f>G89*D86*100000</f>
        <v>3022970.2146722623</v>
      </c>
      <c r="J94" s="130">
        <f t="shared" ref="J94:AB94" si="42">H89*E86*100000</f>
        <v>8393352.2360468972</v>
      </c>
      <c r="K94" s="130">
        <f t="shared" si="42"/>
        <v>18264974.54950146</v>
      </c>
      <c r="L94" s="130">
        <f t="shared" si="42"/>
        <v>30568789.175020497</v>
      </c>
      <c r="M94" s="130">
        <f t="shared" si="42"/>
        <v>47194116.770088494</v>
      </c>
      <c r="N94" s="130">
        <f t="shared" si="42"/>
        <v>63707942.752968244</v>
      </c>
      <c r="O94" s="130">
        <f t="shared" si="42"/>
        <v>70559054.036506355</v>
      </c>
      <c r="P94" s="130">
        <f t="shared" si="42"/>
        <v>77421836.509590223</v>
      </c>
      <c r="Q94" s="130">
        <f t="shared" si="42"/>
        <v>84353246.807404861</v>
      </c>
      <c r="R94" s="130">
        <f t="shared" si="42"/>
        <v>91353971.208197698</v>
      </c>
      <c r="S94" s="130">
        <f t="shared" si="42"/>
        <v>98424702.852998421</v>
      </c>
      <c r="T94" s="130">
        <f t="shared" si="42"/>
        <v>105566141.81424718</v>
      </c>
      <c r="U94" s="130">
        <f t="shared" si="42"/>
        <v>112778995.16510844</v>
      </c>
      <c r="V94" s="130">
        <f t="shared" si="42"/>
        <v>120063977.04947823</v>
      </c>
      <c r="W94" s="130">
        <f t="shared" si="42"/>
        <v>127421808.75269173</v>
      </c>
      <c r="X94" s="130">
        <f t="shared" si="42"/>
        <v>134853218.77293742</v>
      </c>
      <c r="Y94" s="130">
        <f t="shared" si="42"/>
        <v>142358942.89338556</v>
      </c>
      <c r="Z94" s="130">
        <f t="shared" si="42"/>
        <v>149939724.25503817</v>
      </c>
      <c r="AA94" s="130">
        <f t="shared" si="42"/>
        <v>157596313.43030733</v>
      </c>
      <c r="AB94" s="130">
        <f t="shared" si="42"/>
        <v>165329468.49732912</v>
      </c>
    </row>
    <row r="95" spans="1:28" x14ac:dyDescent="0.25">
      <c r="A95" s="103" t="s">
        <v>187</v>
      </c>
      <c r="B95" s="103" t="s">
        <v>51</v>
      </c>
      <c r="C95" s="103"/>
      <c r="D95" s="131"/>
      <c r="E95" s="131"/>
      <c r="F95" s="131"/>
      <c r="G95" s="130"/>
      <c r="H95" s="130"/>
      <c r="I95" s="130"/>
      <c r="J95" s="130">
        <f>G89*D86*100000</f>
        <v>3022970.2146722623</v>
      </c>
      <c r="K95" s="130">
        <f t="shared" ref="K95:AB95" si="43">H89*E86*100000</f>
        <v>8393352.2360468972</v>
      </c>
      <c r="L95" s="130">
        <f t="shared" si="43"/>
        <v>18264974.54950146</v>
      </c>
      <c r="M95" s="130">
        <f t="shared" si="43"/>
        <v>30568789.175020497</v>
      </c>
      <c r="N95" s="130">
        <f t="shared" si="43"/>
        <v>47194116.770088494</v>
      </c>
      <c r="O95" s="130">
        <f t="shared" si="43"/>
        <v>63707942.752968244</v>
      </c>
      <c r="P95" s="130">
        <f t="shared" si="43"/>
        <v>70559054.036506355</v>
      </c>
      <c r="Q95" s="130">
        <f t="shared" si="43"/>
        <v>77421836.509590223</v>
      </c>
      <c r="R95" s="130">
        <f t="shared" si="43"/>
        <v>84353246.807404861</v>
      </c>
      <c r="S95" s="130">
        <f t="shared" si="43"/>
        <v>91353971.208197698</v>
      </c>
      <c r="T95" s="130">
        <f t="shared" si="43"/>
        <v>98424702.852998421</v>
      </c>
      <c r="U95" s="130">
        <f t="shared" si="43"/>
        <v>105566141.81424718</v>
      </c>
      <c r="V95" s="130">
        <f t="shared" si="43"/>
        <v>112778995.16510844</v>
      </c>
      <c r="W95" s="130">
        <f t="shared" si="43"/>
        <v>120063977.04947823</v>
      </c>
      <c r="X95" s="130">
        <f t="shared" si="43"/>
        <v>127421808.75269173</v>
      </c>
      <c r="Y95" s="130">
        <f t="shared" si="43"/>
        <v>134853218.77293742</v>
      </c>
      <c r="Z95" s="130">
        <f t="shared" si="43"/>
        <v>142358942.89338556</v>
      </c>
      <c r="AA95" s="130">
        <f t="shared" si="43"/>
        <v>149939724.25503817</v>
      </c>
      <c r="AB95" s="130">
        <f t="shared" si="43"/>
        <v>157596313.43030733</v>
      </c>
    </row>
    <row r="96" spans="1:28" x14ac:dyDescent="0.25">
      <c r="A96" s="103" t="s">
        <v>188</v>
      </c>
      <c r="B96" s="103" t="s">
        <v>51</v>
      </c>
      <c r="C96" s="103"/>
      <c r="D96" s="131"/>
      <c r="E96" s="131"/>
      <c r="F96" s="131"/>
      <c r="G96" s="130"/>
      <c r="H96" s="130"/>
      <c r="I96" s="130"/>
      <c r="J96" s="130"/>
      <c r="K96" s="130">
        <f>G89*D86*100000</f>
        <v>3022970.2146722623</v>
      </c>
      <c r="L96" s="130">
        <f t="shared" ref="L96:AB96" si="44">H89*E86*100000</f>
        <v>8393352.2360468972</v>
      </c>
      <c r="M96" s="130">
        <f t="shared" si="44"/>
        <v>18264974.54950146</v>
      </c>
      <c r="N96" s="130">
        <f t="shared" si="44"/>
        <v>30568789.175020497</v>
      </c>
      <c r="O96" s="130">
        <f t="shared" si="44"/>
        <v>47194116.770088494</v>
      </c>
      <c r="P96" s="130">
        <f t="shared" si="44"/>
        <v>63707942.752968244</v>
      </c>
      <c r="Q96" s="130">
        <f t="shared" si="44"/>
        <v>70559054.036506355</v>
      </c>
      <c r="R96" s="130">
        <f t="shared" si="44"/>
        <v>77421836.509590223</v>
      </c>
      <c r="S96" s="130">
        <f t="shared" si="44"/>
        <v>84353246.807404861</v>
      </c>
      <c r="T96" s="130">
        <f t="shared" si="44"/>
        <v>91353971.208197698</v>
      </c>
      <c r="U96" s="130">
        <f t="shared" si="44"/>
        <v>98424702.852998421</v>
      </c>
      <c r="V96" s="130">
        <f t="shared" si="44"/>
        <v>105566141.81424718</v>
      </c>
      <c r="W96" s="130">
        <f t="shared" si="44"/>
        <v>112778995.16510844</v>
      </c>
      <c r="X96" s="130">
        <f t="shared" si="44"/>
        <v>120063977.04947823</v>
      </c>
      <c r="Y96" s="130">
        <f t="shared" si="44"/>
        <v>127421808.75269173</v>
      </c>
      <c r="Z96" s="130">
        <f t="shared" si="44"/>
        <v>134853218.77293742</v>
      </c>
      <c r="AA96" s="130">
        <f t="shared" si="44"/>
        <v>142358942.89338556</v>
      </c>
      <c r="AB96" s="130">
        <f t="shared" si="44"/>
        <v>149939724.25503817</v>
      </c>
    </row>
    <row r="97" spans="1:29" x14ac:dyDescent="0.25">
      <c r="A97" s="104" t="s">
        <v>31</v>
      </c>
      <c r="B97" s="104" t="s">
        <v>51</v>
      </c>
      <c r="C97" s="103"/>
      <c r="D97" s="131"/>
      <c r="E97" s="131"/>
      <c r="F97" s="131"/>
      <c r="G97" s="141">
        <f>SUM(G92:G96)</f>
        <v>3022970.2146722623</v>
      </c>
      <c r="H97" s="141">
        <f t="shared" ref="H97:AB97" si="45">SUM(H92:H96)</f>
        <v>11416322.450719159</v>
      </c>
      <c r="I97" s="141">
        <f t="shared" si="45"/>
        <v>29681297.000220623</v>
      </c>
      <c r="J97" s="141">
        <f t="shared" si="45"/>
        <v>60250086.175241113</v>
      </c>
      <c r="K97" s="141">
        <f t="shared" si="45"/>
        <v>107444202.94532962</v>
      </c>
      <c r="L97" s="141">
        <f t="shared" si="45"/>
        <v>168129175.48362559</v>
      </c>
      <c r="M97" s="141">
        <f t="shared" si="45"/>
        <v>230294877.28408504</v>
      </c>
      <c r="N97" s="141">
        <f t="shared" si="45"/>
        <v>289451739.24417382</v>
      </c>
      <c r="O97" s="141">
        <f t="shared" si="45"/>
        <v>343236196.87655818</v>
      </c>
      <c r="P97" s="141">
        <f t="shared" si="45"/>
        <v>387396051.3146674</v>
      </c>
      <c r="Q97" s="141">
        <f t="shared" si="45"/>
        <v>422112811.41469753</v>
      </c>
      <c r="R97" s="141">
        <f t="shared" si="45"/>
        <v>457119899.19243836</v>
      </c>
      <c r="S97" s="141">
        <f t="shared" si="45"/>
        <v>492477057.84795666</v>
      </c>
      <c r="T97" s="141">
        <f t="shared" si="45"/>
        <v>528187788.09003001</v>
      </c>
      <c r="U97" s="141">
        <f t="shared" si="45"/>
        <v>564255625.63452399</v>
      </c>
      <c r="V97" s="141">
        <f t="shared" si="45"/>
        <v>600684141.55446303</v>
      </c>
      <c r="W97" s="141">
        <f t="shared" si="45"/>
        <v>637476942.63360143</v>
      </c>
      <c r="X97" s="141">
        <f t="shared" si="45"/>
        <v>674637671.72353101</v>
      </c>
      <c r="Y97" s="141">
        <f t="shared" si="45"/>
        <v>712170008.10436022</v>
      </c>
      <c r="Z97" s="141">
        <f t="shared" si="45"/>
        <v>750077667.84899759</v>
      </c>
      <c r="AA97" s="141">
        <f t="shared" si="45"/>
        <v>788364404.1910814</v>
      </c>
      <c r="AB97" s="141">
        <f t="shared" si="45"/>
        <v>827034007.89658606</v>
      </c>
    </row>
    <row r="98" spans="1:29" x14ac:dyDescent="0.25">
      <c r="A98" s="120"/>
      <c r="B98" s="103"/>
      <c r="C98" s="103"/>
      <c r="D98" s="131"/>
      <c r="E98" s="131"/>
      <c r="F98" s="131"/>
      <c r="G98" s="131"/>
      <c r="H98" s="131"/>
      <c r="I98" s="131"/>
      <c r="J98" s="131"/>
      <c r="K98" s="131"/>
      <c r="L98" s="131"/>
      <c r="M98" s="131"/>
      <c r="N98" s="131"/>
      <c r="O98" s="131"/>
      <c r="P98" s="131"/>
      <c r="Q98" s="131"/>
      <c r="R98" s="131"/>
      <c r="S98" s="131"/>
      <c r="T98" s="131"/>
      <c r="U98" s="131"/>
      <c r="V98" s="131"/>
      <c r="W98" s="131"/>
      <c r="X98" s="131"/>
      <c r="Y98" s="131"/>
      <c r="Z98" s="131"/>
      <c r="AA98" s="131"/>
      <c r="AB98" s="131"/>
    </row>
    <row r="99" spans="1:29" s="107" customFormat="1" ht="25.5" x14ac:dyDescent="0.25">
      <c r="A99" s="215" t="s">
        <v>204</v>
      </c>
      <c r="B99" s="216" t="s">
        <v>55</v>
      </c>
      <c r="C99" s="217"/>
      <c r="D99" s="218"/>
      <c r="E99" s="218"/>
      <c r="F99" s="218"/>
      <c r="G99" s="218">
        <f>G97*(365/$D$77)*1.03/1000/1000</f>
        <v>3.0976289733053699</v>
      </c>
      <c r="H99" s="218">
        <f t="shared" ref="H99:AB99" si="46">((G97*($D$77-365)/$D$77)+(H97*365/$D$77))*1.03/1000/1000</f>
        <v>11.714303463534137</v>
      </c>
      <c r="I99" s="218">
        <f t="shared" si="46"/>
        <v>30.474879549124342</v>
      </c>
      <c r="J99" s="218">
        <f t="shared" si="46"/>
        <v>61.895487155878534</v>
      </c>
      <c r="K99" s="218">
        <f t="shared" si="46"/>
        <v>110.41726586450589</v>
      </c>
      <c r="L99" s="218">
        <f t="shared" si="46"/>
        <v>172.85124763815691</v>
      </c>
      <c r="M99" s="218">
        <f t="shared" si="46"/>
        <v>236.8740684122605</v>
      </c>
      <c r="N99" s="218">
        <f t="shared" si="46"/>
        <v>297.82159164774947</v>
      </c>
      <c r="O99" s="218">
        <f t="shared" si="46"/>
        <v>353.24807204598545</v>
      </c>
      <c r="P99" s="218">
        <f t="shared" si="46"/>
        <v>398.78375991309855</v>
      </c>
      <c r="Q99" s="218">
        <f t="shared" si="46"/>
        <v>434.59209809834027</v>
      </c>
      <c r="R99" s="218">
        <f t="shared" si="46"/>
        <v>470.64785894622833</v>
      </c>
      <c r="S99" s="218">
        <f t="shared" si="46"/>
        <v>507.06387598919241</v>
      </c>
      <c r="T99" s="218">
        <f t="shared" si="46"/>
        <v>543.84405320258588</v>
      </c>
      <c r="U99" s="218">
        <f t="shared" si="46"/>
        <v>580.99203218811328</v>
      </c>
      <c r="V99" s="218">
        <f t="shared" si="46"/>
        <v>618.51149096349593</v>
      </c>
      <c r="W99" s="218">
        <f t="shared" si="46"/>
        <v>656.40614432663244</v>
      </c>
      <c r="X99" s="218">
        <f t="shared" si="46"/>
        <v>694.67974422340035</v>
      </c>
      <c r="Y99" s="218">
        <f t="shared" si="46"/>
        <v>733.33608011913611</v>
      </c>
      <c r="Z99" s="218">
        <f t="shared" si="46"/>
        <v>772.378979373829</v>
      </c>
      <c r="AA99" s="218">
        <f t="shared" si="46"/>
        <v>811.81230762106884</v>
      </c>
      <c r="AB99" s="218">
        <f t="shared" si="46"/>
        <v>851.63996915078133</v>
      </c>
      <c r="AC99" s="138"/>
    </row>
    <row r="100" spans="1:29" x14ac:dyDescent="0.25">
      <c r="A100" s="103"/>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c r="AA100" s="103"/>
      <c r="AB100" s="103"/>
    </row>
    <row r="101" spans="1:29" s="146" customFormat="1" ht="74.25" customHeight="1" x14ac:dyDescent="0.25">
      <c r="A101" s="142" t="s">
        <v>203</v>
      </c>
      <c r="B101" s="143" t="s">
        <v>55</v>
      </c>
      <c r="C101" s="145">
        <f t="shared" ref="C101:AB101" si="47">C99+C83</f>
        <v>0</v>
      </c>
      <c r="D101" s="145">
        <f t="shared" si="47"/>
        <v>6.3376880390411214</v>
      </c>
      <c r="E101" s="145">
        <f t="shared" si="47"/>
        <v>14.542767760882619</v>
      </c>
      <c r="F101" s="145">
        <f t="shared" si="47"/>
        <v>26.926873180629695</v>
      </c>
      <c r="G101" s="145">
        <f t="shared" si="47"/>
        <v>42.263403794208784</v>
      </c>
      <c r="H101" s="145">
        <f t="shared" si="47"/>
        <v>65.119491995546326</v>
      </c>
      <c r="I101" s="145">
        <f t="shared" si="47"/>
        <v>94.960994965386462</v>
      </c>
      <c r="J101" s="145">
        <f t="shared" si="47"/>
        <v>126.43856713178019</v>
      </c>
      <c r="K101" s="145">
        <f t="shared" si="47"/>
        <v>174.96034584040757</v>
      </c>
      <c r="L101" s="145">
        <f t="shared" si="47"/>
        <v>237.39432761405857</v>
      </c>
      <c r="M101" s="145">
        <f t="shared" si="47"/>
        <v>301.41714838816216</v>
      </c>
      <c r="N101" s="145">
        <f t="shared" si="47"/>
        <v>362.36467162365113</v>
      </c>
      <c r="O101" s="145">
        <f t="shared" si="47"/>
        <v>417.79115202188711</v>
      </c>
      <c r="P101" s="145">
        <f t="shared" si="47"/>
        <v>463.32683988900021</v>
      </c>
      <c r="Q101" s="145">
        <f t="shared" si="47"/>
        <v>499.13517807424194</v>
      </c>
      <c r="R101" s="145">
        <f t="shared" si="47"/>
        <v>535.19093892213004</v>
      </c>
      <c r="S101" s="145">
        <f t="shared" si="47"/>
        <v>571.60695596509413</v>
      </c>
      <c r="T101" s="145">
        <f t="shared" si="47"/>
        <v>608.3871331784876</v>
      </c>
      <c r="U101" s="145">
        <f t="shared" si="47"/>
        <v>645.53511216401489</v>
      </c>
      <c r="V101" s="145">
        <f t="shared" si="47"/>
        <v>683.05457093939754</v>
      </c>
      <c r="W101" s="145">
        <f t="shared" si="47"/>
        <v>720.94922430253405</v>
      </c>
      <c r="X101" s="145">
        <f t="shared" si="47"/>
        <v>759.22282419930207</v>
      </c>
      <c r="Y101" s="145">
        <f t="shared" si="47"/>
        <v>797.87916009503783</v>
      </c>
      <c r="Z101" s="145">
        <f t="shared" si="47"/>
        <v>836.92205934973072</v>
      </c>
      <c r="AA101" s="145">
        <f t="shared" si="47"/>
        <v>876.35538759697056</v>
      </c>
      <c r="AB101" s="145">
        <f t="shared" si="47"/>
        <v>916.18304912668304</v>
      </c>
    </row>
    <row r="104" spans="1:29" x14ac:dyDescent="0.25">
      <c r="A104" s="219" t="s">
        <v>143</v>
      </c>
      <c r="B104" s="103"/>
      <c r="C104" s="127"/>
      <c r="D104" s="104"/>
      <c r="E104" s="104"/>
      <c r="F104" s="130"/>
      <c r="G104" s="130"/>
      <c r="H104" s="130"/>
      <c r="I104" s="132"/>
      <c r="J104" s="103"/>
      <c r="K104" s="103"/>
      <c r="L104" s="103"/>
      <c r="M104" s="103"/>
      <c r="N104" s="103"/>
      <c r="O104" s="103"/>
      <c r="P104" s="103"/>
      <c r="Q104" s="103"/>
      <c r="R104" s="103"/>
    </row>
    <row r="105" spans="1:29" x14ac:dyDescent="0.25">
      <c r="A105" s="133" t="s">
        <v>138</v>
      </c>
      <c r="B105" s="103" t="s">
        <v>128</v>
      </c>
      <c r="C105" s="120">
        <f>C26*$E$17</f>
        <v>114000</v>
      </c>
      <c r="D105" s="120">
        <f t="shared" ref="D105:AB105" si="48">D26*$E$17</f>
        <v>260999.99999999994</v>
      </c>
      <c r="E105" s="120">
        <f t="shared" si="48"/>
        <v>483000.00000000006</v>
      </c>
      <c r="F105" s="120">
        <f t="shared" si="48"/>
        <v>702000</v>
      </c>
      <c r="G105" s="120">
        <f t="shared" si="48"/>
        <v>957000</v>
      </c>
      <c r="H105" s="120">
        <f t="shared" si="48"/>
        <v>1155000</v>
      </c>
      <c r="I105" s="120">
        <f t="shared" si="48"/>
        <v>1155000</v>
      </c>
      <c r="J105" s="120">
        <f t="shared" si="48"/>
        <v>1155000</v>
      </c>
      <c r="K105" s="120">
        <f t="shared" si="48"/>
        <v>1155000</v>
      </c>
      <c r="L105" s="120">
        <f t="shared" si="48"/>
        <v>1155000</v>
      </c>
      <c r="M105" s="120">
        <f t="shared" si="48"/>
        <v>1155000</v>
      </c>
      <c r="N105" s="120">
        <f t="shared" si="48"/>
        <v>1155000</v>
      </c>
      <c r="O105" s="120">
        <f t="shared" si="48"/>
        <v>1155000</v>
      </c>
      <c r="P105" s="120">
        <f t="shared" si="48"/>
        <v>1155000</v>
      </c>
      <c r="Q105" s="120">
        <f t="shared" si="48"/>
        <v>1155000</v>
      </c>
      <c r="R105" s="120">
        <f t="shared" si="48"/>
        <v>1155000</v>
      </c>
      <c r="S105" s="120">
        <f t="shared" si="48"/>
        <v>1155000</v>
      </c>
      <c r="T105" s="120">
        <f t="shared" si="48"/>
        <v>1155000</v>
      </c>
      <c r="U105" s="120">
        <f t="shared" si="48"/>
        <v>1155000</v>
      </c>
      <c r="V105" s="120">
        <f t="shared" si="48"/>
        <v>1155000</v>
      </c>
      <c r="W105" s="120">
        <f t="shared" si="48"/>
        <v>1155000</v>
      </c>
      <c r="X105" s="120">
        <f t="shared" si="48"/>
        <v>1155000</v>
      </c>
      <c r="Y105" s="120">
        <f t="shared" si="48"/>
        <v>1155000</v>
      </c>
      <c r="Z105" s="120">
        <f t="shared" si="48"/>
        <v>1155000</v>
      </c>
      <c r="AA105" s="120">
        <f t="shared" si="48"/>
        <v>1155000</v>
      </c>
      <c r="AB105" s="120">
        <f t="shared" si="48"/>
        <v>1155000</v>
      </c>
    </row>
    <row r="106" spans="1:29" x14ac:dyDescent="0.25">
      <c r="A106" s="103" t="s">
        <v>44</v>
      </c>
      <c r="B106" s="147"/>
      <c r="C106" s="135">
        <f>310+60+((1/C20)-1)*22</f>
        <v>410.85714285714289</v>
      </c>
      <c r="D106" s="135">
        <f>310+60+((1/D20)-1)*22</f>
        <v>396.88888888888891</v>
      </c>
      <c r="E106" s="135">
        <f>C106-D106</f>
        <v>13.968253968253975</v>
      </c>
      <c r="F106" s="130"/>
      <c r="G106" s="130"/>
      <c r="H106" s="130"/>
      <c r="I106" s="132"/>
      <c r="J106" s="103"/>
      <c r="K106" s="103"/>
      <c r="L106" s="103"/>
      <c r="M106" s="103"/>
      <c r="N106" s="103"/>
      <c r="O106" s="103"/>
      <c r="P106" s="103"/>
      <c r="Q106" s="103"/>
      <c r="R106" s="103"/>
    </row>
    <row r="107" spans="1:29" x14ac:dyDescent="0.25">
      <c r="A107" s="103"/>
      <c r="B107" s="147"/>
      <c r="C107" s="133"/>
      <c r="D107" s="135"/>
      <c r="E107" s="135"/>
      <c r="F107" s="130"/>
      <c r="G107" s="130"/>
      <c r="H107" s="130"/>
      <c r="I107" s="132"/>
      <c r="J107" s="103"/>
      <c r="K107" s="103"/>
      <c r="L107" s="103"/>
      <c r="M107" s="103"/>
      <c r="N107" s="103"/>
      <c r="O107" s="103"/>
      <c r="P107" s="103"/>
      <c r="Q107" s="103"/>
      <c r="R107" s="103"/>
    </row>
    <row r="108" spans="1:29" x14ac:dyDescent="0.25">
      <c r="A108" s="220" t="s">
        <v>139</v>
      </c>
      <c r="B108" s="147"/>
      <c r="C108" s="133"/>
      <c r="D108" s="130"/>
      <c r="E108" s="130"/>
      <c r="F108" s="130"/>
      <c r="G108" s="130"/>
      <c r="H108" s="130"/>
      <c r="I108" s="130"/>
      <c r="J108" s="130"/>
      <c r="K108" s="130"/>
      <c r="L108" s="130"/>
      <c r="M108" s="130"/>
      <c r="N108" s="130"/>
      <c r="O108" s="130"/>
      <c r="P108" s="130"/>
      <c r="Q108" s="130"/>
      <c r="R108" s="130"/>
    </row>
    <row r="109" spans="1:29" x14ac:dyDescent="0.25">
      <c r="A109" s="123" t="s">
        <v>198</v>
      </c>
      <c r="B109" s="103" t="s">
        <v>51</v>
      </c>
      <c r="C109" s="103">
        <f>E11/E22</f>
        <v>5.470213114754098</v>
      </c>
      <c r="D109" s="103"/>
      <c r="E109" s="103"/>
      <c r="F109" s="103"/>
      <c r="G109" s="103"/>
      <c r="H109" s="103"/>
      <c r="I109" s="103"/>
      <c r="J109" s="103"/>
      <c r="K109" s="103"/>
      <c r="L109" s="103"/>
      <c r="M109" s="103"/>
      <c r="N109" s="103"/>
      <c r="O109" s="103"/>
      <c r="P109" s="103"/>
      <c r="Q109" s="103"/>
      <c r="R109" s="103"/>
    </row>
    <row r="110" spans="1:29" ht="31.5" customHeight="1" x14ac:dyDescent="0.25">
      <c r="A110" s="123" t="s">
        <v>199</v>
      </c>
      <c r="B110" s="103" t="s">
        <v>51</v>
      </c>
      <c r="C110" s="103">
        <f>C109*E106</f>
        <v>76.409326047358874</v>
      </c>
      <c r="D110" s="103"/>
      <c r="E110" s="103"/>
      <c r="F110" s="103"/>
      <c r="G110" s="103"/>
      <c r="H110" s="103"/>
      <c r="I110" s="103"/>
      <c r="J110" s="103"/>
      <c r="K110" s="103"/>
      <c r="L110" s="103"/>
      <c r="M110" s="103"/>
      <c r="N110" s="103"/>
      <c r="O110" s="103"/>
      <c r="P110" s="103"/>
      <c r="Q110" s="103"/>
      <c r="R110" s="103"/>
    </row>
    <row r="111" spans="1:29" x14ac:dyDescent="0.25">
      <c r="A111" s="120" t="s">
        <v>80</v>
      </c>
      <c r="B111" s="103" t="s">
        <v>54</v>
      </c>
      <c r="C111" s="103"/>
      <c r="D111" s="130">
        <f>C105*$D$20*$E$15*365/$D$106</f>
        <v>42460.372340425529</v>
      </c>
      <c r="E111" s="130">
        <f t="shared" ref="E111:AB111" si="49">((D105*$D$20*$E$15*(365/$D$106))+(C105*$D$20*$E$15*($D$106-365)/$D$106))</f>
        <v>100921.5327547592</v>
      </c>
      <c r="F111" s="130">
        <f t="shared" si="49"/>
        <v>188390.98824188131</v>
      </c>
      <c r="G111" s="130">
        <f t="shared" si="49"/>
        <v>277183.61002239643</v>
      </c>
      <c r="H111" s="130">
        <f t="shared" si="49"/>
        <v>379287.14865621499</v>
      </c>
      <c r="I111" s="130">
        <f t="shared" si="49"/>
        <v>461331.96248600224</v>
      </c>
      <c r="J111" s="130">
        <f t="shared" si="49"/>
        <v>467775</v>
      </c>
      <c r="K111" s="130">
        <f t="shared" si="49"/>
        <v>467775</v>
      </c>
      <c r="L111" s="130">
        <f t="shared" si="49"/>
        <v>467775</v>
      </c>
      <c r="M111" s="130">
        <f t="shared" si="49"/>
        <v>467775</v>
      </c>
      <c r="N111" s="130">
        <f t="shared" si="49"/>
        <v>467775</v>
      </c>
      <c r="O111" s="130">
        <f t="shared" si="49"/>
        <v>467775</v>
      </c>
      <c r="P111" s="130">
        <f t="shared" si="49"/>
        <v>467775</v>
      </c>
      <c r="Q111" s="130">
        <f t="shared" si="49"/>
        <v>467775</v>
      </c>
      <c r="R111" s="130">
        <f t="shared" si="49"/>
        <v>467775</v>
      </c>
      <c r="S111" s="130">
        <f t="shared" si="49"/>
        <v>467775</v>
      </c>
      <c r="T111" s="130">
        <f t="shared" si="49"/>
        <v>467775</v>
      </c>
      <c r="U111" s="130">
        <f t="shared" si="49"/>
        <v>467775</v>
      </c>
      <c r="V111" s="130">
        <f t="shared" si="49"/>
        <v>467775</v>
      </c>
      <c r="W111" s="130">
        <f t="shared" si="49"/>
        <v>467775</v>
      </c>
      <c r="X111" s="130">
        <f t="shared" si="49"/>
        <v>467775</v>
      </c>
      <c r="Y111" s="130">
        <f t="shared" si="49"/>
        <v>467775</v>
      </c>
      <c r="Z111" s="130">
        <f t="shared" si="49"/>
        <v>467775</v>
      </c>
      <c r="AA111" s="130">
        <f t="shared" si="49"/>
        <v>467775</v>
      </c>
      <c r="AB111" s="130">
        <f t="shared" si="49"/>
        <v>467775</v>
      </c>
    </row>
    <row r="112" spans="1:29" ht="38.25" x14ac:dyDescent="0.25">
      <c r="A112" s="222" t="s">
        <v>200</v>
      </c>
      <c r="B112" s="137" t="s">
        <v>201</v>
      </c>
      <c r="C112" s="104"/>
      <c r="D112" s="138">
        <f>D111*$C$110*1.03/1000/1000</f>
        <v>3.3416994872793877</v>
      </c>
      <c r="E112" s="138">
        <f t="shared" ref="E112:AB112" si="50">E111*$C$110*1.03/1000/1000</f>
        <v>7.9426866905013318</v>
      </c>
      <c r="F112" s="138">
        <f t="shared" si="50"/>
        <v>14.826673298306803</v>
      </c>
      <c r="G112" s="138">
        <f t="shared" si="50"/>
        <v>21.814795218180819</v>
      </c>
      <c r="H112" s="138">
        <f t="shared" si="50"/>
        <v>29.850507669463184</v>
      </c>
      <c r="I112" s="138">
        <f t="shared" si="50"/>
        <v>36.307566267790705</v>
      </c>
      <c r="J112" s="138">
        <f t="shared" si="50"/>
        <v>36.814643666557394</v>
      </c>
      <c r="K112" s="138">
        <f t="shared" si="50"/>
        <v>36.814643666557394</v>
      </c>
      <c r="L112" s="138">
        <f t="shared" si="50"/>
        <v>36.814643666557394</v>
      </c>
      <c r="M112" s="138">
        <f t="shared" si="50"/>
        <v>36.814643666557394</v>
      </c>
      <c r="N112" s="138">
        <f t="shared" si="50"/>
        <v>36.814643666557394</v>
      </c>
      <c r="O112" s="138">
        <f t="shared" si="50"/>
        <v>36.814643666557394</v>
      </c>
      <c r="P112" s="138">
        <f t="shared" si="50"/>
        <v>36.814643666557394</v>
      </c>
      <c r="Q112" s="138">
        <f t="shared" si="50"/>
        <v>36.814643666557394</v>
      </c>
      <c r="R112" s="138">
        <f t="shared" si="50"/>
        <v>36.814643666557394</v>
      </c>
      <c r="S112" s="138">
        <f t="shared" si="50"/>
        <v>36.814643666557394</v>
      </c>
      <c r="T112" s="138">
        <f t="shared" si="50"/>
        <v>36.814643666557394</v>
      </c>
      <c r="U112" s="138">
        <f t="shared" si="50"/>
        <v>36.814643666557394</v>
      </c>
      <c r="V112" s="138">
        <f t="shared" si="50"/>
        <v>36.814643666557394</v>
      </c>
      <c r="W112" s="138">
        <f t="shared" si="50"/>
        <v>36.814643666557394</v>
      </c>
      <c r="X112" s="138">
        <f t="shared" si="50"/>
        <v>36.814643666557394</v>
      </c>
      <c r="Y112" s="138">
        <f t="shared" si="50"/>
        <v>36.814643666557394</v>
      </c>
      <c r="Z112" s="138">
        <f t="shared" si="50"/>
        <v>36.814643666557394</v>
      </c>
      <c r="AA112" s="138">
        <f t="shared" si="50"/>
        <v>36.814643666557394</v>
      </c>
      <c r="AB112" s="138">
        <f t="shared" si="50"/>
        <v>36.814643666557394</v>
      </c>
    </row>
    <row r="113" spans="1:28" x14ac:dyDescent="0.25">
      <c r="A113" s="120"/>
      <c r="B113" s="103"/>
      <c r="C113" s="103"/>
      <c r="D113" s="103"/>
      <c r="E113" s="103"/>
      <c r="F113" s="103"/>
      <c r="G113" s="103"/>
      <c r="H113" s="103"/>
      <c r="I113" s="103"/>
      <c r="J113" s="103"/>
      <c r="K113" s="103"/>
      <c r="L113" s="103"/>
      <c r="M113" s="103"/>
      <c r="N113" s="103"/>
      <c r="O113" s="103"/>
      <c r="P113" s="103"/>
      <c r="Q113" s="103"/>
      <c r="R113" s="103"/>
    </row>
    <row r="114" spans="1:28" x14ac:dyDescent="0.25">
      <c r="A114" s="221" t="s">
        <v>140</v>
      </c>
      <c r="B114" s="103"/>
      <c r="C114" s="103"/>
      <c r="D114" s="103"/>
      <c r="E114" s="103"/>
      <c r="F114" s="103"/>
      <c r="G114" s="103"/>
      <c r="H114" s="131"/>
      <c r="I114" s="131"/>
      <c r="J114" s="131"/>
      <c r="K114" s="131"/>
      <c r="L114" s="131"/>
      <c r="M114" s="131"/>
      <c r="N114" s="131"/>
      <c r="O114" s="131"/>
      <c r="P114" s="131"/>
      <c r="Q114" s="131"/>
      <c r="R114" s="131"/>
      <c r="S114" s="131"/>
      <c r="T114" s="131"/>
      <c r="U114" s="131"/>
      <c r="V114" s="131"/>
      <c r="W114" s="131"/>
      <c r="X114" s="131"/>
    </row>
    <row r="115" spans="1:28" x14ac:dyDescent="0.25">
      <c r="A115" s="120" t="s">
        <v>120</v>
      </c>
      <c r="B115" s="103" t="s">
        <v>56</v>
      </c>
      <c r="C115" s="103"/>
      <c r="D115" s="131">
        <f>D111/2/100000*$E$16</f>
        <v>0.19107167553191487</v>
      </c>
      <c r="E115" s="131">
        <f t="shared" ref="E115:J115" si="51">E111/2/100000*$E$16</f>
        <v>0.45414689739641645</v>
      </c>
      <c r="F115" s="131">
        <f t="shared" si="51"/>
        <v>0.84775944708846585</v>
      </c>
      <c r="G115" s="131">
        <f t="shared" si="51"/>
        <v>1.2473262451007838</v>
      </c>
      <c r="H115" s="131">
        <f t="shared" si="51"/>
        <v>1.7067921689529675</v>
      </c>
      <c r="I115" s="131">
        <f t="shared" si="51"/>
        <v>2.0759938311870099</v>
      </c>
      <c r="J115" s="131">
        <f t="shared" si="51"/>
        <v>2.1049875</v>
      </c>
      <c r="K115" s="131">
        <f t="shared" ref="K115:R115" si="52">K111/2/100000*$E$16</f>
        <v>2.1049875</v>
      </c>
      <c r="L115" s="131">
        <f t="shared" si="52"/>
        <v>2.1049875</v>
      </c>
      <c r="M115" s="131">
        <f t="shared" si="52"/>
        <v>2.1049875</v>
      </c>
      <c r="N115" s="131">
        <f t="shared" si="52"/>
        <v>2.1049875</v>
      </c>
      <c r="O115" s="131">
        <f t="shared" si="52"/>
        <v>2.1049875</v>
      </c>
      <c r="P115" s="131">
        <f t="shared" si="52"/>
        <v>2.1049875</v>
      </c>
      <c r="Q115" s="131">
        <f t="shared" si="52"/>
        <v>2.1049875</v>
      </c>
      <c r="R115" s="131">
        <f t="shared" si="52"/>
        <v>2.1049875</v>
      </c>
      <c r="S115" s="131">
        <f t="shared" ref="S115:AB115" si="53">S111/2/100000*$E$16</f>
        <v>2.1049875</v>
      </c>
      <c r="T115" s="131">
        <f t="shared" si="53"/>
        <v>2.1049875</v>
      </c>
      <c r="U115" s="131">
        <f t="shared" si="53"/>
        <v>2.1049875</v>
      </c>
      <c r="V115" s="131">
        <f t="shared" si="53"/>
        <v>2.1049875</v>
      </c>
      <c r="W115" s="131">
        <f t="shared" si="53"/>
        <v>2.1049875</v>
      </c>
      <c r="X115" s="131">
        <f t="shared" si="53"/>
        <v>2.1049875</v>
      </c>
      <c r="Y115" s="131">
        <f t="shared" si="53"/>
        <v>2.1049875</v>
      </c>
      <c r="Z115" s="131">
        <f t="shared" si="53"/>
        <v>2.1049875</v>
      </c>
      <c r="AA115" s="131">
        <f t="shared" si="53"/>
        <v>2.1049875</v>
      </c>
      <c r="AB115" s="131">
        <f t="shared" si="53"/>
        <v>2.1049875</v>
      </c>
    </row>
    <row r="116" spans="1:28" x14ac:dyDescent="0.25">
      <c r="A116" s="120" t="s">
        <v>193</v>
      </c>
      <c r="B116" s="103" t="s">
        <v>56</v>
      </c>
      <c r="C116" s="103"/>
      <c r="D116" s="131"/>
      <c r="E116" s="131"/>
      <c r="F116" s="131"/>
      <c r="G116" s="131"/>
      <c r="H116" s="131">
        <f>D115</f>
        <v>0.19107167553191487</v>
      </c>
      <c r="I116" s="131">
        <f>SUM(D115:E115)</f>
        <v>0.64521857292833129</v>
      </c>
      <c r="J116" s="131">
        <f>SUM(D115:F115)</f>
        <v>1.492978020016797</v>
      </c>
      <c r="K116" s="131">
        <f>SUM(D115:G115)</f>
        <v>2.7403042651175809</v>
      </c>
      <c r="L116" s="131">
        <f t="shared" ref="L116:AB116" si="54">SUM(D115:H115)</f>
        <v>4.4470964340705486</v>
      </c>
      <c r="M116" s="131">
        <f t="shared" si="54"/>
        <v>6.332018589725644</v>
      </c>
      <c r="N116" s="131">
        <f t="shared" si="54"/>
        <v>7.9828591923292276</v>
      </c>
      <c r="O116" s="131">
        <f t="shared" si="54"/>
        <v>9.2400872452407619</v>
      </c>
      <c r="P116" s="131">
        <f t="shared" si="54"/>
        <v>10.097748500139978</v>
      </c>
      <c r="Q116" s="131">
        <f t="shared" si="54"/>
        <v>10.495943831187009</v>
      </c>
      <c r="R116" s="131">
        <f t="shared" si="54"/>
        <v>10.5249375</v>
      </c>
      <c r="S116" s="131">
        <f t="shared" si="54"/>
        <v>10.5249375</v>
      </c>
      <c r="T116" s="131">
        <f t="shared" si="54"/>
        <v>10.5249375</v>
      </c>
      <c r="U116" s="131">
        <f t="shared" si="54"/>
        <v>10.5249375</v>
      </c>
      <c r="V116" s="131">
        <f t="shared" si="54"/>
        <v>10.5249375</v>
      </c>
      <c r="W116" s="131">
        <f t="shared" si="54"/>
        <v>10.5249375</v>
      </c>
      <c r="X116" s="131">
        <f t="shared" si="54"/>
        <v>10.5249375</v>
      </c>
      <c r="Y116" s="131">
        <f t="shared" si="54"/>
        <v>10.5249375</v>
      </c>
      <c r="Z116" s="131">
        <f t="shared" si="54"/>
        <v>10.5249375</v>
      </c>
      <c r="AA116" s="131">
        <f t="shared" si="54"/>
        <v>10.5249375</v>
      </c>
      <c r="AB116" s="131">
        <f t="shared" si="54"/>
        <v>10.5249375</v>
      </c>
    </row>
    <row r="117" spans="1:28" x14ac:dyDescent="0.25">
      <c r="A117" s="120" t="s">
        <v>352</v>
      </c>
      <c r="B117" s="103"/>
      <c r="C117" s="103"/>
      <c r="D117" s="131"/>
      <c r="E117" s="131"/>
      <c r="F117" s="131"/>
      <c r="G117" s="131"/>
      <c r="H117" s="131"/>
      <c r="I117" s="131"/>
      <c r="J117" s="131"/>
      <c r="K117" s="131"/>
      <c r="L117" s="131"/>
      <c r="M117" s="131"/>
      <c r="N117" s="131"/>
      <c r="O117" s="131"/>
      <c r="P117" s="131"/>
      <c r="Q117" s="131"/>
      <c r="R117" s="131"/>
      <c r="S117" s="131"/>
      <c r="T117" s="131"/>
      <c r="U117" s="131"/>
      <c r="V117" s="131"/>
      <c r="W117" s="131"/>
      <c r="X117" s="131"/>
      <c r="Y117" s="131"/>
      <c r="Z117" s="131"/>
      <c r="AA117" s="131"/>
      <c r="AB117" s="131"/>
    </row>
    <row r="118" spans="1:28" ht="30" x14ac:dyDescent="0.25">
      <c r="A118" s="120" t="s">
        <v>190</v>
      </c>
      <c r="B118" s="103" t="s">
        <v>51</v>
      </c>
      <c r="C118" s="103"/>
      <c r="D118" s="131"/>
      <c r="E118" s="131"/>
      <c r="F118" s="131"/>
      <c r="G118" s="131"/>
      <c r="H118" s="131">
        <f>(1+$E$14*5)*E11</f>
        <v>1751.83575</v>
      </c>
      <c r="I118" s="131">
        <f>(1+$E$14)*H118</f>
        <v>1769.3541075000001</v>
      </c>
      <c r="J118" s="131">
        <f t="shared" ref="J118:AB118" si="55">(1+$E$14)*I118</f>
        <v>1787.047648575</v>
      </c>
      <c r="K118" s="131">
        <f t="shared" si="55"/>
        <v>1804.9181250607501</v>
      </c>
      <c r="L118" s="131">
        <f t="shared" si="55"/>
        <v>1822.9673063113576</v>
      </c>
      <c r="M118" s="131">
        <f t="shared" si="55"/>
        <v>1841.1969793744711</v>
      </c>
      <c r="N118" s="131">
        <f t="shared" si="55"/>
        <v>1859.6089491682158</v>
      </c>
      <c r="O118" s="131">
        <f t="shared" si="55"/>
        <v>1878.205038659898</v>
      </c>
      <c r="P118" s="131">
        <f t="shared" si="55"/>
        <v>1896.987089046497</v>
      </c>
      <c r="Q118" s="131">
        <f t="shared" si="55"/>
        <v>1915.956959936962</v>
      </c>
      <c r="R118" s="131">
        <f t="shared" si="55"/>
        <v>1935.1165295363317</v>
      </c>
      <c r="S118" s="131">
        <f t="shared" si="55"/>
        <v>1954.4676948316951</v>
      </c>
      <c r="T118" s="131">
        <f t="shared" si="55"/>
        <v>1974.012371780012</v>
      </c>
      <c r="U118" s="131">
        <f t="shared" si="55"/>
        <v>1993.7524954978121</v>
      </c>
      <c r="V118" s="131">
        <f t="shared" si="55"/>
        <v>2013.6900204527903</v>
      </c>
      <c r="W118" s="131">
        <f t="shared" si="55"/>
        <v>2033.8269206573182</v>
      </c>
      <c r="X118" s="131">
        <f t="shared" si="55"/>
        <v>2054.1651898638916</v>
      </c>
      <c r="Y118" s="131">
        <f t="shared" si="55"/>
        <v>2074.7068417625305</v>
      </c>
      <c r="Z118" s="131">
        <f t="shared" si="55"/>
        <v>2095.4539101801561</v>
      </c>
      <c r="AA118" s="131">
        <f t="shared" si="55"/>
        <v>2116.4084492819575</v>
      </c>
      <c r="AB118" s="131">
        <f t="shared" si="55"/>
        <v>2137.5725337747772</v>
      </c>
    </row>
    <row r="119" spans="1:28" ht="45" x14ac:dyDescent="0.25">
      <c r="A119" s="120" t="s">
        <v>191</v>
      </c>
      <c r="B119" s="103" t="s">
        <v>51</v>
      </c>
      <c r="C119" s="103"/>
      <c r="D119" s="131"/>
      <c r="E119" s="131"/>
      <c r="F119" s="131"/>
      <c r="G119" s="131"/>
      <c r="H119" s="131">
        <f>H118-$E$11</f>
        <v>83.420749999999998</v>
      </c>
      <c r="I119" s="131">
        <f>I118-$E$11</f>
        <v>100.93910750000009</v>
      </c>
      <c r="J119" s="131">
        <f t="shared" ref="J119:AB119" si="56">J118-$E$11</f>
        <v>118.63264857500008</v>
      </c>
      <c r="K119" s="131">
        <f t="shared" si="56"/>
        <v>136.50312506075011</v>
      </c>
      <c r="L119" s="131">
        <f t="shared" si="56"/>
        <v>154.5523063113576</v>
      </c>
      <c r="M119" s="131">
        <f t="shared" si="56"/>
        <v>172.78197937447112</v>
      </c>
      <c r="N119" s="131">
        <f t="shared" si="56"/>
        <v>191.19394916821579</v>
      </c>
      <c r="O119" s="131">
        <f t="shared" si="56"/>
        <v>209.79003865989807</v>
      </c>
      <c r="P119" s="131">
        <f t="shared" si="56"/>
        <v>228.57208904649701</v>
      </c>
      <c r="Q119" s="131">
        <f t="shared" si="56"/>
        <v>247.54195993696203</v>
      </c>
      <c r="R119" s="131">
        <f t="shared" si="56"/>
        <v>266.70152953633169</v>
      </c>
      <c r="S119" s="131">
        <f t="shared" si="56"/>
        <v>286.05269483169513</v>
      </c>
      <c r="T119" s="131">
        <f t="shared" si="56"/>
        <v>305.59737178001205</v>
      </c>
      <c r="U119" s="131">
        <f t="shared" si="56"/>
        <v>325.33749549781214</v>
      </c>
      <c r="V119" s="131">
        <f t="shared" si="56"/>
        <v>345.27502045279039</v>
      </c>
      <c r="W119" s="131">
        <f t="shared" si="56"/>
        <v>365.41192065731821</v>
      </c>
      <c r="X119" s="131">
        <f t="shared" si="56"/>
        <v>385.75018986389159</v>
      </c>
      <c r="Y119" s="131">
        <f t="shared" si="56"/>
        <v>406.29184176253057</v>
      </c>
      <c r="Z119" s="131">
        <f t="shared" si="56"/>
        <v>427.03891018015611</v>
      </c>
      <c r="AA119" s="131">
        <f t="shared" si="56"/>
        <v>447.99344928195751</v>
      </c>
      <c r="AB119" s="131">
        <f t="shared" si="56"/>
        <v>469.15753377477722</v>
      </c>
    </row>
    <row r="120" spans="1:28" x14ac:dyDescent="0.25">
      <c r="A120" s="103"/>
      <c r="B120" s="103"/>
      <c r="C120" s="103"/>
      <c r="D120" s="131"/>
      <c r="E120" s="131"/>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row>
    <row r="121" spans="1:28" x14ac:dyDescent="0.25">
      <c r="A121" s="103" t="s">
        <v>183</v>
      </c>
      <c r="B121" s="103"/>
      <c r="C121" s="103"/>
      <c r="D121" s="131"/>
      <c r="E121" s="131"/>
      <c r="F121" s="131"/>
      <c r="G121" s="131"/>
      <c r="H121" s="131"/>
      <c r="I121" s="131"/>
      <c r="J121" s="131"/>
      <c r="K121" s="131"/>
      <c r="L121" s="131"/>
      <c r="M121" s="131"/>
      <c r="N121" s="131"/>
      <c r="O121" s="131"/>
      <c r="P121" s="131"/>
      <c r="Q121" s="131"/>
      <c r="R121" s="131"/>
      <c r="S121" s="131"/>
      <c r="T121" s="131"/>
      <c r="U121" s="131"/>
      <c r="V121" s="131"/>
      <c r="W121" s="131"/>
      <c r="X121" s="131"/>
      <c r="Y121" s="131"/>
      <c r="Z121" s="131"/>
      <c r="AA121" s="131"/>
      <c r="AB121" s="131"/>
    </row>
    <row r="122" spans="1:28" x14ac:dyDescent="0.25">
      <c r="A122" s="103" t="s">
        <v>184</v>
      </c>
      <c r="B122" s="103" t="s">
        <v>51</v>
      </c>
      <c r="C122" s="103"/>
      <c r="D122" s="131"/>
      <c r="E122" s="131"/>
      <c r="F122" s="131"/>
      <c r="G122" s="131"/>
      <c r="H122" s="130">
        <f t="shared" ref="H122:AB122" si="57">H119*D115*100000</f>
        <v>1593934.2476628986</v>
      </c>
      <c r="I122" s="130">
        <f t="shared" si="57"/>
        <v>4584118.2497088388</v>
      </c>
      <c r="J122" s="130">
        <f t="shared" si="57"/>
        <v>10057194.856258234</v>
      </c>
      <c r="K122" s="130">
        <f t="shared" si="57"/>
        <v>17026393.042654816</v>
      </c>
      <c r="L122" s="130">
        <f t="shared" si="57"/>
        <v>26378866.610584542</v>
      </c>
      <c r="M122" s="130">
        <f t="shared" si="57"/>
        <v>35869432.332168318</v>
      </c>
      <c r="N122" s="130">
        <f t="shared" si="57"/>
        <v>40246087.307472967</v>
      </c>
      <c r="O122" s="130">
        <f t="shared" si="57"/>
        <v>44160540.900360219</v>
      </c>
      <c r="P122" s="130">
        <f t="shared" si="57"/>
        <v>48114139.02917631</v>
      </c>
      <c r="Q122" s="130">
        <f t="shared" si="57"/>
        <v>52107273.139280587</v>
      </c>
      <c r="R122" s="130">
        <f t="shared" si="57"/>
        <v>56140338.590485893</v>
      </c>
      <c r="S122" s="130">
        <f t="shared" si="57"/>
        <v>60213734.696203291</v>
      </c>
      <c r="T122" s="130">
        <f t="shared" si="57"/>
        <v>64327864.762977809</v>
      </c>
      <c r="U122" s="130">
        <f t="shared" si="57"/>
        <v>68483136.130420089</v>
      </c>
      <c r="V122" s="130">
        <f t="shared" si="57"/>
        <v>72679960.21153681</v>
      </c>
      <c r="W122" s="130">
        <f t="shared" si="57"/>
        <v>76918752.533464655</v>
      </c>
      <c r="X122" s="130">
        <f t="shared" si="57"/>
        <v>81199932.778611854</v>
      </c>
      <c r="Y122" s="130">
        <f t="shared" si="57"/>
        <v>85523924.826210484</v>
      </c>
      <c r="Z122" s="130">
        <f t="shared" si="57"/>
        <v>89891156.794285133</v>
      </c>
      <c r="AA122" s="130">
        <f t="shared" si="57"/>
        <v>94302061.082040444</v>
      </c>
      <c r="AB122" s="130">
        <f t="shared" si="57"/>
        <v>98757074.412673384</v>
      </c>
    </row>
    <row r="123" spans="1:28" x14ac:dyDescent="0.25">
      <c r="A123" s="103" t="s">
        <v>185</v>
      </c>
      <c r="B123" s="103" t="s">
        <v>51</v>
      </c>
      <c r="C123" s="103"/>
      <c r="D123" s="131"/>
      <c r="E123" s="131"/>
      <c r="F123" s="131"/>
      <c r="G123" s="131"/>
      <c r="H123" s="130"/>
      <c r="I123" s="130">
        <f t="shared" ref="I123:AB123" si="58">H119*D115*100000</f>
        <v>1593934.2476628986</v>
      </c>
      <c r="J123" s="130">
        <f t="shared" si="58"/>
        <v>4584118.2497088388</v>
      </c>
      <c r="K123" s="130">
        <f t="shared" si="58"/>
        <v>10057194.856258234</v>
      </c>
      <c r="L123" s="130">
        <f t="shared" si="58"/>
        <v>17026393.042654816</v>
      </c>
      <c r="M123" s="130">
        <f t="shared" si="58"/>
        <v>26378866.610584542</v>
      </c>
      <c r="N123" s="130">
        <f t="shared" si="58"/>
        <v>35869432.332168318</v>
      </c>
      <c r="O123" s="130">
        <f t="shared" si="58"/>
        <v>40246087.307472967</v>
      </c>
      <c r="P123" s="130">
        <f t="shared" si="58"/>
        <v>44160540.900360219</v>
      </c>
      <c r="Q123" s="130">
        <f t="shared" si="58"/>
        <v>48114139.02917631</v>
      </c>
      <c r="R123" s="130">
        <f t="shared" si="58"/>
        <v>52107273.139280587</v>
      </c>
      <c r="S123" s="130">
        <f t="shared" si="58"/>
        <v>56140338.590485893</v>
      </c>
      <c r="T123" s="130">
        <f t="shared" si="58"/>
        <v>60213734.696203291</v>
      </c>
      <c r="U123" s="130">
        <f t="shared" si="58"/>
        <v>64327864.762977809</v>
      </c>
      <c r="V123" s="130">
        <f t="shared" si="58"/>
        <v>68483136.130420089</v>
      </c>
      <c r="W123" s="130">
        <f t="shared" si="58"/>
        <v>72679960.21153681</v>
      </c>
      <c r="X123" s="130">
        <f t="shared" si="58"/>
        <v>76918752.533464655</v>
      </c>
      <c r="Y123" s="130">
        <f t="shared" si="58"/>
        <v>81199932.778611854</v>
      </c>
      <c r="Z123" s="130">
        <f t="shared" si="58"/>
        <v>85523924.826210484</v>
      </c>
      <c r="AA123" s="130">
        <f t="shared" si="58"/>
        <v>89891156.794285133</v>
      </c>
      <c r="AB123" s="130">
        <f t="shared" si="58"/>
        <v>94302061.082040444</v>
      </c>
    </row>
    <row r="124" spans="1:28" x14ac:dyDescent="0.25">
      <c r="A124" s="103" t="s">
        <v>186</v>
      </c>
      <c r="B124" s="103" t="s">
        <v>51</v>
      </c>
      <c r="C124" s="103"/>
      <c r="D124" s="131"/>
      <c r="E124" s="131"/>
      <c r="F124" s="131"/>
      <c r="G124" s="131"/>
      <c r="H124" s="130"/>
      <c r="I124" s="130"/>
      <c r="J124" s="130">
        <f t="shared" ref="J124:AB124" si="59">H119*D115*100000</f>
        <v>1593934.2476628986</v>
      </c>
      <c r="K124" s="130">
        <f t="shared" si="59"/>
        <v>4584118.2497088388</v>
      </c>
      <c r="L124" s="130">
        <f t="shared" si="59"/>
        <v>10057194.856258234</v>
      </c>
      <c r="M124" s="130">
        <f t="shared" si="59"/>
        <v>17026393.042654816</v>
      </c>
      <c r="N124" s="130">
        <f t="shared" si="59"/>
        <v>26378866.610584542</v>
      </c>
      <c r="O124" s="130">
        <f t="shared" si="59"/>
        <v>35869432.332168318</v>
      </c>
      <c r="P124" s="130">
        <f t="shared" si="59"/>
        <v>40246087.307472967</v>
      </c>
      <c r="Q124" s="130">
        <f t="shared" si="59"/>
        <v>44160540.900360219</v>
      </c>
      <c r="R124" s="130">
        <f t="shared" si="59"/>
        <v>48114139.02917631</v>
      </c>
      <c r="S124" s="130">
        <f t="shared" si="59"/>
        <v>52107273.139280587</v>
      </c>
      <c r="T124" s="130">
        <f t="shared" si="59"/>
        <v>56140338.590485893</v>
      </c>
      <c r="U124" s="130">
        <f t="shared" si="59"/>
        <v>60213734.696203291</v>
      </c>
      <c r="V124" s="130">
        <f t="shared" si="59"/>
        <v>64327864.762977809</v>
      </c>
      <c r="W124" s="130">
        <f t="shared" si="59"/>
        <v>68483136.130420089</v>
      </c>
      <c r="X124" s="130">
        <f t="shared" si="59"/>
        <v>72679960.21153681</v>
      </c>
      <c r="Y124" s="130">
        <f t="shared" si="59"/>
        <v>76918752.533464655</v>
      </c>
      <c r="Z124" s="130">
        <f t="shared" si="59"/>
        <v>81199932.778611854</v>
      </c>
      <c r="AA124" s="130">
        <f t="shared" si="59"/>
        <v>85523924.826210484</v>
      </c>
      <c r="AB124" s="130">
        <f t="shared" si="59"/>
        <v>89891156.794285133</v>
      </c>
    </row>
    <row r="125" spans="1:28" x14ac:dyDescent="0.25">
      <c r="A125" s="103" t="s">
        <v>187</v>
      </c>
      <c r="B125" s="103" t="s">
        <v>51</v>
      </c>
      <c r="C125" s="103"/>
      <c r="D125" s="131"/>
      <c r="E125" s="131"/>
      <c r="F125" s="131"/>
      <c r="G125" s="131"/>
      <c r="H125" s="130"/>
      <c r="I125" s="130"/>
      <c r="J125" s="130"/>
      <c r="K125" s="130">
        <f t="shared" ref="K125:AB125" si="60">H119*D115*100000</f>
        <v>1593934.2476628986</v>
      </c>
      <c r="L125" s="130">
        <f t="shared" si="60"/>
        <v>4584118.2497088388</v>
      </c>
      <c r="M125" s="130">
        <f t="shared" si="60"/>
        <v>10057194.856258234</v>
      </c>
      <c r="N125" s="130">
        <f t="shared" si="60"/>
        <v>17026393.042654816</v>
      </c>
      <c r="O125" s="130">
        <f t="shared" si="60"/>
        <v>26378866.610584542</v>
      </c>
      <c r="P125" s="130">
        <f t="shared" si="60"/>
        <v>35869432.332168318</v>
      </c>
      <c r="Q125" s="130">
        <f t="shared" si="60"/>
        <v>40246087.307472967</v>
      </c>
      <c r="R125" s="130">
        <f t="shared" si="60"/>
        <v>44160540.900360219</v>
      </c>
      <c r="S125" s="130">
        <f t="shared" si="60"/>
        <v>48114139.02917631</v>
      </c>
      <c r="T125" s="130">
        <f t="shared" si="60"/>
        <v>52107273.139280587</v>
      </c>
      <c r="U125" s="130">
        <f t="shared" si="60"/>
        <v>56140338.590485893</v>
      </c>
      <c r="V125" s="130">
        <f t="shared" si="60"/>
        <v>60213734.696203291</v>
      </c>
      <c r="W125" s="130">
        <f t="shared" si="60"/>
        <v>64327864.762977809</v>
      </c>
      <c r="X125" s="130">
        <f t="shared" si="60"/>
        <v>68483136.130420089</v>
      </c>
      <c r="Y125" s="130">
        <f t="shared" si="60"/>
        <v>72679960.21153681</v>
      </c>
      <c r="Z125" s="130">
        <f t="shared" si="60"/>
        <v>76918752.533464655</v>
      </c>
      <c r="AA125" s="130">
        <f t="shared" si="60"/>
        <v>81199932.778611854</v>
      </c>
      <c r="AB125" s="130">
        <f t="shared" si="60"/>
        <v>85523924.826210484</v>
      </c>
    </row>
    <row r="126" spans="1:28" x14ac:dyDescent="0.25">
      <c r="A126" s="103" t="s">
        <v>188</v>
      </c>
      <c r="B126" s="103" t="s">
        <v>51</v>
      </c>
      <c r="C126" s="103"/>
      <c r="D126" s="131"/>
      <c r="E126" s="131"/>
      <c r="F126" s="131"/>
      <c r="G126" s="131"/>
      <c r="H126" s="130"/>
      <c r="I126" s="130"/>
      <c r="J126" s="130"/>
      <c r="K126" s="130"/>
      <c r="L126" s="130">
        <f>H119*D115*100000</f>
        <v>1593934.2476628986</v>
      </c>
      <c r="M126" s="130">
        <f>I119*E115*100000</f>
        <v>4584118.2497088388</v>
      </c>
      <c r="N126" s="130">
        <f t="shared" ref="N126:AB126" si="61">J119*F115*100000</f>
        <v>10057194.856258234</v>
      </c>
      <c r="O126" s="130">
        <f t="shared" si="61"/>
        <v>17026393.042654816</v>
      </c>
      <c r="P126" s="130">
        <f t="shared" si="61"/>
        <v>26378866.610584542</v>
      </c>
      <c r="Q126" s="130">
        <f t="shared" si="61"/>
        <v>35869432.332168318</v>
      </c>
      <c r="R126" s="130">
        <f t="shared" si="61"/>
        <v>40246087.307472967</v>
      </c>
      <c r="S126" s="130">
        <f t="shared" si="61"/>
        <v>44160540.900360219</v>
      </c>
      <c r="T126" s="130">
        <f t="shared" si="61"/>
        <v>48114139.02917631</v>
      </c>
      <c r="U126" s="130">
        <f t="shared" si="61"/>
        <v>52107273.139280587</v>
      </c>
      <c r="V126" s="130">
        <f t="shared" si="61"/>
        <v>56140338.590485893</v>
      </c>
      <c r="W126" s="130">
        <f t="shared" si="61"/>
        <v>60213734.696203291</v>
      </c>
      <c r="X126" s="130">
        <f t="shared" si="61"/>
        <v>64327864.762977809</v>
      </c>
      <c r="Y126" s="130">
        <f t="shared" si="61"/>
        <v>68483136.130420089</v>
      </c>
      <c r="Z126" s="130">
        <f t="shared" si="61"/>
        <v>72679960.21153681</v>
      </c>
      <c r="AA126" s="130">
        <f t="shared" si="61"/>
        <v>76918752.533464655</v>
      </c>
      <c r="AB126" s="130">
        <f t="shared" si="61"/>
        <v>81199932.778611854</v>
      </c>
    </row>
    <row r="127" spans="1:28" x14ac:dyDescent="0.25">
      <c r="A127" s="104" t="s">
        <v>31</v>
      </c>
      <c r="B127" s="104" t="s">
        <v>51</v>
      </c>
      <c r="C127" s="103"/>
      <c r="D127" s="131"/>
      <c r="E127" s="131"/>
      <c r="F127" s="131"/>
      <c r="G127" s="131"/>
      <c r="H127" s="141">
        <f t="shared" ref="H127:AB127" si="62">SUM(H122:H126)</f>
        <v>1593934.2476628986</v>
      </c>
      <c r="I127" s="141">
        <f t="shared" si="62"/>
        <v>6178052.4973717369</v>
      </c>
      <c r="J127" s="141">
        <f t="shared" si="62"/>
        <v>16235247.353629971</v>
      </c>
      <c r="K127" s="141">
        <f t="shared" si="62"/>
        <v>33261640.396284785</v>
      </c>
      <c r="L127" s="141">
        <f t="shared" si="62"/>
        <v>59640507.006869331</v>
      </c>
      <c r="M127" s="141">
        <f t="shared" si="62"/>
        <v>93916005.091374755</v>
      </c>
      <c r="N127" s="141">
        <f t="shared" si="62"/>
        <v>129577974.14913887</v>
      </c>
      <c r="O127" s="141">
        <f t="shared" si="62"/>
        <v>163681320.19324088</v>
      </c>
      <c r="P127" s="141">
        <f t="shared" si="62"/>
        <v>194769066.17976236</v>
      </c>
      <c r="Q127" s="141">
        <f t="shared" si="62"/>
        <v>220497472.70845839</v>
      </c>
      <c r="R127" s="141">
        <f t="shared" si="62"/>
        <v>240768378.96677598</v>
      </c>
      <c r="S127" s="141">
        <f t="shared" si="62"/>
        <v>260736026.3555063</v>
      </c>
      <c r="T127" s="141">
        <f t="shared" si="62"/>
        <v>280903350.21812391</v>
      </c>
      <c r="U127" s="141">
        <f t="shared" si="62"/>
        <v>301272347.31936765</v>
      </c>
      <c r="V127" s="141">
        <f t="shared" si="62"/>
        <v>321845034.39162391</v>
      </c>
      <c r="W127" s="141">
        <f t="shared" si="62"/>
        <v>342623448.33460265</v>
      </c>
      <c r="X127" s="141">
        <f t="shared" si="62"/>
        <v>363609646.41701126</v>
      </c>
      <c r="Y127" s="141">
        <f t="shared" si="62"/>
        <v>384805706.48024392</v>
      </c>
      <c r="Z127" s="141">
        <f t="shared" si="62"/>
        <v>406213727.14410895</v>
      </c>
      <c r="AA127" s="141">
        <f t="shared" si="62"/>
        <v>427835828.01461256</v>
      </c>
      <c r="AB127" s="141">
        <f t="shared" si="62"/>
        <v>449674149.8938213</v>
      </c>
    </row>
    <row r="128" spans="1:28" x14ac:dyDescent="0.25">
      <c r="A128" s="120"/>
      <c r="B128" s="103"/>
      <c r="C128" s="103"/>
      <c r="D128" s="131"/>
      <c r="E128" s="131"/>
      <c r="F128" s="131"/>
      <c r="G128" s="131"/>
      <c r="H128" s="131"/>
      <c r="I128" s="131"/>
      <c r="J128" s="131"/>
      <c r="K128" s="131"/>
      <c r="L128" s="131"/>
      <c r="M128" s="131"/>
      <c r="N128" s="131"/>
      <c r="O128" s="131"/>
      <c r="P128" s="131"/>
      <c r="Q128" s="131"/>
      <c r="R128" s="131"/>
      <c r="S128" s="131"/>
      <c r="T128" s="131"/>
      <c r="U128" s="131"/>
      <c r="V128" s="131"/>
      <c r="W128" s="131"/>
      <c r="X128" s="131"/>
      <c r="Y128" s="131"/>
      <c r="Z128" s="131"/>
      <c r="AA128" s="131"/>
      <c r="AB128" s="131"/>
    </row>
    <row r="129" spans="1:30" s="107" customFormat="1" ht="25.5" x14ac:dyDescent="0.25">
      <c r="A129" s="215" t="s">
        <v>161</v>
      </c>
      <c r="B129" s="216" t="s">
        <v>55</v>
      </c>
      <c r="C129" s="217"/>
      <c r="D129" s="218"/>
      <c r="E129" s="218"/>
      <c r="F129" s="218"/>
      <c r="G129" s="218"/>
      <c r="H129" s="218">
        <f>(H127*365/$D$106)*1.03/1000/1000</f>
        <v>1.5098421678834828</v>
      </c>
      <c r="I129" s="218">
        <f>((H127*($D$106-365)/$D$106)+(I127*365/$D$106))*1.03/1000/1000</f>
        <v>5.9840236367395763</v>
      </c>
      <c r="J129" s="218">
        <f t="shared" ref="J129:AB129" si="63">((I127*($D$106-365)/$D$106)+(J127*365/$D$106))*1.03/1000/1000</f>
        <v>15.889995879653625</v>
      </c>
      <c r="K129" s="218">
        <f t="shared" si="63"/>
        <v>32.850426884954068</v>
      </c>
      <c r="L129" s="218">
        <f t="shared" si="63"/>
        <v>59.246671612720732</v>
      </c>
      <c r="M129" s="218">
        <f t="shared" si="63"/>
        <v>93.896928696310653</v>
      </c>
      <c r="N129" s="218">
        <f t="shared" si="63"/>
        <v>130.51401587272679</v>
      </c>
      <c r="O129" s="218">
        <f t="shared" si="63"/>
        <v>165.76945013383738</v>
      </c>
      <c r="P129" s="218">
        <f t="shared" si="63"/>
        <v>198.03939219900866</v>
      </c>
      <c r="Q129" s="218">
        <f t="shared" si="63"/>
        <v>224.98317677382531</v>
      </c>
      <c r="R129" s="218">
        <f t="shared" si="63"/>
        <v>246.31385961936792</v>
      </c>
      <c r="S129" s="218">
        <f t="shared" si="63"/>
        <v>266.90563339348876</v>
      </c>
      <c r="T129" s="218">
        <f t="shared" si="63"/>
        <v>287.66145223445812</v>
      </c>
      <c r="U129" s="218">
        <f t="shared" si="63"/>
        <v>308.624829263837</v>
      </c>
      <c r="V129" s="218">
        <f t="shared" si="63"/>
        <v>329.79784006350997</v>
      </c>
      <c r="W129" s="218">
        <f t="shared" si="63"/>
        <v>351.18258097117933</v>
      </c>
      <c r="X129" s="218">
        <f t="shared" si="63"/>
        <v>372.78116928792559</v>
      </c>
      <c r="Y129" s="218">
        <f t="shared" si="63"/>
        <v>394.59574348783934</v>
      </c>
      <c r="Z129" s="218">
        <f t="shared" si="63"/>
        <v>416.62846342975217</v>
      </c>
      <c r="AA129" s="218">
        <f t="shared" si="63"/>
        <v>438.88151057108416</v>
      </c>
      <c r="AB129" s="218">
        <f t="shared" si="63"/>
        <v>461.35708818382943</v>
      </c>
    </row>
    <row r="130" spans="1:30" x14ac:dyDescent="0.25">
      <c r="A130" s="103"/>
      <c r="B130" s="103"/>
      <c r="C130" s="103"/>
      <c r="D130" s="103"/>
      <c r="E130" s="103"/>
      <c r="F130" s="103"/>
      <c r="G130" s="103"/>
      <c r="H130" s="103"/>
      <c r="I130" s="103"/>
      <c r="J130" s="103"/>
      <c r="K130" s="103"/>
      <c r="L130" s="103"/>
      <c r="M130" s="103"/>
      <c r="N130" s="103"/>
      <c r="O130" s="103"/>
      <c r="P130" s="103"/>
      <c r="Q130" s="103"/>
      <c r="R130" s="103"/>
    </row>
    <row r="131" spans="1:30" s="146" customFormat="1" ht="74.25" customHeight="1" x14ac:dyDescent="0.25">
      <c r="A131" s="142" t="s">
        <v>205</v>
      </c>
      <c r="B131" s="143" t="s">
        <v>55</v>
      </c>
      <c r="C131" s="144"/>
      <c r="D131" s="145">
        <f t="shared" ref="D131:AB131" si="64">D129+D112</f>
        <v>3.3416994872793877</v>
      </c>
      <c r="E131" s="145">
        <f t="shared" si="64"/>
        <v>7.9426866905013318</v>
      </c>
      <c r="F131" s="145">
        <f t="shared" si="64"/>
        <v>14.826673298306803</v>
      </c>
      <c r="G131" s="145">
        <f t="shared" si="64"/>
        <v>21.814795218180819</v>
      </c>
      <c r="H131" s="145">
        <f t="shared" si="64"/>
        <v>31.360349837346668</v>
      </c>
      <c r="I131" s="145">
        <f t="shared" si="64"/>
        <v>42.291589904530284</v>
      </c>
      <c r="J131" s="145">
        <f t="shared" si="64"/>
        <v>52.70463954621102</v>
      </c>
      <c r="K131" s="145">
        <f t="shared" si="64"/>
        <v>69.665070551511462</v>
      </c>
      <c r="L131" s="145">
        <f t="shared" si="64"/>
        <v>96.061315279278119</v>
      </c>
      <c r="M131" s="145">
        <f t="shared" si="64"/>
        <v>130.71157236286805</v>
      </c>
      <c r="N131" s="145">
        <f t="shared" si="64"/>
        <v>167.32865953928419</v>
      </c>
      <c r="O131" s="145">
        <f t="shared" si="64"/>
        <v>202.58409380039478</v>
      </c>
      <c r="P131" s="145">
        <f t="shared" si="64"/>
        <v>234.85403586556606</v>
      </c>
      <c r="Q131" s="145">
        <f t="shared" si="64"/>
        <v>261.79782044038268</v>
      </c>
      <c r="R131" s="145">
        <f t="shared" si="64"/>
        <v>283.12850328592532</v>
      </c>
      <c r="S131" s="145">
        <f t="shared" si="64"/>
        <v>303.72027706004616</v>
      </c>
      <c r="T131" s="145">
        <f t="shared" si="64"/>
        <v>324.47609590101553</v>
      </c>
      <c r="U131" s="145">
        <f t="shared" si="64"/>
        <v>345.4394729303944</v>
      </c>
      <c r="V131" s="145">
        <f t="shared" si="64"/>
        <v>366.61248373006737</v>
      </c>
      <c r="W131" s="145">
        <f t="shared" si="64"/>
        <v>387.99722463773674</v>
      </c>
      <c r="X131" s="145">
        <f t="shared" si="64"/>
        <v>409.59581295448299</v>
      </c>
      <c r="Y131" s="145">
        <f t="shared" si="64"/>
        <v>431.41038715439674</v>
      </c>
      <c r="Z131" s="145">
        <f t="shared" si="64"/>
        <v>453.44310709630957</v>
      </c>
      <c r="AA131" s="145">
        <f t="shared" si="64"/>
        <v>475.69615423764157</v>
      </c>
      <c r="AB131" s="145">
        <f t="shared" si="64"/>
        <v>498.17173185038683</v>
      </c>
    </row>
    <row r="133" spans="1:30" x14ac:dyDescent="0.25">
      <c r="A133" s="107" t="s">
        <v>163</v>
      </c>
    </row>
    <row r="134" spans="1:30" x14ac:dyDescent="0.25">
      <c r="A134" s="120" t="s">
        <v>206</v>
      </c>
      <c r="B134" s="140" t="s">
        <v>55</v>
      </c>
      <c r="C134" s="130">
        <f t="shared" ref="C134:AB134" si="65">C37+C83+C112</f>
        <v>0</v>
      </c>
      <c r="D134" s="130">
        <f t="shared" si="65"/>
        <v>11.650169539916643</v>
      </c>
      <c r="E134" s="130">
        <f t="shared" si="65"/>
        <v>27.007706880739793</v>
      </c>
      <c r="F134" s="130">
        <f t="shared" si="65"/>
        <v>50.126788743287207</v>
      </c>
      <c r="G134" s="130">
        <f t="shared" si="65"/>
        <v>73.159649238014168</v>
      </c>
      <c r="H134" s="130">
        <f t="shared" si="65"/>
        <v>99.862696158438254</v>
      </c>
      <c r="I134" s="130">
        <f t="shared" si="65"/>
        <v>120.84643208864388</v>
      </c>
      <c r="J134" s="130">
        <f t="shared" si="65"/>
        <v>121.42818787721316</v>
      </c>
      <c r="K134" s="130">
        <f t="shared" si="65"/>
        <v>121.42818787721316</v>
      </c>
      <c r="L134" s="130">
        <f t="shared" si="65"/>
        <v>121.42818787721316</v>
      </c>
      <c r="M134" s="130">
        <f t="shared" si="65"/>
        <v>121.42818787721316</v>
      </c>
      <c r="N134" s="130">
        <f t="shared" si="65"/>
        <v>121.42818787721316</v>
      </c>
      <c r="O134" s="130">
        <f t="shared" si="65"/>
        <v>121.42818787721316</v>
      </c>
      <c r="P134" s="130">
        <f t="shared" si="65"/>
        <v>121.42818787721316</v>
      </c>
      <c r="Q134" s="130">
        <f t="shared" si="65"/>
        <v>121.42818787721316</v>
      </c>
      <c r="R134" s="130">
        <f t="shared" si="65"/>
        <v>121.42818787721316</v>
      </c>
      <c r="S134" s="130">
        <f t="shared" si="65"/>
        <v>121.42818787721316</v>
      </c>
      <c r="T134" s="130">
        <f t="shared" si="65"/>
        <v>121.42818787721316</v>
      </c>
      <c r="U134" s="130">
        <f t="shared" si="65"/>
        <v>121.42818787721316</v>
      </c>
      <c r="V134" s="130">
        <f t="shared" si="65"/>
        <v>121.42818787721316</v>
      </c>
      <c r="W134" s="130">
        <f t="shared" si="65"/>
        <v>121.42818787721316</v>
      </c>
      <c r="X134" s="130">
        <f t="shared" si="65"/>
        <v>121.42818787721316</v>
      </c>
      <c r="Y134" s="130">
        <f t="shared" si="65"/>
        <v>121.42818787721316</v>
      </c>
      <c r="Z134" s="130">
        <f t="shared" si="65"/>
        <v>121.42818787721316</v>
      </c>
      <c r="AA134" s="130">
        <f t="shared" si="65"/>
        <v>121.42818787721316</v>
      </c>
      <c r="AB134" s="130">
        <f t="shared" si="65"/>
        <v>121.42818787721316</v>
      </c>
    </row>
    <row r="135" spans="1:30" x14ac:dyDescent="0.25">
      <c r="A135" s="103" t="s">
        <v>144</v>
      </c>
      <c r="B135" s="140" t="s">
        <v>55</v>
      </c>
      <c r="C135" s="130">
        <f t="shared" ref="C135:AB135" si="66">C71+C99+C129</f>
        <v>0</v>
      </c>
      <c r="D135" s="130">
        <f t="shared" si="66"/>
        <v>0</v>
      </c>
      <c r="E135" s="130">
        <f t="shared" si="66"/>
        <v>0</v>
      </c>
      <c r="F135" s="130">
        <f t="shared" si="66"/>
        <v>0</v>
      </c>
      <c r="G135" s="130">
        <f t="shared" si="66"/>
        <v>24.441460580022969</v>
      </c>
      <c r="H135" s="130">
        <f t="shared" si="66"/>
        <v>84.040326628459283</v>
      </c>
      <c r="I135" s="130">
        <f t="shared" si="66"/>
        <v>199.2854211037795</v>
      </c>
      <c r="J135" s="130">
        <f t="shared" si="66"/>
        <v>375.32312394609414</v>
      </c>
      <c r="K135" s="130">
        <f t="shared" si="66"/>
        <v>625.26956164422597</v>
      </c>
      <c r="L135" s="130">
        <f t="shared" si="66"/>
        <v>916.93044174226736</v>
      </c>
      <c r="M135" s="130">
        <f t="shared" si="66"/>
        <v>1192.8282008469218</v>
      </c>
      <c r="N135" s="130">
        <f t="shared" si="66"/>
        <v>1425.9811398527813</v>
      </c>
      <c r="O135" s="130">
        <f t="shared" si="66"/>
        <v>1610.4480410779354</v>
      </c>
      <c r="P135" s="130">
        <f t="shared" si="66"/>
        <v>1733.1935459713729</v>
      </c>
      <c r="Q135" s="130">
        <f t="shared" si="66"/>
        <v>1802.0939756723269</v>
      </c>
      <c r="R135" s="130">
        <f t="shared" si="66"/>
        <v>1864.0356760734408</v>
      </c>
      <c r="S135" s="130">
        <f t="shared" si="66"/>
        <v>1925.637501221488</v>
      </c>
      <c r="T135" s="130">
        <f t="shared" si="66"/>
        <v>1987.8215297817974</v>
      </c>
      <c r="U135" s="130">
        <f t="shared" si="66"/>
        <v>2050.6355104005079</v>
      </c>
      <c r="V135" s="130">
        <f t="shared" si="66"/>
        <v>2114.0857588217486</v>
      </c>
      <c r="W135" s="130">
        <f t="shared" si="66"/>
        <v>2178.1786539795385</v>
      </c>
      <c r="X135" s="130">
        <f t="shared" si="66"/>
        <v>2242.9206386297465</v>
      </c>
      <c r="Y135" s="130">
        <f t="shared" si="66"/>
        <v>2308.318219988379</v>
      </c>
      <c r="Z135" s="130">
        <f t="shared" si="66"/>
        <v>2374.3779703762448</v>
      </c>
      <c r="AA135" s="130">
        <f t="shared" si="66"/>
        <v>2441.1065278700662</v>
      </c>
      <c r="AB135" s="130">
        <f t="shared" si="66"/>
        <v>2508.5105969601077</v>
      </c>
    </row>
    <row r="136" spans="1:30" x14ac:dyDescent="0.25">
      <c r="A136" s="104" t="s">
        <v>145</v>
      </c>
      <c r="B136" s="137" t="s">
        <v>55</v>
      </c>
      <c r="C136" s="141">
        <f>SUM(C134:C135)</f>
        <v>0</v>
      </c>
      <c r="D136" s="141">
        <f t="shared" ref="D136:AB136" si="67">SUM(D134:D135)</f>
        <v>11.650169539916643</v>
      </c>
      <c r="E136" s="141">
        <f t="shared" si="67"/>
        <v>27.007706880739793</v>
      </c>
      <c r="F136" s="141">
        <f t="shared" si="67"/>
        <v>50.126788743287207</v>
      </c>
      <c r="G136" s="141">
        <f t="shared" si="67"/>
        <v>97.601109818037145</v>
      </c>
      <c r="H136" s="141">
        <f t="shared" si="67"/>
        <v>183.90302278689754</v>
      </c>
      <c r="I136" s="141">
        <f t="shared" si="67"/>
        <v>320.13185319242336</v>
      </c>
      <c r="J136" s="141">
        <f t="shared" si="67"/>
        <v>496.75131182330733</v>
      </c>
      <c r="K136" s="141">
        <f t="shared" si="67"/>
        <v>746.69774952143916</v>
      </c>
      <c r="L136" s="141">
        <f t="shared" si="67"/>
        <v>1038.3586296194806</v>
      </c>
      <c r="M136" s="141">
        <f t="shared" si="67"/>
        <v>1314.2563887241349</v>
      </c>
      <c r="N136" s="141">
        <f t="shared" si="67"/>
        <v>1547.4093277299944</v>
      </c>
      <c r="O136" s="141">
        <f t="shared" si="67"/>
        <v>1731.8762289551485</v>
      </c>
      <c r="P136" s="141">
        <f t="shared" si="67"/>
        <v>1854.621733848586</v>
      </c>
      <c r="Q136" s="141">
        <f t="shared" si="67"/>
        <v>1923.52216354954</v>
      </c>
      <c r="R136" s="141">
        <f t="shared" si="67"/>
        <v>1985.4638639506538</v>
      </c>
      <c r="S136" s="141">
        <f t="shared" si="67"/>
        <v>2047.0656890987011</v>
      </c>
      <c r="T136" s="141">
        <f t="shared" si="67"/>
        <v>2109.2497176590105</v>
      </c>
      <c r="U136" s="141">
        <f t="shared" si="67"/>
        <v>2172.063698277721</v>
      </c>
      <c r="V136" s="141">
        <f t="shared" si="67"/>
        <v>2235.5139466989617</v>
      </c>
      <c r="W136" s="141">
        <f t="shared" si="67"/>
        <v>2299.6068418567515</v>
      </c>
      <c r="X136" s="141">
        <f t="shared" si="67"/>
        <v>2364.3488265069595</v>
      </c>
      <c r="Y136" s="141">
        <f t="shared" si="67"/>
        <v>2429.7464078655921</v>
      </c>
      <c r="Z136" s="141">
        <f t="shared" si="67"/>
        <v>2495.8061582534579</v>
      </c>
      <c r="AA136" s="141">
        <f t="shared" si="67"/>
        <v>2562.5347157472793</v>
      </c>
      <c r="AB136" s="141">
        <f t="shared" si="67"/>
        <v>2629.9387848373208</v>
      </c>
    </row>
    <row r="137" spans="1:30" x14ac:dyDescent="0.25">
      <c r="A137" s="107"/>
      <c r="B137" s="149"/>
      <c r="C137" s="148"/>
      <c r="D137" s="148"/>
      <c r="E137" s="148"/>
      <c r="F137" s="148"/>
      <c r="G137" s="148"/>
      <c r="H137" s="148"/>
      <c r="I137" s="148"/>
      <c r="J137" s="148"/>
      <c r="K137" s="148"/>
      <c r="L137" s="148"/>
      <c r="M137" s="148"/>
      <c r="N137" s="148"/>
      <c r="O137" s="148"/>
      <c r="P137" s="148"/>
      <c r="Q137" s="148"/>
      <c r="R137" s="148"/>
      <c r="S137" s="148"/>
      <c r="T137" s="148"/>
      <c r="U137" s="148"/>
      <c r="V137" s="148"/>
      <c r="W137" s="148"/>
      <c r="X137" s="148"/>
      <c r="Y137" s="148"/>
      <c r="Z137" s="148"/>
      <c r="AA137" s="148"/>
      <c r="AB137" s="148"/>
    </row>
    <row r="138" spans="1:30" x14ac:dyDescent="0.25">
      <c r="A138" s="301" t="s">
        <v>384</v>
      </c>
      <c r="B138" s="187" t="s">
        <v>385</v>
      </c>
    </row>
    <row r="139" spans="1:30" x14ac:dyDescent="0.25">
      <c r="B139" s="112">
        <v>3326.1378836711847</v>
      </c>
      <c r="D139" s="150"/>
      <c r="E139" s="150"/>
      <c r="F139" s="150"/>
    </row>
    <row r="140" spans="1:30" x14ac:dyDescent="0.25">
      <c r="A140" s="187" t="s">
        <v>388</v>
      </c>
      <c r="B140" s="150">
        <f>+E77</f>
        <v>13.968253968253975</v>
      </c>
    </row>
    <row r="141" spans="1:30" x14ac:dyDescent="0.25">
      <c r="A141" s="187" t="s">
        <v>379</v>
      </c>
      <c r="B141" s="187" t="s">
        <v>381</v>
      </c>
    </row>
    <row r="142" spans="1:30" x14ac:dyDescent="0.25">
      <c r="A142" s="302" t="s">
        <v>11</v>
      </c>
      <c r="B142" s="131">
        <f>+C34</f>
        <v>2.5561967213114758</v>
      </c>
      <c r="C142" s="103"/>
      <c r="D142" s="130">
        <f>+D36</f>
        <v>53587.681708055723</v>
      </c>
      <c r="E142" s="130">
        <f t="shared" ref="E142:AB142" si="68">+E36</f>
        <v>122964.90536038761</v>
      </c>
      <c r="F142" s="130">
        <f t="shared" si="68"/>
        <v>227677.45911568747</v>
      </c>
      <c r="G142" s="130">
        <f t="shared" si="68"/>
        <v>331162.25696547545</v>
      </c>
      <c r="H142" s="130">
        <f t="shared" si="68"/>
        <v>451562.18276801938</v>
      </c>
      <c r="I142" s="130">
        <f t="shared" si="68"/>
        <v>545255.84191399161</v>
      </c>
      <c r="J142" s="130">
        <f t="shared" si="68"/>
        <v>545737.5</v>
      </c>
      <c r="K142" s="130">
        <f t="shared" si="68"/>
        <v>545737.5</v>
      </c>
      <c r="L142" s="130">
        <f t="shared" si="68"/>
        <v>545737.5</v>
      </c>
      <c r="M142" s="130">
        <f t="shared" si="68"/>
        <v>545737.5</v>
      </c>
      <c r="N142" s="130">
        <f t="shared" si="68"/>
        <v>545737.5</v>
      </c>
      <c r="O142" s="130">
        <f t="shared" si="68"/>
        <v>545737.5</v>
      </c>
      <c r="P142" s="130">
        <f t="shared" si="68"/>
        <v>545737.5</v>
      </c>
      <c r="Q142" s="130">
        <f t="shared" si="68"/>
        <v>545737.5</v>
      </c>
      <c r="R142" s="130">
        <f t="shared" si="68"/>
        <v>545737.5</v>
      </c>
      <c r="S142" s="130">
        <f t="shared" si="68"/>
        <v>545737.5</v>
      </c>
      <c r="T142" s="130">
        <f t="shared" si="68"/>
        <v>545737.5</v>
      </c>
      <c r="U142" s="130">
        <f t="shared" si="68"/>
        <v>545737.5</v>
      </c>
      <c r="V142" s="130">
        <f t="shared" si="68"/>
        <v>545737.5</v>
      </c>
      <c r="W142" s="130">
        <f t="shared" si="68"/>
        <v>545737.5</v>
      </c>
      <c r="X142" s="130">
        <f t="shared" si="68"/>
        <v>545737.5</v>
      </c>
      <c r="Y142" s="130">
        <f t="shared" si="68"/>
        <v>545737.5</v>
      </c>
      <c r="Z142" s="130">
        <f t="shared" si="68"/>
        <v>545737.5</v>
      </c>
      <c r="AA142" s="130">
        <f t="shared" si="68"/>
        <v>545737.5</v>
      </c>
      <c r="AB142" s="130">
        <f t="shared" si="68"/>
        <v>545737.5</v>
      </c>
      <c r="AD142" s="299">
        <f>+AB142/$AB$145</f>
        <v>0.35</v>
      </c>
    </row>
    <row r="143" spans="1:30" x14ac:dyDescent="0.25">
      <c r="A143" s="302" t="s">
        <v>380</v>
      </c>
      <c r="B143" s="131">
        <f>+C80</f>
        <v>8.2202786885245906</v>
      </c>
      <c r="C143" s="103"/>
      <c r="D143" s="130">
        <f>+D82</f>
        <v>53587.681708055723</v>
      </c>
      <c r="E143" s="130">
        <f t="shared" ref="E143:AB143" si="69">+E82</f>
        <v>122964.90536038759</v>
      </c>
      <c r="F143" s="130">
        <f t="shared" si="69"/>
        <v>227677.45911568744</v>
      </c>
      <c r="G143" s="130">
        <f t="shared" si="69"/>
        <v>331162.25696547545</v>
      </c>
      <c r="H143" s="130">
        <f t="shared" si="69"/>
        <v>451562.18276801932</v>
      </c>
      <c r="I143" s="130">
        <f t="shared" si="69"/>
        <v>545255.84191399149</v>
      </c>
      <c r="J143" s="130">
        <f t="shared" si="69"/>
        <v>545737.49999999988</v>
      </c>
      <c r="K143" s="130">
        <f t="shared" si="69"/>
        <v>545737.49999999988</v>
      </c>
      <c r="L143" s="130">
        <f t="shared" si="69"/>
        <v>545737.49999999988</v>
      </c>
      <c r="M143" s="130">
        <f t="shared" si="69"/>
        <v>545737.49999999988</v>
      </c>
      <c r="N143" s="130">
        <f t="shared" si="69"/>
        <v>545737.49999999988</v>
      </c>
      <c r="O143" s="130">
        <f t="shared" si="69"/>
        <v>545737.49999999988</v>
      </c>
      <c r="P143" s="130">
        <f t="shared" si="69"/>
        <v>545737.49999999988</v>
      </c>
      <c r="Q143" s="130">
        <f t="shared" si="69"/>
        <v>545737.49999999988</v>
      </c>
      <c r="R143" s="130">
        <f t="shared" si="69"/>
        <v>545737.49999999988</v>
      </c>
      <c r="S143" s="130">
        <f t="shared" si="69"/>
        <v>545737.49999999988</v>
      </c>
      <c r="T143" s="130">
        <f t="shared" si="69"/>
        <v>545737.49999999988</v>
      </c>
      <c r="U143" s="130">
        <f t="shared" si="69"/>
        <v>545737.49999999988</v>
      </c>
      <c r="V143" s="130">
        <f t="shared" si="69"/>
        <v>545737.49999999988</v>
      </c>
      <c r="W143" s="130">
        <f t="shared" si="69"/>
        <v>545737.49999999988</v>
      </c>
      <c r="X143" s="130">
        <f t="shared" si="69"/>
        <v>545737.49999999988</v>
      </c>
      <c r="Y143" s="130">
        <f t="shared" si="69"/>
        <v>545737.49999999988</v>
      </c>
      <c r="Z143" s="130">
        <f t="shared" si="69"/>
        <v>545737.49999999988</v>
      </c>
      <c r="AA143" s="130">
        <f t="shared" si="69"/>
        <v>545737.49999999988</v>
      </c>
      <c r="AB143" s="130">
        <f t="shared" si="69"/>
        <v>545737.49999999988</v>
      </c>
      <c r="AD143" s="299">
        <f t="shared" ref="AD143:AD144" si="70">+AB143/$AB$145</f>
        <v>0.34999999999999992</v>
      </c>
    </row>
    <row r="144" spans="1:30" x14ac:dyDescent="0.25">
      <c r="A144" s="302" t="s">
        <v>14</v>
      </c>
      <c r="B144" s="131">
        <f>+C109</f>
        <v>5.470213114754098</v>
      </c>
      <c r="C144" s="103"/>
      <c r="D144" s="130">
        <f>+D111</f>
        <v>42460.372340425529</v>
      </c>
      <c r="E144" s="130">
        <f t="shared" ref="E144:AB144" si="71">+E111</f>
        <v>100921.5327547592</v>
      </c>
      <c r="F144" s="130">
        <f t="shared" si="71"/>
        <v>188390.98824188131</v>
      </c>
      <c r="G144" s="130">
        <f t="shared" si="71"/>
        <v>277183.61002239643</v>
      </c>
      <c r="H144" s="130">
        <f t="shared" si="71"/>
        <v>379287.14865621499</v>
      </c>
      <c r="I144" s="130">
        <f t="shared" si="71"/>
        <v>461331.96248600224</v>
      </c>
      <c r="J144" s="130">
        <f t="shared" si="71"/>
        <v>467775</v>
      </c>
      <c r="K144" s="130">
        <f t="shared" si="71"/>
        <v>467775</v>
      </c>
      <c r="L144" s="130">
        <f t="shared" si="71"/>
        <v>467775</v>
      </c>
      <c r="M144" s="130">
        <f t="shared" si="71"/>
        <v>467775</v>
      </c>
      <c r="N144" s="130">
        <f t="shared" si="71"/>
        <v>467775</v>
      </c>
      <c r="O144" s="130">
        <f t="shared" si="71"/>
        <v>467775</v>
      </c>
      <c r="P144" s="130">
        <f t="shared" si="71"/>
        <v>467775</v>
      </c>
      <c r="Q144" s="130">
        <f t="shared" si="71"/>
        <v>467775</v>
      </c>
      <c r="R144" s="130">
        <f t="shared" si="71"/>
        <v>467775</v>
      </c>
      <c r="S144" s="130">
        <f t="shared" si="71"/>
        <v>467775</v>
      </c>
      <c r="T144" s="130">
        <f t="shared" si="71"/>
        <v>467775</v>
      </c>
      <c r="U144" s="130">
        <f t="shared" si="71"/>
        <v>467775</v>
      </c>
      <c r="V144" s="130">
        <f t="shared" si="71"/>
        <v>467775</v>
      </c>
      <c r="W144" s="130">
        <f t="shared" si="71"/>
        <v>467775</v>
      </c>
      <c r="X144" s="130">
        <f t="shared" si="71"/>
        <v>467775</v>
      </c>
      <c r="Y144" s="130">
        <f t="shared" si="71"/>
        <v>467775</v>
      </c>
      <c r="Z144" s="130">
        <f t="shared" si="71"/>
        <v>467775</v>
      </c>
      <c r="AA144" s="130">
        <f t="shared" si="71"/>
        <v>467775</v>
      </c>
      <c r="AB144" s="130">
        <f t="shared" si="71"/>
        <v>467775</v>
      </c>
      <c r="AD144" s="299">
        <f t="shared" si="70"/>
        <v>0.3</v>
      </c>
    </row>
    <row r="145" spans="1:28" s="187" customFormat="1" x14ac:dyDescent="0.25">
      <c r="A145" s="302" t="s">
        <v>386</v>
      </c>
      <c r="B145" s="131">
        <f>+SUMPRODUCT(B142:B144,AB142:AB144)/SUM(AB142:AB144)</f>
        <v>5.4128303278688525</v>
      </c>
      <c r="C145" s="103"/>
      <c r="D145" s="130">
        <f>+SUM(D142:D144)</f>
        <v>149635.73575653697</v>
      </c>
      <c r="E145" s="130">
        <f t="shared" ref="E145:AB145" si="72">+SUM(E142:E144)</f>
        <v>346851.34347553441</v>
      </c>
      <c r="F145" s="130">
        <f t="shared" si="72"/>
        <v>643745.90647325618</v>
      </c>
      <c r="G145" s="130">
        <f t="shared" si="72"/>
        <v>939508.12395334733</v>
      </c>
      <c r="H145" s="130">
        <f t="shared" si="72"/>
        <v>1282411.5141922538</v>
      </c>
      <c r="I145" s="130">
        <f t="shared" si="72"/>
        <v>1551843.6463139853</v>
      </c>
      <c r="J145" s="130">
        <f t="shared" si="72"/>
        <v>1559250</v>
      </c>
      <c r="K145" s="130">
        <f t="shared" si="72"/>
        <v>1559250</v>
      </c>
      <c r="L145" s="130">
        <f t="shared" si="72"/>
        <v>1559250</v>
      </c>
      <c r="M145" s="130">
        <f t="shared" si="72"/>
        <v>1559250</v>
      </c>
      <c r="N145" s="130">
        <f t="shared" si="72"/>
        <v>1559250</v>
      </c>
      <c r="O145" s="130">
        <f t="shared" si="72"/>
        <v>1559250</v>
      </c>
      <c r="P145" s="130">
        <f t="shared" si="72"/>
        <v>1559250</v>
      </c>
      <c r="Q145" s="130">
        <f t="shared" si="72"/>
        <v>1559250</v>
      </c>
      <c r="R145" s="130">
        <f t="shared" si="72"/>
        <v>1559250</v>
      </c>
      <c r="S145" s="130">
        <f t="shared" si="72"/>
        <v>1559250</v>
      </c>
      <c r="T145" s="130">
        <f t="shared" si="72"/>
        <v>1559250</v>
      </c>
      <c r="U145" s="130">
        <f t="shared" si="72"/>
        <v>1559250</v>
      </c>
      <c r="V145" s="130">
        <f t="shared" si="72"/>
        <v>1559250</v>
      </c>
      <c r="W145" s="130">
        <f t="shared" si="72"/>
        <v>1559250</v>
      </c>
      <c r="X145" s="130">
        <f t="shared" si="72"/>
        <v>1559250</v>
      </c>
      <c r="Y145" s="130">
        <f t="shared" si="72"/>
        <v>1559250</v>
      </c>
      <c r="Z145" s="130">
        <f t="shared" si="72"/>
        <v>1559250</v>
      </c>
      <c r="AA145" s="130">
        <f t="shared" si="72"/>
        <v>1559250</v>
      </c>
      <c r="AB145" s="130">
        <f t="shared" si="72"/>
        <v>1559250</v>
      </c>
    </row>
    <row r="146" spans="1:28" s="187" customFormat="1" x14ac:dyDescent="0.25">
      <c r="A146" s="302" t="s">
        <v>387</v>
      </c>
      <c r="B146" s="131">
        <f>+B145*1.03</f>
        <v>5.575215237704918</v>
      </c>
      <c r="C146" s="103">
        <f>+B146*B140</f>
        <v>77.876022367941758</v>
      </c>
      <c r="D146" s="130"/>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c r="AA146" s="130"/>
      <c r="AB146" s="130"/>
    </row>
    <row r="147" spans="1:28" x14ac:dyDescent="0.25">
      <c r="A147" s="103" t="s">
        <v>382</v>
      </c>
      <c r="B147" s="140" t="s">
        <v>383</v>
      </c>
      <c r="C147" s="103"/>
      <c r="D147" s="131">
        <f>+$B$140*SUMPRODUCT($B$142:$B$144,D142:D144)*1.03/1000000</f>
        <v>11.650169539916641</v>
      </c>
      <c r="E147" s="294">
        <f t="shared" ref="E147:AB147" si="73">+$B$140*SUMPRODUCT($B$142:$B$144,E142:E144)*1.03/1000000</f>
        <v>27.007706880739789</v>
      </c>
      <c r="F147" s="294">
        <f t="shared" si="73"/>
        <v>50.126788743287207</v>
      </c>
      <c r="G147" s="294">
        <f t="shared" si="73"/>
        <v>73.159649238014183</v>
      </c>
      <c r="H147" s="294">
        <f t="shared" si="73"/>
        <v>99.862696158438254</v>
      </c>
      <c r="I147" s="294">
        <f t="shared" si="73"/>
        <v>120.84643208864388</v>
      </c>
      <c r="J147" s="294">
        <f t="shared" si="73"/>
        <v>121.42818787721318</v>
      </c>
      <c r="K147" s="294">
        <f t="shared" si="73"/>
        <v>121.42818787721318</v>
      </c>
      <c r="L147" s="294">
        <f t="shared" si="73"/>
        <v>121.42818787721318</v>
      </c>
      <c r="M147" s="294">
        <f t="shared" si="73"/>
        <v>121.42818787721318</v>
      </c>
      <c r="N147" s="294">
        <f t="shared" si="73"/>
        <v>121.42818787721318</v>
      </c>
      <c r="O147" s="294">
        <f t="shared" si="73"/>
        <v>121.42818787721318</v>
      </c>
      <c r="P147" s="294">
        <f t="shared" si="73"/>
        <v>121.42818787721318</v>
      </c>
      <c r="Q147" s="294">
        <f t="shared" si="73"/>
        <v>121.42818787721318</v>
      </c>
      <c r="R147" s="294">
        <f t="shared" si="73"/>
        <v>121.42818787721318</v>
      </c>
      <c r="S147" s="294">
        <f t="shared" si="73"/>
        <v>121.42818787721318</v>
      </c>
      <c r="T147" s="294">
        <f t="shared" si="73"/>
        <v>121.42818787721318</v>
      </c>
      <c r="U147" s="294">
        <f t="shared" si="73"/>
        <v>121.42818787721318</v>
      </c>
      <c r="V147" s="294">
        <f t="shared" si="73"/>
        <v>121.42818787721318</v>
      </c>
      <c r="W147" s="294">
        <f t="shared" si="73"/>
        <v>121.42818787721318</v>
      </c>
      <c r="X147" s="294">
        <f t="shared" si="73"/>
        <v>121.42818787721318</v>
      </c>
      <c r="Y147" s="294">
        <f t="shared" si="73"/>
        <v>121.42818787721318</v>
      </c>
      <c r="Z147" s="294">
        <f t="shared" si="73"/>
        <v>121.42818787721318</v>
      </c>
      <c r="AA147" s="294">
        <f t="shared" si="73"/>
        <v>121.42818787721318</v>
      </c>
      <c r="AB147" s="294">
        <f t="shared" si="73"/>
        <v>121.42818787721318</v>
      </c>
    </row>
    <row r="148" spans="1:28" x14ac:dyDescent="0.25">
      <c r="A148" s="103" t="s">
        <v>382</v>
      </c>
      <c r="B148" s="103" t="s">
        <v>345</v>
      </c>
      <c r="C148" s="103"/>
      <c r="D148" s="294">
        <f>+D147*$B$139/1000</f>
        <v>38.750070257908838</v>
      </c>
      <c r="E148" s="294">
        <f t="shared" ref="E148:AB148" si="74">+E147*$B$139/1000</f>
        <v>89.831357007115543</v>
      </c>
      <c r="F148" s="294">
        <f t="shared" si="74"/>
        <v>166.72861102582988</v>
      </c>
      <c r="G148" s="294">
        <f t="shared" si="74"/>
        <v>243.3390808866547</v>
      </c>
      <c r="H148" s="294">
        <f t="shared" si="74"/>
        <v>332.15709685812635</v>
      </c>
      <c r="I148" s="294">
        <f t="shared" si="74"/>
        <v>401.9518958765355</v>
      </c>
      <c r="J148" s="294">
        <f t="shared" si="74"/>
        <v>403.88689584394086</v>
      </c>
      <c r="K148" s="294">
        <f t="shared" si="74"/>
        <v>403.88689584394086</v>
      </c>
      <c r="L148" s="294">
        <f t="shared" si="74"/>
        <v>403.88689584394086</v>
      </c>
      <c r="M148" s="294">
        <f t="shared" si="74"/>
        <v>403.88689584394086</v>
      </c>
      <c r="N148" s="294">
        <f t="shared" si="74"/>
        <v>403.88689584394086</v>
      </c>
      <c r="O148" s="294">
        <f t="shared" si="74"/>
        <v>403.88689584394086</v>
      </c>
      <c r="P148" s="294">
        <f t="shared" si="74"/>
        <v>403.88689584394086</v>
      </c>
      <c r="Q148" s="294">
        <f t="shared" si="74"/>
        <v>403.88689584394086</v>
      </c>
      <c r="R148" s="294">
        <f t="shared" si="74"/>
        <v>403.88689584394086</v>
      </c>
      <c r="S148" s="294">
        <f t="shared" si="74"/>
        <v>403.88689584394086</v>
      </c>
      <c r="T148" s="294">
        <f t="shared" si="74"/>
        <v>403.88689584394086</v>
      </c>
      <c r="U148" s="294">
        <f t="shared" si="74"/>
        <v>403.88689584394086</v>
      </c>
      <c r="V148" s="294">
        <f t="shared" si="74"/>
        <v>403.88689584394086</v>
      </c>
      <c r="W148" s="294">
        <f t="shared" si="74"/>
        <v>403.88689584394086</v>
      </c>
      <c r="X148" s="294">
        <f t="shared" si="74"/>
        <v>403.88689584394086</v>
      </c>
      <c r="Y148" s="294">
        <f t="shared" si="74"/>
        <v>403.88689584394086</v>
      </c>
      <c r="Z148" s="294">
        <f t="shared" si="74"/>
        <v>403.88689584394086</v>
      </c>
      <c r="AA148" s="294">
        <f t="shared" si="74"/>
        <v>403.88689584394086</v>
      </c>
      <c r="AB148" s="294">
        <f t="shared" si="74"/>
        <v>403.88689584394086</v>
      </c>
    </row>
    <row r="150" spans="1:28" x14ac:dyDescent="0.25">
      <c r="A150" s="350"/>
      <c r="B150" s="350"/>
      <c r="C150" s="350"/>
      <c r="D150" s="350"/>
    </row>
    <row r="151" spans="1:28" x14ac:dyDescent="0.25">
      <c r="A151" s="107" t="s">
        <v>389</v>
      </c>
    </row>
    <row r="152" spans="1:28" x14ac:dyDescent="0.25">
      <c r="A152" s="187" t="s">
        <v>379</v>
      </c>
      <c r="B152" s="187" t="s">
        <v>391</v>
      </c>
    </row>
    <row r="153" spans="1:28" x14ac:dyDescent="0.25">
      <c r="A153" s="302" t="s">
        <v>11</v>
      </c>
      <c r="B153" s="187" t="s">
        <v>390</v>
      </c>
      <c r="C153" s="139">
        <f t="shared" ref="C153:H153" si="75">+C43</f>
        <v>0</v>
      </c>
      <c r="D153" s="139">
        <f t="shared" si="75"/>
        <v>0</v>
      </c>
      <c r="E153" s="139">
        <f t="shared" si="75"/>
        <v>0</v>
      </c>
      <c r="F153" s="139">
        <f t="shared" si="75"/>
        <v>0</v>
      </c>
      <c r="G153" s="139">
        <f t="shared" si="75"/>
        <v>0</v>
      </c>
      <c r="H153" s="139">
        <f t="shared" si="75"/>
        <v>0.12057228384312538</v>
      </c>
      <c r="I153" s="139">
        <f t="shared" ref="I153:AB153" si="76">+I43</f>
        <v>0.3972433209039975</v>
      </c>
      <c r="J153" s="139">
        <f t="shared" si="76"/>
        <v>0.90951760391429426</v>
      </c>
      <c r="K153" s="139">
        <f t="shared" si="76"/>
        <v>1.654632682086614</v>
      </c>
      <c r="L153" s="139">
        <f t="shared" si="76"/>
        <v>2.6706475933146576</v>
      </c>
      <c r="M153" s="139">
        <f t="shared" si="76"/>
        <v>3.7769009537780134</v>
      </c>
      <c r="N153" s="139">
        <f t="shared" si="76"/>
        <v>4.7281392917171416</v>
      </c>
      <c r="O153" s="139">
        <f t="shared" si="76"/>
        <v>5.4437743837068453</v>
      </c>
      <c r="P153" s="139">
        <f t="shared" si="76"/>
        <v>5.9265686805345252</v>
      </c>
      <c r="Q153" s="139">
        <f t="shared" si="76"/>
        <v>6.1384631443064821</v>
      </c>
      <c r="R153" s="139">
        <f t="shared" si="76"/>
        <v>6.1395468750000006</v>
      </c>
      <c r="S153" s="139">
        <f t="shared" si="76"/>
        <v>6.1395468750000006</v>
      </c>
      <c r="T153" s="139">
        <f t="shared" si="76"/>
        <v>6.1395468750000006</v>
      </c>
      <c r="U153" s="139">
        <f t="shared" si="76"/>
        <v>6.1395468750000006</v>
      </c>
      <c r="V153" s="139">
        <f t="shared" si="76"/>
        <v>6.1395468750000006</v>
      </c>
      <c r="W153" s="139">
        <f t="shared" si="76"/>
        <v>6.1395468750000006</v>
      </c>
      <c r="X153" s="139">
        <f t="shared" si="76"/>
        <v>6.1395468750000006</v>
      </c>
      <c r="Y153" s="139">
        <f t="shared" si="76"/>
        <v>6.1395468750000006</v>
      </c>
      <c r="Z153" s="139">
        <f t="shared" si="76"/>
        <v>6.1395468750000006</v>
      </c>
      <c r="AA153" s="139">
        <f t="shared" si="76"/>
        <v>6.1395468750000006</v>
      </c>
      <c r="AB153" s="139">
        <f t="shared" si="76"/>
        <v>6.1395468750000006</v>
      </c>
    </row>
    <row r="154" spans="1:28" x14ac:dyDescent="0.25">
      <c r="A154" s="302" t="s">
        <v>11</v>
      </c>
      <c r="B154" s="187" t="s">
        <v>390</v>
      </c>
      <c r="C154" s="139">
        <f t="shared" ref="C154:H154" si="77">+C57</f>
        <v>0</v>
      </c>
      <c r="D154" s="139">
        <f t="shared" si="77"/>
        <v>0</v>
      </c>
      <c r="E154" s="139">
        <f t="shared" si="77"/>
        <v>0</v>
      </c>
      <c r="F154" s="139">
        <f t="shared" si="77"/>
        <v>0</v>
      </c>
      <c r="G154" s="139">
        <f t="shared" si="77"/>
        <v>0.12057228384312538</v>
      </c>
      <c r="H154" s="139">
        <f t="shared" si="77"/>
        <v>0.3972433209039975</v>
      </c>
      <c r="I154" s="139">
        <f t="shared" ref="I154:AB154" si="78">+I57</f>
        <v>0.90951760391429426</v>
      </c>
      <c r="J154" s="139">
        <f t="shared" si="78"/>
        <v>1.654632682086614</v>
      </c>
      <c r="K154" s="139">
        <f t="shared" si="78"/>
        <v>2.6706475933146576</v>
      </c>
      <c r="L154" s="139">
        <f t="shared" si="78"/>
        <v>3.7769009537780134</v>
      </c>
      <c r="M154" s="139">
        <f t="shared" si="78"/>
        <v>4.7281392917171416</v>
      </c>
      <c r="N154" s="139">
        <f t="shared" si="78"/>
        <v>5.4437743837068453</v>
      </c>
      <c r="O154" s="139">
        <f t="shared" si="78"/>
        <v>5.9265686805345252</v>
      </c>
      <c r="P154" s="139">
        <f t="shared" si="78"/>
        <v>6.1384631443064821</v>
      </c>
      <c r="Q154" s="139">
        <f t="shared" si="78"/>
        <v>6.1395468750000006</v>
      </c>
      <c r="R154" s="139">
        <f t="shared" si="78"/>
        <v>6.1395468750000006</v>
      </c>
      <c r="S154" s="139">
        <f t="shared" si="78"/>
        <v>6.1395468750000006</v>
      </c>
      <c r="T154" s="139">
        <f t="shared" si="78"/>
        <v>6.1395468750000006</v>
      </c>
      <c r="U154" s="139">
        <f t="shared" si="78"/>
        <v>6.1395468750000006</v>
      </c>
      <c r="V154" s="139">
        <f t="shared" si="78"/>
        <v>6.1395468750000006</v>
      </c>
      <c r="W154" s="139">
        <f t="shared" si="78"/>
        <v>6.1395468750000006</v>
      </c>
      <c r="X154" s="139">
        <f t="shared" si="78"/>
        <v>6.1395468750000006</v>
      </c>
      <c r="Y154" s="139">
        <f t="shared" si="78"/>
        <v>6.1395468750000006</v>
      </c>
      <c r="Z154" s="139">
        <f t="shared" si="78"/>
        <v>6.1395468750000006</v>
      </c>
      <c r="AA154" s="139">
        <f t="shared" si="78"/>
        <v>6.1395468750000006</v>
      </c>
      <c r="AB154" s="139">
        <f t="shared" si="78"/>
        <v>6.1395468750000006</v>
      </c>
    </row>
    <row r="155" spans="1:28" x14ac:dyDescent="0.25">
      <c r="A155" s="302" t="s">
        <v>380</v>
      </c>
      <c r="B155" s="187" t="s">
        <v>390</v>
      </c>
      <c r="C155" s="139">
        <f t="shared" ref="C155:H155" si="79">+C87</f>
        <v>0</v>
      </c>
      <c r="D155" s="139">
        <f t="shared" si="79"/>
        <v>0</v>
      </c>
      <c r="E155" s="139">
        <f t="shared" si="79"/>
        <v>0</v>
      </c>
      <c r="F155" s="139">
        <f t="shared" si="79"/>
        <v>0</v>
      </c>
      <c r="G155" s="139">
        <f t="shared" si="79"/>
        <v>0.24114456768625075</v>
      </c>
      <c r="H155" s="139">
        <f t="shared" si="79"/>
        <v>0.794486641807995</v>
      </c>
      <c r="I155" s="139">
        <f t="shared" ref="I155:AB155" si="80">+I87</f>
        <v>1.8190352078285885</v>
      </c>
      <c r="J155" s="139">
        <f t="shared" si="80"/>
        <v>3.3092653641732279</v>
      </c>
      <c r="K155" s="139">
        <f t="shared" si="80"/>
        <v>5.3412951866293152</v>
      </c>
      <c r="L155" s="139">
        <f t="shared" si="80"/>
        <v>7.5538019075560259</v>
      </c>
      <c r="M155" s="139">
        <f t="shared" si="80"/>
        <v>9.4562785834342815</v>
      </c>
      <c r="N155" s="139">
        <f t="shared" si="80"/>
        <v>10.887548767413687</v>
      </c>
      <c r="O155" s="139">
        <f t="shared" si="80"/>
        <v>11.853137361069049</v>
      </c>
      <c r="P155" s="139">
        <f t="shared" si="80"/>
        <v>12.276926288612959</v>
      </c>
      <c r="Q155" s="139">
        <f t="shared" si="80"/>
        <v>12.279093749999998</v>
      </c>
      <c r="R155" s="139">
        <f t="shared" si="80"/>
        <v>12.279093749999998</v>
      </c>
      <c r="S155" s="139">
        <f t="shared" si="80"/>
        <v>12.279093749999998</v>
      </c>
      <c r="T155" s="139">
        <f t="shared" si="80"/>
        <v>12.279093749999998</v>
      </c>
      <c r="U155" s="139">
        <f t="shared" si="80"/>
        <v>12.279093749999998</v>
      </c>
      <c r="V155" s="139">
        <f t="shared" si="80"/>
        <v>12.279093749999998</v>
      </c>
      <c r="W155" s="139">
        <f t="shared" si="80"/>
        <v>12.279093749999998</v>
      </c>
      <c r="X155" s="139">
        <f t="shared" si="80"/>
        <v>12.279093749999998</v>
      </c>
      <c r="Y155" s="139">
        <f t="shared" si="80"/>
        <v>12.279093749999998</v>
      </c>
      <c r="Z155" s="139">
        <f t="shared" si="80"/>
        <v>12.279093749999998</v>
      </c>
      <c r="AA155" s="139">
        <f t="shared" si="80"/>
        <v>12.279093749999998</v>
      </c>
      <c r="AB155" s="139">
        <f t="shared" si="80"/>
        <v>12.279093749999998</v>
      </c>
    </row>
    <row r="156" spans="1:28" x14ac:dyDescent="0.25">
      <c r="A156" s="302" t="s">
        <v>14</v>
      </c>
      <c r="B156" s="187" t="s">
        <v>390</v>
      </c>
      <c r="C156" s="139">
        <f t="shared" ref="C156:H156" si="81">+C116</f>
        <v>0</v>
      </c>
      <c r="D156" s="139">
        <f t="shared" si="81"/>
        <v>0</v>
      </c>
      <c r="E156" s="139">
        <f t="shared" si="81"/>
        <v>0</v>
      </c>
      <c r="F156" s="139">
        <f t="shared" si="81"/>
        <v>0</v>
      </c>
      <c r="G156" s="139">
        <f t="shared" si="81"/>
        <v>0</v>
      </c>
      <c r="H156" s="139">
        <f t="shared" si="81"/>
        <v>0.19107167553191487</v>
      </c>
      <c r="I156" s="139">
        <f t="shared" ref="I156:AB156" si="82">+I116</f>
        <v>0.64521857292833129</v>
      </c>
      <c r="J156" s="139">
        <f t="shared" si="82"/>
        <v>1.492978020016797</v>
      </c>
      <c r="K156" s="139">
        <f t="shared" si="82"/>
        <v>2.7403042651175809</v>
      </c>
      <c r="L156" s="139">
        <f t="shared" si="82"/>
        <v>4.4470964340705486</v>
      </c>
      <c r="M156" s="139">
        <f t="shared" si="82"/>
        <v>6.332018589725644</v>
      </c>
      <c r="N156" s="139">
        <f t="shared" si="82"/>
        <v>7.9828591923292276</v>
      </c>
      <c r="O156" s="139">
        <f t="shared" si="82"/>
        <v>9.2400872452407619</v>
      </c>
      <c r="P156" s="139">
        <f t="shared" si="82"/>
        <v>10.097748500139978</v>
      </c>
      <c r="Q156" s="139">
        <f t="shared" si="82"/>
        <v>10.495943831187009</v>
      </c>
      <c r="R156" s="139">
        <f t="shared" si="82"/>
        <v>10.5249375</v>
      </c>
      <c r="S156" s="139">
        <f t="shared" si="82"/>
        <v>10.5249375</v>
      </c>
      <c r="T156" s="139">
        <f t="shared" si="82"/>
        <v>10.5249375</v>
      </c>
      <c r="U156" s="139">
        <f t="shared" si="82"/>
        <v>10.5249375</v>
      </c>
      <c r="V156" s="139">
        <f t="shared" si="82"/>
        <v>10.5249375</v>
      </c>
      <c r="W156" s="139">
        <f t="shared" si="82"/>
        <v>10.5249375</v>
      </c>
      <c r="X156" s="139">
        <f t="shared" si="82"/>
        <v>10.5249375</v>
      </c>
      <c r="Y156" s="139">
        <f t="shared" si="82"/>
        <v>10.5249375</v>
      </c>
      <c r="Z156" s="139">
        <f t="shared" si="82"/>
        <v>10.5249375</v>
      </c>
      <c r="AA156" s="139">
        <f t="shared" si="82"/>
        <v>10.5249375</v>
      </c>
      <c r="AB156" s="139">
        <f t="shared" si="82"/>
        <v>10.5249375</v>
      </c>
    </row>
    <row r="157" spans="1:28" x14ac:dyDescent="0.25">
      <c r="A157" s="187" t="s">
        <v>31</v>
      </c>
      <c r="B157" s="187" t="s">
        <v>390</v>
      </c>
      <c r="C157" s="139">
        <f>+SUM(C153:C156)</f>
        <v>0</v>
      </c>
      <c r="D157" s="139">
        <f t="shared" ref="D157:AB157" si="83">+SUM(D153:D156)</f>
        <v>0</v>
      </c>
      <c r="E157" s="139">
        <f t="shared" si="83"/>
        <v>0</v>
      </c>
      <c r="F157" s="139">
        <f t="shared" si="83"/>
        <v>0</v>
      </c>
      <c r="G157" s="139">
        <f t="shared" si="83"/>
        <v>0.36171685152937616</v>
      </c>
      <c r="H157" s="139">
        <f t="shared" si="83"/>
        <v>1.5033739220870328</v>
      </c>
      <c r="I157" s="139">
        <f t="shared" si="83"/>
        <v>3.7710147055752117</v>
      </c>
      <c r="J157" s="139">
        <f t="shared" si="83"/>
        <v>7.3663936701909334</v>
      </c>
      <c r="K157" s="139">
        <f t="shared" si="83"/>
        <v>12.406879727148167</v>
      </c>
      <c r="L157" s="139">
        <f t="shared" si="83"/>
        <v>18.448446888719246</v>
      </c>
      <c r="M157" s="139">
        <f t="shared" si="83"/>
        <v>24.293337418655078</v>
      </c>
      <c r="N157" s="139">
        <f t="shared" si="83"/>
        <v>29.0423216351669</v>
      </c>
      <c r="O157" s="139">
        <f t="shared" si="83"/>
        <v>32.463567670551186</v>
      </c>
      <c r="P157" s="139">
        <f t="shared" si="83"/>
        <v>34.439706613593941</v>
      </c>
      <c r="Q157" s="139">
        <f t="shared" si="83"/>
        <v>35.053047600493485</v>
      </c>
      <c r="R157" s="139">
        <f t="shared" si="83"/>
        <v>35.083124999999995</v>
      </c>
      <c r="S157" s="139">
        <f t="shared" si="83"/>
        <v>35.083124999999995</v>
      </c>
      <c r="T157" s="139">
        <f t="shared" si="83"/>
        <v>35.083124999999995</v>
      </c>
      <c r="U157" s="139">
        <f t="shared" si="83"/>
        <v>35.083124999999995</v>
      </c>
      <c r="V157" s="139">
        <f t="shared" si="83"/>
        <v>35.083124999999995</v>
      </c>
      <c r="W157" s="139">
        <f t="shared" si="83"/>
        <v>35.083124999999995</v>
      </c>
      <c r="X157" s="139">
        <f t="shared" si="83"/>
        <v>35.083124999999995</v>
      </c>
      <c r="Y157" s="139">
        <f t="shared" si="83"/>
        <v>35.083124999999995</v>
      </c>
      <c r="Z157" s="139">
        <f t="shared" si="83"/>
        <v>35.083124999999995</v>
      </c>
      <c r="AA157" s="139">
        <f t="shared" si="83"/>
        <v>35.083124999999995</v>
      </c>
      <c r="AB157" s="139">
        <f t="shared" si="83"/>
        <v>35.083124999999995</v>
      </c>
    </row>
    <row r="158" spans="1:28" x14ac:dyDescent="0.25">
      <c r="B158" s="187" t="s">
        <v>397</v>
      </c>
      <c r="C158" s="139">
        <f>+C157/10</f>
        <v>0</v>
      </c>
      <c r="D158" s="139">
        <f t="shared" ref="D158:AB158" si="84">+D157/10</f>
        <v>0</v>
      </c>
      <c r="E158" s="139">
        <f t="shared" si="84"/>
        <v>0</v>
      </c>
      <c r="F158" s="139">
        <f t="shared" si="84"/>
        <v>0</v>
      </c>
      <c r="G158" s="139">
        <f t="shared" si="84"/>
        <v>3.6171685152937616E-2</v>
      </c>
      <c r="H158" s="139">
        <f t="shared" si="84"/>
        <v>0.15033739220870329</v>
      </c>
      <c r="I158" s="139">
        <f t="shared" si="84"/>
        <v>0.37710147055752119</v>
      </c>
      <c r="J158" s="139">
        <f t="shared" si="84"/>
        <v>0.73663936701909338</v>
      </c>
      <c r="K158" s="139">
        <f t="shared" si="84"/>
        <v>1.2406879727148168</v>
      </c>
      <c r="L158" s="139">
        <f t="shared" si="84"/>
        <v>1.8448446888719245</v>
      </c>
      <c r="M158" s="139">
        <f t="shared" si="84"/>
        <v>2.4293337418655079</v>
      </c>
      <c r="N158" s="139">
        <f t="shared" si="84"/>
        <v>2.9042321635166899</v>
      </c>
      <c r="O158" s="139">
        <f t="shared" si="84"/>
        <v>3.2463567670551186</v>
      </c>
      <c r="P158" s="139">
        <f t="shared" si="84"/>
        <v>3.4439706613593941</v>
      </c>
      <c r="Q158" s="139">
        <f t="shared" si="84"/>
        <v>3.5053047600493485</v>
      </c>
      <c r="R158" s="139">
        <f t="shared" si="84"/>
        <v>3.5083124999999997</v>
      </c>
      <c r="S158" s="139">
        <f t="shared" si="84"/>
        <v>3.5083124999999997</v>
      </c>
      <c r="T158" s="139">
        <f t="shared" si="84"/>
        <v>3.5083124999999997</v>
      </c>
      <c r="U158" s="139">
        <f t="shared" si="84"/>
        <v>3.5083124999999997</v>
      </c>
      <c r="V158" s="139">
        <f t="shared" si="84"/>
        <v>3.5083124999999997</v>
      </c>
      <c r="W158" s="139">
        <f t="shared" si="84"/>
        <v>3.5083124999999997</v>
      </c>
      <c r="X158" s="139">
        <f t="shared" si="84"/>
        <v>3.5083124999999997</v>
      </c>
      <c r="Y158" s="139">
        <f t="shared" si="84"/>
        <v>3.5083124999999997</v>
      </c>
      <c r="Z158" s="139">
        <f t="shared" si="84"/>
        <v>3.5083124999999997</v>
      </c>
      <c r="AA158" s="139">
        <f t="shared" si="84"/>
        <v>3.5083124999999997</v>
      </c>
      <c r="AB158" s="139">
        <f t="shared" si="84"/>
        <v>3.5083124999999997</v>
      </c>
    </row>
    <row r="159" spans="1:28" x14ac:dyDescent="0.25">
      <c r="A159" s="187" t="s">
        <v>392</v>
      </c>
      <c r="B159" s="187" t="s">
        <v>391</v>
      </c>
      <c r="D159" s="187"/>
      <c r="E159" s="187"/>
      <c r="F159" s="187"/>
      <c r="G159" s="187"/>
      <c r="H159" s="187"/>
      <c r="I159" s="187"/>
      <c r="J159" s="187"/>
      <c r="K159" s="187"/>
      <c r="L159" s="187"/>
      <c r="M159" s="187"/>
      <c r="N159" s="187"/>
      <c r="O159" s="187"/>
      <c r="P159" s="187"/>
      <c r="Q159" s="187"/>
      <c r="R159" s="187"/>
      <c r="S159" s="187"/>
      <c r="T159" s="187"/>
      <c r="U159" s="187"/>
      <c r="V159" s="187"/>
      <c r="W159" s="187"/>
      <c r="X159" s="187"/>
      <c r="Y159" s="187"/>
      <c r="Z159" s="187"/>
      <c r="AA159" s="187"/>
      <c r="AB159" s="187"/>
    </row>
    <row r="160" spans="1:28" x14ac:dyDescent="0.25">
      <c r="A160" s="302" t="s">
        <v>11</v>
      </c>
      <c r="B160" s="300" t="s">
        <v>393</v>
      </c>
      <c r="C160" s="112">
        <f>+C55</f>
        <v>0</v>
      </c>
      <c r="D160" s="112">
        <f t="shared" ref="D160:AB160" si="85">+D55</f>
        <v>0</v>
      </c>
      <c r="E160" s="112">
        <f t="shared" si="85"/>
        <v>0</v>
      </c>
      <c r="F160" s="112">
        <f t="shared" si="85"/>
        <v>0</v>
      </c>
      <c r="G160" s="112">
        <f t="shared" si="85"/>
        <v>0</v>
      </c>
      <c r="H160" s="112">
        <f t="shared" si="85"/>
        <v>0.38529832505344463</v>
      </c>
      <c r="I160" s="112">
        <f t="shared" si="85"/>
        <v>1.4588509213865757</v>
      </c>
      <c r="J160" s="112">
        <f t="shared" si="85"/>
        <v>3.7996349319287361</v>
      </c>
      <c r="K160" s="112">
        <f t="shared" si="85"/>
        <v>7.7252492965164716</v>
      </c>
      <c r="L160" s="112">
        <f t="shared" si="85"/>
        <v>13.795015946927915</v>
      </c>
      <c r="M160" s="112">
        <f t="shared" si="85"/>
        <v>21.617064827564256</v>
      </c>
      <c r="N160" s="112">
        <f t="shared" si="85"/>
        <v>29.651501518918717</v>
      </c>
      <c r="O160" s="112">
        <f t="shared" si="85"/>
        <v>37.31615083968974</v>
      </c>
      <c r="P160" s="112">
        <f t="shared" si="85"/>
        <v>44.303963193318559</v>
      </c>
      <c r="Q160" s="112">
        <f t="shared" si="85"/>
        <v>50.066312460003225</v>
      </c>
      <c r="R160" s="112">
        <f t="shared" si="85"/>
        <v>54.620576372141343</v>
      </c>
      <c r="S160" s="112">
        <f t="shared" si="85"/>
        <v>59.214610703103865</v>
      </c>
      <c r="T160" s="112">
        <f t="shared" si="85"/>
        <v>63.862643209050525</v>
      </c>
      <c r="U160" s="112">
        <f t="shared" si="85"/>
        <v>68.565267812854486</v>
      </c>
      <c r="V160" s="112">
        <f t="shared" si="85"/>
        <v>73.323046659039917</v>
      </c>
      <c r="W160" s="112">
        <f t="shared" si="85"/>
        <v>78.136547546023323</v>
      </c>
      <c r="X160" s="112">
        <f t="shared" si="85"/>
        <v>83.00634398271734</v>
      </c>
      <c r="Y160" s="112">
        <f t="shared" si="85"/>
        <v>87.933015245700744</v>
      </c>
      <c r="Z160" s="112">
        <f t="shared" si="85"/>
        <v>92.917146436960294</v>
      </c>
      <c r="AA160" s="112">
        <f t="shared" si="85"/>
        <v>97.959328542210073</v>
      </c>
      <c r="AB160" s="112">
        <f t="shared" si="85"/>
        <v>103.06015848979412</v>
      </c>
    </row>
    <row r="161" spans="1:28" x14ac:dyDescent="0.25">
      <c r="A161" s="302" t="s">
        <v>11</v>
      </c>
      <c r="B161" s="300" t="s">
        <v>393</v>
      </c>
      <c r="C161" s="112">
        <f>+C69</f>
        <v>0</v>
      </c>
      <c r="D161" s="112">
        <f t="shared" ref="D161:AB161" si="86">+D69</f>
        <v>0</v>
      </c>
      <c r="E161" s="112">
        <f t="shared" si="86"/>
        <v>0</v>
      </c>
      <c r="F161" s="112">
        <f t="shared" si="86"/>
        <v>0</v>
      </c>
      <c r="G161" s="112">
        <f t="shared" si="86"/>
        <v>21.3438316067176</v>
      </c>
      <c r="H161" s="112">
        <f t="shared" si="86"/>
        <v>70.430882671988229</v>
      </c>
      <c r="I161" s="112">
        <f t="shared" si="86"/>
        <v>161.36766699652898</v>
      </c>
      <c r="J161" s="112">
        <f t="shared" si="86"/>
        <v>293.73800597863328</v>
      </c>
      <c r="K161" s="112">
        <f t="shared" si="86"/>
        <v>474.27661959824951</v>
      </c>
      <c r="L161" s="112">
        <f t="shared" si="86"/>
        <v>671.03750654446173</v>
      </c>
      <c r="M161" s="112">
        <f t="shared" si="86"/>
        <v>840.44013891078646</v>
      </c>
      <c r="N161" s="112">
        <f t="shared" si="86"/>
        <v>967.99403081338642</v>
      </c>
      <c r="O161" s="112">
        <f t="shared" si="86"/>
        <v>1054.1143680584228</v>
      </c>
      <c r="P161" s="112">
        <f t="shared" si="86"/>
        <v>1092.0664306659471</v>
      </c>
      <c r="Q161" s="112">
        <f t="shared" si="86"/>
        <v>1092.452388340158</v>
      </c>
      <c r="R161" s="112">
        <f t="shared" si="86"/>
        <v>1092.453381135703</v>
      </c>
      <c r="S161" s="112">
        <f t="shared" si="86"/>
        <v>1092.453381135703</v>
      </c>
      <c r="T161" s="112">
        <f t="shared" si="86"/>
        <v>1092.453381135703</v>
      </c>
      <c r="U161" s="112">
        <f t="shared" si="86"/>
        <v>1092.453381135703</v>
      </c>
      <c r="V161" s="112">
        <f t="shared" si="86"/>
        <v>1092.453381135703</v>
      </c>
      <c r="W161" s="112">
        <f t="shared" si="86"/>
        <v>1092.453381135703</v>
      </c>
      <c r="X161" s="112">
        <f t="shared" si="86"/>
        <v>1092.453381135703</v>
      </c>
      <c r="Y161" s="112">
        <f t="shared" si="86"/>
        <v>1092.453381135703</v>
      </c>
      <c r="Z161" s="112">
        <f t="shared" si="86"/>
        <v>1092.453381135703</v>
      </c>
      <c r="AA161" s="112">
        <f t="shared" si="86"/>
        <v>1092.453381135703</v>
      </c>
      <c r="AB161" s="112">
        <f t="shared" si="86"/>
        <v>1092.453381135703</v>
      </c>
    </row>
    <row r="162" spans="1:28" x14ac:dyDescent="0.25">
      <c r="A162" s="302" t="s">
        <v>380</v>
      </c>
      <c r="B162" s="300" t="s">
        <v>393</v>
      </c>
      <c r="C162" s="112">
        <f>+C99</f>
        <v>0</v>
      </c>
      <c r="D162" s="112">
        <f t="shared" ref="D162:AB162" si="87">+D99</f>
        <v>0</v>
      </c>
      <c r="E162" s="112">
        <f t="shared" si="87"/>
        <v>0</v>
      </c>
      <c r="F162" s="112">
        <f t="shared" si="87"/>
        <v>0</v>
      </c>
      <c r="G162" s="112">
        <f t="shared" si="87"/>
        <v>3.0976289733053699</v>
      </c>
      <c r="H162" s="112">
        <f t="shared" si="87"/>
        <v>11.714303463534137</v>
      </c>
      <c r="I162" s="112">
        <f t="shared" si="87"/>
        <v>30.474879549124342</v>
      </c>
      <c r="J162" s="112">
        <f t="shared" si="87"/>
        <v>61.895487155878534</v>
      </c>
      <c r="K162" s="112">
        <f t="shared" si="87"/>
        <v>110.41726586450589</v>
      </c>
      <c r="L162" s="112">
        <f t="shared" si="87"/>
        <v>172.85124763815691</v>
      </c>
      <c r="M162" s="112">
        <f t="shared" si="87"/>
        <v>236.8740684122605</v>
      </c>
      <c r="N162" s="112">
        <f t="shared" si="87"/>
        <v>297.82159164774947</v>
      </c>
      <c r="O162" s="112">
        <f t="shared" si="87"/>
        <v>353.24807204598545</v>
      </c>
      <c r="P162" s="112">
        <f t="shared" si="87"/>
        <v>398.78375991309855</v>
      </c>
      <c r="Q162" s="112">
        <f t="shared" si="87"/>
        <v>434.59209809834027</v>
      </c>
      <c r="R162" s="112">
        <f t="shared" si="87"/>
        <v>470.64785894622833</v>
      </c>
      <c r="S162" s="112">
        <f t="shared" si="87"/>
        <v>507.06387598919241</v>
      </c>
      <c r="T162" s="112">
        <f t="shared" si="87"/>
        <v>543.84405320258588</v>
      </c>
      <c r="U162" s="112">
        <f t="shared" si="87"/>
        <v>580.99203218811328</v>
      </c>
      <c r="V162" s="112">
        <f t="shared" si="87"/>
        <v>618.51149096349593</v>
      </c>
      <c r="W162" s="112">
        <f t="shared" si="87"/>
        <v>656.40614432663244</v>
      </c>
      <c r="X162" s="112">
        <f t="shared" si="87"/>
        <v>694.67974422340035</v>
      </c>
      <c r="Y162" s="112">
        <f t="shared" si="87"/>
        <v>733.33608011913611</v>
      </c>
      <c r="Z162" s="112">
        <f t="shared" si="87"/>
        <v>772.378979373829</v>
      </c>
      <c r="AA162" s="112">
        <f t="shared" si="87"/>
        <v>811.81230762106884</v>
      </c>
      <c r="AB162" s="112">
        <f t="shared" si="87"/>
        <v>851.63996915078133</v>
      </c>
    </row>
    <row r="163" spans="1:28" x14ac:dyDescent="0.25">
      <c r="A163" s="302" t="s">
        <v>14</v>
      </c>
      <c r="B163" s="300" t="s">
        <v>393</v>
      </c>
      <c r="C163" s="112">
        <f>+C129</f>
        <v>0</v>
      </c>
      <c r="D163" s="112">
        <f t="shared" ref="D163:AB163" si="88">+D129</f>
        <v>0</v>
      </c>
      <c r="E163" s="112">
        <f t="shared" si="88"/>
        <v>0</v>
      </c>
      <c r="F163" s="112">
        <f t="shared" si="88"/>
        <v>0</v>
      </c>
      <c r="G163" s="112">
        <f t="shared" si="88"/>
        <v>0</v>
      </c>
      <c r="H163" s="112">
        <f t="shared" si="88"/>
        <v>1.5098421678834828</v>
      </c>
      <c r="I163" s="112">
        <f t="shared" si="88"/>
        <v>5.9840236367395763</v>
      </c>
      <c r="J163" s="112">
        <f t="shared" si="88"/>
        <v>15.889995879653625</v>
      </c>
      <c r="K163" s="112">
        <f t="shared" si="88"/>
        <v>32.850426884954068</v>
      </c>
      <c r="L163" s="112">
        <f t="shared" si="88"/>
        <v>59.246671612720732</v>
      </c>
      <c r="M163" s="112">
        <f t="shared" si="88"/>
        <v>93.896928696310653</v>
      </c>
      <c r="N163" s="112">
        <f t="shared" si="88"/>
        <v>130.51401587272679</v>
      </c>
      <c r="O163" s="112">
        <f t="shared" si="88"/>
        <v>165.76945013383738</v>
      </c>
      <c r="P163" s="112">
        <f t="shared" si="88"/>
        <v>198.03939219900866</v>
      </c>
      <c r="Q163" s="112">
        <f t="shared" si="88"/>
        <v>224.98317677382531</v>
      </c>
      <c r="R163" s="112">
        <f t="shared" si="88"/>
        <v>246.31385961936792</v>
      </c>
      <c r="S163" s="112">
        <f t="shared" si="88"/>
        <v>266.90563339348876</v>
      </c>
      <c r="T163" s="112">
        <f t="shared" si="88"/>
        <v>287.66145223445812</v>
      </c>
      <c r="U163" s="112">
        <f t="shared" si="88"/>
        <v>308.624829263837</v>
      </c>
      <c r="V163" s="112">
        <f t="shared" si="88"/>
        <v>329.79784006350997</v>
      </c>
      <c r="W163" s="112">
        <f t="shared" si="88"/>
        <v>351.18258097117933</v>
      </c>
      <c r="X163" s="112">
        <f t="shared" si="88"/>
        <v>372.78116928792559</v>
      </c>
      <c r="Y163" s="112">
        <f t="shared" si="88"/>
        <v>394.59574348783934</v>
      </c>
      <c r="Z163" s="112">
        <f t="shared" si="88"/>
        <v>416.62846342975217</v>
      </c>
      <c r="AA163" s="112">
        <f t="shared" si="88"/>
        <v>438.88151057108416</v>
      </c>
      <c r="AB163" s="112">
        <f t="shared" si="88"/>
        <v>461.35708818382943</v>
      </c>
    </row>
    <row r="164" spans="1:28" x14ac:dyDescent="0.25">
      <c r="A164" s="187" t="s">
        <v>31</v>
      </c>
      <c r="B164" s="300" t="s">
        <v>393</v>
      </c>
      <c r="C164" s="112">
        <f>+SUM(C160:C163)</f>
        <v>0</v>
      </c>
      <c r="D164" s="112">
        <f t="shared" ref="D164:AB164" si="89">+SUM(D160:D163)</f>
        <v>0</v>
      </c>
      <c r="E164" s="112">
        <f t="shared" si="89"/>
        <v>0</v>
      </c>
      <c r="F164" s="112">
        <f t="shared" si="89"/>
        <v>0</v>
      </c>
      <c r="G164" s="112">
        <f t="shared" si="89"/>
        <v>24.441460580022969</v>
      </c>
      <c r="H164" s="112">
        <f t="shared" si="89"/>
        <v>84.040326628459283</v>
      </c>
      <c r="I164" s="112">
        <f t="shared" si="89"/>
        <v>199.2854211037795</v>
      </c>
      <c r="J164" s="112">
        <f t="shared" si="89"/>
        <v>375.32312394609414</v>
      </c>
      <c r="K164" s="112">
        <f t="shared" si="89"/>
        <v>625.26956164422597</v>
      </c>
      <c r="L164" s="112">
        <f t="shared" si="89"/>
        <v>916.93044174226736</v>
      </c>
      <c r="M164" s="112">
        <f t="shared" si="89"/>
        <v>1192.8282008469218</v>
      </c>
      <c r="N164" s="112">
        <f t="shared" si="89"/>
        <v>1425.9811398527813</v>
      </c>
      <c r="O164" s="112">
        <f t="shared" si="89"/>
        <v>1610.4480410779354</v>
      </c>
      <c r="P164" s="112">
        <f t="shared" si="89"/>
        <v>1733.1935459713729</v>
      </c>
      <c r="Q164" s="112">
        <f t="shared" si="89"/>
        <v>1802.0939756723269</v>
      </c>
      <c r="R164" s="112">
        <f t="shared" si="89"/>
        <v>1864.0356760734408</v>
      </c>
      <c r="S164" s="112">
        <f t="shared" si="89"/>
        <v>1925.637501221488</v>
      </c>
      <c r="T164" s="112">
        <f t="shared" si="89"/>
        <v>1987.8215297817974</v>
      </c>
      <c r="U164" s="112">
        <f t="shared" si="89"/>
        <v>2050.6355104005079</v>
      </c>
      <c r="V164" s="112">
        <f t="shared" si="89"/>
        <v>2114.0857588217486</v>
      </c>
      <c r="W164" s="112">
        <f t="shared" si="89"/>
        <v>2178.1786539795385</v>
      </c>
      <c r="X164" s="112">
        <f t="shared" si="89"/>
        <v>2242.9206386297465</v>
      </c>
      <c r="Y164" s="112">
        <f t="shared" si="89"/>
        <v>2308.318219988379</v>
      </c>
      <c r="Z164" s="112">
        <f t="shared" si="89"/>
        <v>2374.3779703762448</v>
      </c>
      <c r="AA164" s="112">
        <f t="shared" si="89"/>
        <v>2441.1065278700662</v>
      </c>
      <c r="AB164" s="112">
        <f t="shared" si="89"/>
        <v>2508.5105969601077</v>
      </c>
    </row>
    <row r="165" spans="1:28" x14ac:dyDescent="0.25">
      <c r="C165" s="108" t="e">
        <f>+C164/C158*1000</f>
        <v>#DIV/0!</v>
      </c>
      <c r="D165" s="187" t="e">
        <f>+D164/D158*1000</f>
        <v>#DIV/0!</v>
      </c>
      <c r="E165" s="187" t="e">
        <f>+E164/E158*1000</f>
        <v>#DIV/0!</v>
      </c>
      <c r="F165" s="187" t="e">
        <f>+F164/F158*1000</f>
        <v>#DIV/0!</v>
      </c>
      <c r="G165" s="112">
        <f>+(G164/(G158*1000))*1000</f>
        <v>675.70699226983629</v>
      </c>
    </row>
    <row r="166" spans="1:28" x14ac:dyDescent="0.25">
      <c r="A166" s="187" t="s">
        <v>394</v>
      </c>
      <c r="B166" s="187" t="s">
        <v>391</v>
      </c>
      <c r="C166" s="187" t="s">
        <v>353</v>
      </c>
      <c r="D166" s="187" t="s">
        <v>354</v>
      </c>
      <c r="E166" s="187" t="s">
        <v>355</v>
      </c>
      <c r="F166" s="187" t="s">
        <v>356</v>
      </c>
      <c r="G166" s="187" t="s">
        <v>357</v>
      </c>
      <c r="H166" s="187" t="s">
        <v>358</v>
      </c>
      <c r="I166" s="187" t="s">
        <v>359</v>
      </c>
      <c r="J166" s="187" t="s">
        <v>360</v>
      </c>
      <c r="K166" s="187" t="s">
        <v>361</v>
      </c>
      <c r="L166" s="187" t="s">
        <v>362</v>
      </c>
      <c r="M166" s="187" t="s">
        <v>363</v>
      </c>
      <c r="N166" s="187" t="s">
        <v>364</v>
      </c>
      <c r="O166" s="187" t="s">
        <v>365</v>
      </c>
      <c r="P166" s="187" t="s">
        <v>366</v>
      </c>
      <c r="Q166" s="187" t="s">
        <v>367</v>
      </c>
      <c r="R166" s="187" t="s">
        <v>368</v>
      </c>
      <c r="S166" s="187" t="s">
        <v>369</v>
      </c>
      <c r="T166" s="187" t="s">
        <v>370</v>
      </c>
      <c r="U166" s="187" t="s">
        <v>371</v>
      </c>
      <c r="V166" s="187" t="s">
        <v>372</v>
      </c>
      <c r="W166" s="187" t="s">
        <v>373</v>
      </c>
      <c r="X166" s="187" t="s">
        <v>374</v>
      </c>
      <c r="Y166" s="187" t="s">
        <v>375</v>
      </c>
      <c r="Z166" s="187" t="s">
        <v>376</v>
      </c>
      <c r="AA166" s="187" t="s">
        <v>377</v>
      </c>
      <c r="AB166" s="187" t="s">
        <v>396</v>
      </c>
    </row>
    <row r="167" spans="1:28" x14ac:dyDescent="0.25">
      <c r="A167" s="302" t="s">
        <v>11</v>
      </c>
      <c r="B167" s="300"/>
    </row>
    <row r="168" spans="1:28" x14ac:dyDescent="0.25">
      <c r="A168" s="302" t="s">
        <v>11</v>
      </c>
      <c r="B168" s="187" t="s">
        <v>395</v>
      </c>
    </row>
    <row r="169" spans="1:28" x14ac:dyDescent="0.25">
      <c r="A169" s="302" t="s">
        <v>380</v>
      </c>
      <c r="B169" s="303">
        <f>+B139</f>
        <v>3326.1378836711847</v>
      </c>
    </row>
    <row r="170" spans="1:28" x14ac:dyDescent="0.25">
      <c r="A170" s="302" t="s">
        <v>14</v>
      </c>
      <c r="B170" s="300"/>
    </row>
    <row r="171" spans="1:28" x14ac:dyDescent="0.25">
      <c r="A171" s="187" t="s">
        <v>31</v>
      </c>
      <c r="B171" s="187" t="s">
        <v>345</v>
      </c>
      <c r="C171" s="112">
        <f>+C164*$B$169/1000</f>
        <v>0</v>
      </c>
      <c r="D171" s="112">
        <f t="shared" ref="D171:AB171" si="90">+D164*$B$169/1000</f>
        <v>0</v>
      </c>
      <c r="E171" s="112">
        <f t="shared" si="90"/>
        <v>0</v>
      </c>
      <c r="F171" s="112">
        <f t="shared" si="90"/>
        <v>0</v>
      </c>
      <c r="G171" s="112">
        <f t="shared" si="90"/>
        <v>81.295667967470294</v>
      </c>
      <c r="H171" s="112">
        <f t="shared" si="90"/>
        <v>279.52971415501867</v>
      </c>
      <c r="I171" s="112">
        <f t="shared" si="90"/>
        <v>662.85078879664593</v>
      </c>
      <c r="J171" s="112">
        <f t="shared" si="90"/>
        <v>1248.3764611749193</v>
      </c>
      <c r="K171" s="112">
        <f t="shared" si="90"/>
        <v>2079.7327764913352</v>
      </c>
      <c r="L171" s="112">
        <f t="shared" si="90"/>
        <v>3049.8370789703099</v>
      </c>
      <c r="M171" s="112">
        <f t="shared" si="90"/>
        <v>3967.5110675482874</v>
      </c>
      <c r="N171" s="112">
        <f t="shared" si="90"/>
        <v>4743.0098906649537</v>
      </c>
      <c r="O171" s="112">
        <f t="shared" si="90"/>
        <v>5356.5722391133686</v>
      </c>
      <c r="P171" s="112">
        <f t="shared" si="90"/>
        <v>5764.8407129897787</v>
      </c>
      <c r="Q171" s="112">
        <f t="shared" si="90"/>
        <v>5994.0130424193449</v>
      </c>
      <c r="R171" s="112">
        <f t="shared" si="90"/>
        <v>6200.0396787025002</v>
      </c>
      <c r="S171" s="112">
        <f t="shared" si="90"/>
        <v>6404.9358430307093</v>
      </c>
      <c r="T171" s="112">
        <f t="shared" si="90"/>
        <v>6611.7684961844443</v>
      </c>
      <c r="U171" s="112">
        <f t="shared" si="90"/>
        <v>6820.6964567445248</v>
      </c>
      <c r="V171" s="112">
        <f t="shared" si="90"/>
        <v>7031.7407317467614</v>
      </c>
      <c r="W171" s="112">
        <f t="shared" si="90"/>
        <v>7244.9225384052515</v>
      </c>
      <c r="X171" s="112">
        <f t="shared" si="90"/>
        <v>7460.2633062143668</v>
      </c>
      <c r="Y171" s="112">
        <f t="shared" si="90"/>
        <v>7677.7846790717831</v>
      </c>
      <c r="Z171" s="112">
        <f t="shared" si="90"/>
        <v>7897.5085174227252</v>
      </c>
      <c r="AA171" s="112">
        <f t="shared" si="90"/>
        <v>8119.4569004256555</v>
      </c>
      <c r="AB171" s="112">
        <f t="shared" si="90"/>
        <v>8343.6521281396326</v>
      </c>
    </row>
    <row r="174" spans="1:28" x14ac:dyDescent="0.25">
      <c r="A174" s="109" t="s">
        <v>398</v>
      </c>
      <c r="B174" s="187" t="s">
        <v>397</v>
      </c>
      <c r="C174" s="307" t="s">
        <v>353</v>
      </c>
      <c r="D174" s="307" t="s">
        <v>354</v>
      </c>
      <c r="E174" s="307" t="s">
        <v>355</v>
      </c>
      <c r="F174" s="307" t="s">
        <v>356</v>
      </c>
      <c r="G174" s="307" t="s">
        <v>357</v>
      </c>
      <c r="H174" s="307" t="s">
        <v>358</v>
      </c>
      <c r="I174" s="307" t="s">
        <v>359</v>
      </c>
      <c r="J174" s="307" t="s">
        <v>360</v>
      </c>
      <c r="K174" s="307" t="s">
        <v>361</v>
      </c>
      <c r="L174" s="307" t="s">
        <v>362</v>
      </c>
      <c r="M174" s="307" t="s">
        <v>363</v>
      </c>
      <c r="N174" s="307" t="s">
        <v>364</v>
      </c>
      <c r="O174" s="307" t="s">
        <v>365</v>
      </c>
      <c r="P174" s="307" t="s">
        <v>366</v>
      </c>
      <c r="Q174" s="307" t="s">
        <v>367</v>
      </c>
      <c r="R174" s="307" t="s">
        <v>368</v>
      </c>
      <c r="S174" s="307" t="s">
        <v>369</v>
      </c>
      <c r="T174" s="307" t="s">
        <v>370</v>
      </c>
      <c r="U174" s="307" t="s">
        <v>371</v>
      </c>
      <c r="V174" s="307" t="s">
        <v>372</v>
      </c>
      <c r="W174" s="307" t="s">
        <v>373</v>
      </c>
      <c r="X174" s="307" t="s">
        <v>374</v>
      </c>
      <c r="Y174" s="307" t="s">
        <v>375</v>
      </c>
      <c r="Z174" s="307" t="s">
        <v>376</v>
      </c>
      <c r="AA174" s="307" t="s">
        <v>377</v>
      </c>
      <c r="AB174" s="307"/>
    </row>
    <row r="175" spans="1:28" x14ac:dyDescent="0.25">
      <c r="A175" s="187" t="s">
        <v>399</v>
      </c>
      <c r="G175" s="187"/>
    </row>
    <row r="176" spans="1:28" x14ac:dyDescent="0.25">
      <c r="A176" s="302" t="s">
        <v>11</v>
      </c>
      <c r="C176" s="139">
        <f>+C153/10</f>
        <v>0</v>
      </c>
      <c r="D176" s="139">
        <f t="shared" ref="D176:AA179" si="91">+D153/10</f>
        <v>0</v>
      </c>
      <c r="E176" s="139">
        <f t="shared" si="91"/>
        <v>0</v>
      </c>
      <c r="F176" s="139">
        <f t="shared" si="91"/>
        <v>0</v>
      </c>
      <c r="G176" s="139">
        <f t="shared" si="91"/>
        <v>0</v>
      </c>
      <c r="H176" s="139">
        <f t="shared" si="91"/>
        <v>1.2057228384312538E-2</v>
      </c>
      <c r="I176" s="139">
        <f t="shared" si="91"/>
        <v>3.9724332090399751E-2</v>
      </c>
      <c r="J176" s="139">
        <f t="shared" si="91"/>
        <v>9.0951760391429423E-2</v>
      </c>
      <c r="K176" s="139">
        <f t="shared" si="91"/>
        <v>0.16546326820866139</v>
      </c>
      <c r="L176" s="139">
        <f t="shared" si="91"/>
        <v>0.26706475933146578</v>
      </c>
      <c r="M176" s="139">
        <f t="shared" si="91"/>
        <v>0.37769009537780135</v>
      </c>
      <c r="N176" s="139">
        <f t="shared" si="91"/>
        <v>0.47281392917171416</v>
      </c>
      <c r="O176" s="139">
        <f t="shared" si="91"/>
        <v>0.54437743837068453</v>
      </c>
      <c r="P176" s="139">
        <f t="shared" si="91"/>
        <v>0.59265686805345252</v>
      </c>
      <c r="Q176" s="139">
        <f t="shared" si="91"/>
        <v>0.61384631443064819</v>
      </c>
      <c r="R176" s="139">
        <f t="shared" si="91"/>
        <v>0.61395468750000004</v>
      </c>
      <c r="S176" s="139">
        <f t="shared" si="91"/>
        <v>0.61395468750000004</v>
      </c>
      <c r="T176" s="139">
        <f t="shared" si="91"/>
        <v>0.61395468750000004</v>
      </c>
      <c r="U176" s="139">
        <f t="shared" si="91"/>
        <v>0.61395468750000004</v>
      </c>
      <c r="V176" s="139">
        <f t="shared" si="91"/>
        <v>0.61395468750000004</v>
      </c>
      <c r="W176" s="139">
        <f t="shared" si="91"/>
        <v>0.61395468750000004</v>
      </c>
      <c r="X176" s="139">
        <f t="shared" si="91"/>
        <v>0.61395468750000004</v>
      </c>
      <c r="Y176" s="139">
        <f t="shared" si="91"/>
        <v>0.61395468750000004</v>
      </c>
      <c r="Z176" s="139">
        <f t="shared" si="91"/>
        <v>0.61395468750000004</v>
      </c>
      <c r="AA176" s="139">
        <f t="shared" si="91"/>
        <v>0.61395468750000004</v>
      </c>
      <c r="AB176" s="112"/>
    </row>
    <row r="177" spans="1:41" x14ac:dyDescent="0.25">
      <c r="A177" s="302" t="s">
        <v>11</v>
      </c>
      <c r="C177" s="139">
        <f t="shared" ref="C177:R179" si="92">+C154/10</f>
        <v>0</v>
      </c>
      <c r="D177" s="139">
        <f t="shared" si="92"/>
        <v>0</v>
      </c>
      <c r="E177" s="139">
        <f t="shared" si="92"/>
        <v>0</v>
      </c>
      <c r="F177" s="139">
        <f t="shared" si="92"/>
        <v>0</v>
      </c>
      <c r="G177" s="139">
        <f t="shared" si="92"/>
        <v>1.2057228384312538E-2</v>
      </c>
      <c r="H177" s="139">
        <f t="shared" si="92"/>
        <v>3.9724332090399751E-2</v>
      </c>
      <c r="I177" s="139">
        <f t="shared" si="92"/>
        <v>9.0951760391429423E-2</v>
      </c>
      <c r="J177" s="139">
        <f t="shared" si="92"/>
        <v>0.16546326820866139</v>
      </c>
      <c r="K177" s="139">
        <f t="shared" si="92"/>
        <v>0.26706475933146578</v>
      </c>
      <c r="L177" s="139">
        <f t="shared" si="92"/>
        <v>0.37769009537780135</v>
      </c>
      <c r="M177" s="139">
        <f t="shared" si="92"/>
        <v>0.47281392917171416</v>
      </c>
      <c r="N177" s="139">
        <f t="shared" si="92"/>
        <v>0.54437743837068453</v>
      </c>
      <c r="O177" s="139">
        <f t="shared" si="92"/>
        <v>0.59265686805345252</v>
      </c>
      <c r="P177" s="139">
        <f t="shared" si="92"/>
        <v>0.61384631443064819</v>
      </c>
      <c r="Q177" s="139">
        <f t="shared" si="92"/>
        <v>0.61395468750000004</v>
      </c>
      <c r="R177" s="139">
        <f t="shared" si="92"/>
        <v>0.61395468750000004</v>
      </c>
      <c r="S177" s="139">
        <f t="shared" si="91"/>
        <v>0.61395468750000004</v>
      </c>
      <c r="T177" s="139">
        <f t="shared" si="91"/>
        <v>0.61395468750000004</v>
      </c>
      <c r="U177" s="139">
        <f t="shared" si="91"/>
        <v>0.61395468750000004</v>
      </c>
      <c r="V177" s="139">
        <f t="shared" si="91"/>
        <v>0.61395468750000004</v>
      </c>
      <c r="W177" s="139">
        <f t="shared" si="91"/>
        <v>0.61395468750000004</v>
      </c>
      <c r="X177" s="139">
        <f t="shared" si="91"/>
        <v>0.61395468750000004</v>
      </c>
      <c r="Y177" s="139">
        <f t="shared" si="91"/>
        <v>0.61395468750000004</v>
      </c>
      <c r="Z177" s="139">
        <f t="shared" si="91"/>
        <v>0.61395468750000004</v>
      </c>
      <c r="AA177" s="139">
        <f t="shared" si="91"/>
        <v>0.61395468750000004</v>
      </c>
      <c r="AB177" s="112"/>
    </row>
    <row r="178" spans="1:41" x14ac:dyDescent="0.25">
      <c r="A178" s="302" t="s">
        <v>380</v>
      </c>
      <c r="C178" s="139">
        <f t="shared" si="92"/>
        <v>0</v>
      </c>
      <c r="D178" s="139">
        <f t="shared" si="91"/>
        <v>0</v>
      </c>
      <c r="E178" s="139">
        <f t="shared" si="91"/>
        <v>0</v>
      </c>
      <c r="F178" s="139">
        <f t="shared" si="91"/>
        <v>0</v>
      </c>
      <c r="G178" s="139">
        <f t="shared" si="91"/>
        <v>2.4114456768625076E-2</v>
      </c>
      <c r="H178" s="139">
        <f t="shared" si="91"/>
        <v>7.9448664180799503E-2</v>
      </c>
      <c r="I178" s="139">
        <f t="shared" si="91"/>
        <v>0.18190352078285885</v>
      </c>
      <c r="J178" s="139">
        <f t="shared" si="91"/>
        <v>0.33092653641732278</v>
      </c>
      <c r="K178" s="139">
        <f t="shared" si="91"/>
        <v>0.53412951866293157</v>
      </c>
      <c r="L178" s="139">
        <f t="shared" si="91"/>
        <v>0.75538019075560259</v>
      </c>
      <c r="M178" s="139">
        <f t="shared" si="91"/>
        <v>0.94562785834342811</v>
      </c>
      <c r="N178" s="139">
        <f t="shared" si="91"/>
        <v>1.0887548767413686</v>
      </c>
      <c r="O178" s="139">
        <f t="shared" si="91"/>
        <v>1.1853137361069048</v>
      </c>
      <c r="P178" s="139">
        <f t="shared" si="91"/>
        <v>1.2276926288612959</v>
      </c>
      <c r="Q178" s="139">
        <f t="shared" si="91"/>
        <v>1.2279093749999999</v>
      </c>
      <c r="R178" s="139">
        <f t="shared" si="91"/>
        <v>1.2279093749999999</v>
      </c>
      <c r="S178" s="139">
        <f t="shared" si="91"/>
        <v>1.2279093749999999</v>
      </c>
      <c r="T178" s="139">
        <f t="shared" si="91"/>
        <v>1.2279093749999999</v>
      </c>
      <c r="U178" s="139">
        <f t="shared" si="91"/>
        <v>1.2279093749999999</v>
      </c>
      <c r="V178" s="139">
        <f t="shared" si="91"/>
        <v>1.2279093749999999</v>
      </c>
      <c r="W178" s="139">
        <f t="shared" si="91"/>
        <v>1.2279093749999999</v>
      </c>
      <c r="X178" s="139">
        <f t="shared" si="91"/>
        <v>1.2279093749999999</v>
      </c>
      <c r="Y178" s="139">
        <f t="shared" si="91"/>
        <v>1.2279093749999999</v>
      </c>
      <c r="Z178" s="139">
        <f t="shared" si="91"/>
        <v>1.2279093749999999</v>
      </c>
      <c r="AA178" s="139">
        <f t="shared" si="91"/>
        <v>1.2279093749999999</v>
      </c>
      <c r="AB178" s="112"/>
    </row>
    <row r="179" spans="1:41" x14ac:dyDescent="0.25">
      <c r="A179" s="302" t="s">
        <v>14</v>
      </c>
      <c r="C179" s="139">
        <f t="shared" si="92"/>
        <v>0</v>
      </c>
      <c r="D179" s="139">
        <f t="shared" si="91"/>
        <v>0</v>
      </c>
      <c r="E179" s="139">
        <f t="shared" si="91"/>
        <v>0</v>
      </c>
      <c r="F179" s="139">
        <f t="shared" si="91"/>
        <v>0</v>
      </c>
      <c r="G179" s="139">
        <f t="shared" si="91"/>
        <v>0</v>
      </c>
      <c r="H179" s="139">
        <f t="shared" si="91"/>
        <v>1.9107167553191487E-2</v>
      </c>
      <c r="I179" s="139">
        <f t="shared" si="91"/>
        <v>6.4521857292833135E-2</v>
      </c>
      <c r="J179" s="139">
        <f t="shared" si="91"/>
        <v>0.14929780200167969</v>
      </c>
      <c r="K179" s="139">
        <f t="shared" si="91"/>
        <v>0.27403042651175807</v>
      </c>
      <c r="L179" s="139">
        <f t="shared" si="91"/>
        <v>0.44470964340705488</v>
      </c>
      <c r="M179" s="139">
        <f t="shared" si="91"/>
        <v>0.63320185897256442</v>
      </c>
      <c r="N179" s="139">
        <f t="shared" si="91"/>
        <v>0.7982859192329228</v>
      </c>
      <c r="O179" s="139">
        <f t="shared" si="91"/>
        <v>0.92400872452407623</v>
      </c>
      <c r="P179" s="139">
        <f t="shared" si="91"/>
        <v>1.0097748500139978</v>
      </c>
      <c r="Q179" s="139">
        <f t="shared" si="91"/>
        <v>1.0495943831187009</v>
      </c>
      <c r="R179" s="139">
        <f t="shared" si="91"/>
        <v>1.05249375</v>
      </c>
      <c r="S179" s="139">
        <f t="shared" si="91"/>
        <v>1.05249375</v>
      </c>
      <c r="T179" s="139">
        <f t="shared" si="91"/>
        <v>1.05249375</v>
      </c>
      <c r="U179" s="139">
        <f t="shared" si="91"/>
        <v>1.05249375</v>
      </c>
      <c r="V179" s="139">
        <f t="shared" si="91"/>
        <v>1.05249375</v>
      </c>
      <c r="W179" s="139">
        <f t="shared" si="91"/>
        <v>1.05249375</v>
      </c>
      <c r="X179" s="139">
        <f t="shared" si="91"/>
        <v>1.05249375</v>
      </c>
      <c r="Y179" s="139">
        <f t="shared" si="91"/>
        <v>1.05249375</v>
      </c>
      <c r="Z179" s="139">
        <f t="shared" si="91"/>
        <v>1.05249375</v>
      </c>
      <c r="AA179" s="139">
        <f t="shared" si="91"/>
        <v>1.05249375</v>
      </c>
      <c r="AB179" s="112"/>
    </row>
    <row r="180" spans="1:41" x14ac:dyDescent="0.25">
      <c r="A180" s="187" t="s">
        <v>31</v>
      </c>
      <c r="C180" s="139">
        <f>+SUM(C176:C179)</f>
        <v>0</v>
      </c>
      <c r="D180" s="139">
        <f t="shared" ref="D180:AA180" si="93">+SUM(D176:D179)</f>
        <v>0</v>
      </c>
      <c r="E180" s="139">
        <f t="shared" si="93"/>
        <v>0</v>
      </c>
      <c r="F180" s="139">
        <f t="shared" si="93"/>
        <v>0</v>
      </c>
      <c r="G180" s="139">
        <f t="shared" si="93"/>
        <v>3.6171685152937616E-2</v>
      </c>
      <c r="H180" s="139">
        <f t="shared" si="93"/>
        <v>0.15033739220870329</v>
      </c>
      <c r="I180" s="139">
        <f t="shared" si="93"/>
        <v>0.37710147055752119</v>
      </c>
      <c r="J180" s="139">
        <f t="shared" si="93"/>
        <v>0.73663936701909338</v>
      </c>
      <c r="K180" s="139">
        <f t="shared" si="93"/>
        <v>1.2406879727148168</v>
      </c>
      <c r="L180" s="139">
        <f t="shared" si="93"/>
        <v>1.8448446888719245</v>
      </c>
      <c r="M180" s="139">
        <f t="shared" si="93"/>
        <v>2.4293337418655079</v>
      </c>
      <c r="N180" s="139">
        <f t="shared" si="93"/>
        <v>2.9042321635166903</v>
      </c>
      <c r="O180" s="139">
        <f t="shared" si="93"/>
        <v>3.2463567670551177</v>
      </c>
      <c r="P180" s="139">
        <f t="shared" si="93"/>
        <v>3.443970661359395</v>
      </c>
      <c r="Q180" s="139">
        <f t="shared" si="93"/>
        <v>3.5053047600493494</v>
      </c>
      <c r="R180" s="139">
        <f t="shared" si="93"/>
        <v>3.5083124999999997</v>
      </c>
      <c r="S180" s="139">
        <f t="shared" si="93"/>
        <v>3.5083124999999997</v>
      </c>
      <c r="T180" s="139">
        <f t="shared" si="93"/>
        <v>3.5083124999999997</v>
      </c>
      <c r="U180" s="139">
        <f t="shared" si="93"/>
        <v>3.5083124999999997</v>
      </c>
      <c r="V180" s="139">
        <f t="shared" si="93"/>
        <v>3.5083124999999997</v>
      </c>
      <c r="W180" s="139">
        <f t="shared" si="93"/>
        <v>3.5083124999999997</v>
      </c>
      <c r="X180" s="139">
        <f t="shared" si="93"/>
        <v>3.5083124999999997</v>
      </c>
      <c r="Y180" s="139">
        <f t="shared" si="93"/>
        <v>3.5083124999999997</v>
      </c>
      <c r="Z180" s="139">
        <f t="shared" si="93"/>
        <v>3.5083124999999997</v>
      </c>
      <c r="AA180" s="139">
        <f t="shared" si="93"/>
        <v>3.5083124999999997</v>
      </c>
      <c r="AB180" s="112"/>
    </row>
    <row r="181" spans="1:41" x14ac:dyDescent="0.25">
      <c r="D181" s="112"/>
      <c r="E181" s="112"/>
      <c r="F181" s="112"/>
      <c r="G181" s="112"/>
      <c r="H181" s="112"/>
      <c r="I181" s="112"/>
      <c r="J181" s="112"/>
      <c r="K181" s="112"/>
      <c r="L181" s="112"/>
      <c r="M181" s="112"/>
      <c r="N181" s="112"/>
      <c r="O181" s="112"/>
      <c r="P181" s="112"/>
      <c r="Q181" s="112"/>
      <c r="R181" s="112"/>
      <c r="S181" s="112"/>
      <c r="T181" s="112"/>
      <c r="U181" s="112"/>
      <c r="V181" s="112"/>
      <c r="W181" s="112"/>
      <c r="X181" s="112"/>
      <c r="Y181" s="112"/>
      <c r="Z181" s="112"/>
      <c r="AA181" s="112"/>
      <c r="AB181" s="112"/>
    </row>
    <row r="182" spans="1:41" ht="15.75" x14ac:dyDescent="0.25">
      <c r="A182" s="187" t="s">
        <v>400</v>
      </c>
      <c r="B182" s="187" t="s">
        <v>401</v>
      </c>
      <c r="D182" s="112"/>
      <c r="E182" s="112"/>
      <c r="F182" s="112"/>
      <c r="G182" s="112"/>
      <c r="H182" s="112"/>
      <c r="I182" s="112"/>
      <c r="J182" s="112"/>
      <c r="K182" s="112"/>
      <c r="L182" s="112"/>
      <c r="M182" s="112"/>
      <c r="N182" s="112"/>
      <c r="O182" s="112"/>
      <c r="P182" s="112"/>
      <c r="Q182" s="112"/>
      <c r="R182" s="112"/>
      <c r="S182" s="112"/>
      <c r="T182" s="112"/>
      <c r="U182" s="112"/>
      <c r="V182" s="112"/>
      <c r="W182" s="112"/>
      <c r="X182" s="112"/>
      <c r="Y182" s="112"/>
      <c r="Z182" s="112"/>
      <c r="AA182" s="112"/>
      <c r="AB182" s="112"/>
      <c r="AD182" s="342" t="s">
        <v>417</v>
      </c>
      <c r="AE182" s="342"/>
      <c r="AF182" s="342"/>
      <c r="AG182" s="342"/>
      <c r="AH182" s="341"/>
    </row>
    <row r="183" spans="1:41" x14ac:dyDescent="0.25">
      <c r="A183" s="302" t="s">
        <v>11</v>
      </c>
      <c r="C183" s="108">
        <f>+C160/1000</f>
        <v>0</v>
      </c>
      <c r="D183" s="187">
        <f t="shared" ref="D183:AA187" si="94">+D160/1000</f>
        <v>0</v>
      </c>
      <c r="E183" s="187">
        <f t="shared" si="94"/>
        <v>0</v>
      </c>
      <c r="F183" s="187">
        <f t="shared" si="94"/>
        <v>0</v>
      </c>
      <c r="G183" s="139">
        <f t="shared" si="94"/>
        <v>0</v>
      </c>
      <c r="H183" s="139">
        <f t="shared" si="94"/>
        <v>3.8529832505344462E-4</v>
      </c>
      <c r="I183" s="139">
        <f t="shared" si="94"/>
        <v>1.4588509213865756E-3</v>
      </c>
      <c r="J183" s="139">
        <f t="shared" si="94"/>
        <v>3.7996349319287361E-3</v>
      </c>
      <c r="K183" s="139">
        <f t="shared" si="94"/>
        <v>7.725249296516472E-3</v>
      </c>
      <c r="L183" s="139">
        <f t="shared" si="94"/>
        <v>1.3795015946927915E-2</v>
      </c>
      <c r="M183" s="139">
        <f t="shared" si="94"/>
        <v>2.1617064827564255E-2</v>
      </c>
      <c r="N183" s="139">
        <f t="shared" si="94"/>
        <v>2.9651501518918717E-2</v>
      </c>
      <c r="O183" s="139">
        <f t="shared" si="94"/>
        <v>3.7316150839689741E-2</v>
      </c>
      <c r="P183" s="139">
        <f t="shared" si="94"/>
        <v>4.4303963193318557E-2</v>
      </c>
      <c r="Q183" s="139">
        <f t="shared" si="94"/>
        <v>5.0066312460003225E-2</v>
      </c>
      <c r="R183" s="139">
        <f t="shared" si="94"/>
        <v>5.4620576372141343E-2</v>
      </c>
      <c r="S183" s="139">
        <f t="shared" si="94"/>
        <v>5.9214610703103868E-2</v>
      </c>
      <c r="T183" s="139">
        <f t="shared" si="94"/>
        <v>6.3862643209050524E-2</v>
      </c>
      <c r="U183" s="139">
        <f t="shared" si="94"/>
        <v>6.8565267812854491E-2</v>
      </c>
      <c r="V183" s="139">
        <f t="shared" si="94"/>
        <v>7.3323046659039923E-2</v>
      </c>
      <c r="W183" s="139">
        <f t="shared" si="94"/>
        <v>7.8136547546023324E-2</v>
      </c>
      <c r="X183" s="139">
        <f t="shared" si="94"/>
        <v>8.3006343982717334E-2</v>
      </c>
      <c r="Y183" s="139">
        <f t="shared" si="94"/>
        <v>8.7933015245700741E-2</v>
      </c>
      <c r="Z183" s="139">
        <f t="shared" si="94"/>
        <v>9.2917146436960293E-2</v>
      </c>
      <c r="AA183" s="139">
        <f t="shared" si="94"/>
        <v>9.7959328542210067E-2</v>
      </c>
      <c r="AB183" s="139"/>
    </row>
    <row r="184" spans="1:41" x14ac:dyDescent="0.25">
      <c r="A184" s="302" t="s">
        <v>11</v>
      </c>
      <c r="C184" s="187">
        <f t="shared" ref="C184:R187" si="95">+C161/1000</f>
        <v>0</v>
      </c>
      <c r="D184" s="187">
        <f t="shared" si="95"/>
        <v>0</v>
      </c>
      <c r="E184" s="187">
        <f t="shared" si="95"/>
        <v>0</v>
      </c>
      <c r="F184" s="187">
        <f t="shared" si="95"/>
        <v>0</v>
      </c>
      <c r="G184" s="139">
        <f t="shared" si="95"/>
        <v>2.13438316067176E-2</v>
      </c>
      <c r="H184" s="139">
        <f t="shared" si="95"/>
        <v>7.0430882671988229E-2</v>
      </c>
      <c r="I184" s="139">
        <f t="shared" si="95"/>
        <v>0.16136766699652899</v>
      </c>
      <c r="J184" s="139">
        <f t="shared" si="95"/>
        <v>0.29373800597863331</v>
      </c>
      <c r="K184" s="139">
        <f t="shared" si="95"/>
        <v>0.47427661959824952</v>
      </c>
      <c r="L184" s="139">
        <f t="shared" si="95"/>
        <v>0.6710375065444617</v>
      </c>
      <c r="M184" s="139">
        <f t="shared" si="95"/>
        <v>0.84044013891078651</v>
      </c>
      <c r="N184" s="139">
        <f t="shared" si="95"/>
        <v>0.96799403081338642</v>
      </c>
      <c r="O184" s="139">
        <f t="shared" si="95"/>
        <v>1.0541143680584228</v>
      </c>
      <c r="P184" s="139">
        <f t="shared" si="95"/>
        <v>1.0920664306659471</v>
      </c>
      <c r="Q184" s="139">
        <f t="shared" si="95"/>
        <v>1.092452388340158</v>
      </c>
      <c r="R184" s="139">
        <f t="shared" si="95"/>
        <v>1.0924533811357031</v>
      </c>
      <c r="S184" s="139">
        <f t="shared" si="94"/>
        <v>1.0924533811357031</v>
      </c>
      <c r="T184" s="139">
        <f t="shared" si="94"/>
        <v>1.0924533811357031</v>
      </c>
      <c r="U184" s="139">
        <f t="shared" si="94"/>
        <v>1.0924533811357031</v>
      </c>
      <c r="V184" s="139">
        <f t="shared" si="94"/>
        <v>1.0924533811357031</v>
      </c>
      <c r="W184" s="139">
        <f t="shared" si="94"/>
        <v>1.0924533811357031</v>
      </c>
      <c r="X184" s="139">
        <f t="shared" si="94"/>
        <v>1.0924533811357031</v>
      </c>
      <c r="Y184" s="139">
        <f t="shared" si="94"/>
        <v>1.0924533811357031</v>
      </c>
      <c r="Z184" s="139">
        <f t="shared" si="94"/>
        <v>1.0924533811357031</v>
      </c>
      <c r="AA184" s="139">
        <f t="shared" si="94"/>
        <v>1.0924533811357031</v>
      </c>
      <c r="AB184" s="139"/>
    </row>
    <row r="185" spans="1:41" x14ac:dyDescent="0.25">
      <c r="A185" s="302" t="s">
        <v>380</v>
      </c>
      <c r="C185" s="187">
        <f t="shared" si="95"/>
        <v>0</v>
      </c>
      <c r="D185" s="187">
        <f t="shared" si="94"/>
        <v>0</v>
      </c>
      <c r="E185" s="187">
        <f t="shared" si="94"/>
        <v>0</v>
      </c>
      <c r="F185" s="187">
        <f t="shared" si="94"/>
        <v>0</v>
      </c>
      <c r="G185" s="139">
        <f t="shared" si="94"/>
        <v>3.0976289733053697E-3</v>
      </c>
      <c r="H185" s="139">
        <f t="shared" si="94"/>
        <v>1.1714303463534137E-2</v>
      </c>
      <c r="I185" s="139">
        <f t="shared" si="94"/>
        <v>3.0474879549124343E-2</v>
      </c>
      <c r="J185" s="139">
        <f t="shared" si="94"/>
        <v>6.1895487155878531E-2</v>
      </c>
      <c r="K185" s="139">
        <f t="shared" si="94"/>
        <v>0.1104172658645059</v>
      </c>
      <c r="L185" s="139">
        <f t="shared" si="94"/>
        <v>0.1728512476381569</v>
      </c>
      <c r="M185" s="139">
        <f t="shared" si="94"/>
        <v>0.2368740684122605</v>
      </c>
      <c r="N185" s="139">
        <f t="shared" si="94"/>
        <v>0.29782159164774946</v>
      </c>
      <c r="O185" s="139">
        <f t="shared" si="94"/>
        <v>0.35324807204598546</v>
      </c>
      <c r="P185" s="139">
        <f t="shared" si="94"/>
        <v>0.39878375991309856</v>
      </c>
      <c r="Q185" s="139">
        <f t="shared" si="94"/>
        <v>0.43459209809834026</v>
      </c>
      <c r="R185" s="139">
        <f t="shared" si="94"/>
        <v>0.47064785894622835</v>
      </c>
      <c r="S185" s="139">
        <f t="shared" si="94"/>
        <v>0.50706387598919245</v>
      </c>
      <c r="T185" s="139">
        <f t="shared" si="94"/>
        <v>0.54384405320258589</v>
      </c>
      <c r="U185" s="139">
        <f t="shared" si="94"/>
        <v>0.58099203218811324</v>
      </c>
      <c r="V185" s="139">
        <f t="shared" si="94"/>
        <v>0.61851149096349589</v>
      </c>
      <c r="W185" s="139">
        <f t="shared" si="94"/>
        <v>0.65640614432663247</v>
      </c>
      <c r="X185" s="139">
        <f t="shared" si="94"/>
        <v>0.6946797442234004</v>
      </c>
      <c r="Y185" s="139">
        <f t="shared" si="94"/>
        <v>0.73333608011913609</v>
      </c>
      <c r="Z185" s="139">
        <f t="shared" si="94"/>
        <v>0.77237897937382904</v>
      </c>
      <c r="AA185" s="139">
        <f t="shared" si="94"/>
        <v>0.81181230762106882</v>
      </c>
      <c r="AB185" s="139"/>
      <c r="AD185" s="187" t="s">
        <v>399</v>
      </c>
      <c r="AH185" s="187" t="s">
        <v>411</v>
      </c>
      <c r="AM185" s="187" t="s">
        <v>412</v>
      </c>
    </row>
    <row r="186" spans="1:41" x14ac:dyDescent="0.25">
      <c r="A186" s="302" t="s">
        <v>14</v>
      </c>
      <c r="C186" s="187">
        <f t="shared" si="95"/>
        <v>0</v>
      </c>
      <c r="D186" s="187">
        <f t="shared" si="94"/>
        <v>0</v>
      </c>
      <c r="E186" s="187">
        <f t="shared" si="94"/>
        <v>0</v>
      </c>
      <c r="F186" s="187">
        <f t="shared" si="94"/>
        <v>0</v>
      </c>
      <c r="G186" s="139">
        <f t="shared" si="94"/>
        <v>0</v>
      </c>
      <c r="H186" s="139">
        <f t="shared" si="94"/>
        <v>1.5098421678834829E-3</v>
      </c>
      <c r="I186" s="139">
        <f t="shared" si="94"/>
        <v>5.9840236367395766E-3</v>
      </c>
      <c r="J186" s="139">
        <f t="shared" si="94"/>
        <v>1.5889995879653625E-2</v>
      </c>
      <c r="K186" s="139">
        <f t="shared" si="94"/>
        <v>3.285042688495407E-2</v>
      </c>
      <c r="L186" s="139">
        <f t="shared" si="94"/>
        <v>5.9246671612720729E-2</v>
      </c>
      <c r="M186" s="139">
        <f t="shared" si="94"/>
        <v>9.3896928696310653E-2</v>
      </c>
      <c r="N186" s="139">
        <f t="shared" si="94"/>
        <v>0.13051401587272679</v>
      </c>
      <c r="O186" s="139">
        <f t="shared" si="94"/>
        <v>0.16576945013383737</v>
      </c>
      <c r="P186" s="139">
        <f t="shared" si="94"/>
        <v>0.19803939219900865</v>
      </c>
      <c r="Q186" s="139">
        <f t="shared" si="94"/>
        <v>0.22498317677382532</v>
      </c>
      <c r="R186" s="139">
        <f t="shared" si="94"/>
        <v>0.24631385961936791</v>
      </c>
      <c r="S186" s="139">
        <f t="shared" si="94"/>
        <v>0.26690563339348877</v>
      </c>
      <c r="T186" s="139">
        <f t="shared" si="94"/>
        <v>0.2876614522344581</v>
      </c>
      <c r="U186" s="139">
        <f t="shared" si="94"/>
        <v>0.308624829263837</v>
      </c>
      <c r="V186" s="139">
        <f t="shared" si="94"/>
        <v>0.32979784006350998</v>
      </c>
      <c r="W186" s="139">
        <f t="shared" si="94"/>
        <v>0.35118258097117933</v>
      </c>
      <c r="X186" s="139">
        <f t="shared" si="94"/>
        <v>0.3727811692879256</v>
      </c>
      <c r="Y186" s="139">
        <f t="shared" si="94"/>
        <v>0.39459574348783932</v>
      </c>
      <c r="Z186" s="139">
        <f t="shared" si="94"/>
        <v>0.41662846342975218</v>
      </c>
      <c r="AA186" s="139">
        <f t="shared" si="94"/>
        <v>0.43888151057108415</v>
      </c>
      <c r="AB186" s="139"/>
      <c r="AD186" s="187" t="s">
        <v>408</v>
      </c>
      <c r="AH186" s="187" t="s">
        <v>410</v>
      </c>
      <c r="AJ186" s="187" t="s">
        <v>409</v>
      </c>
    </row>
    <row r="187" spans="1:41" x14ac:dyDescent="0.25">
      <c r="A187" s="187" t="s">
        <v>31</v>
      </c>
      <c r="C187" s="187">
        <f t="shared" si="95"/>
        <v>0</v>
      </c>
      <c r="D187" s="187">
        <f t="shared" si="94"/>
        <v>0</v>
      </c>
      <c r="E187" s="187">
        <f t="shared" si="94"/>
        <v>0</v>
      </c>
      <c r="F187" s="187">
        <f t="shared" si="94"/>
        <v>0</v>
      </c>
      <c r="G187" s="139">
        <f t="shared" si="94"/>
        <v>2.4441460580022969E-2</v>
      </c>
      <c r="H187" s="139">
        <f t="shared" si="94"/>
        <v>8.4040326628459283E-2</v>
      </c>
      <c r="I187" s="139">
        <f t="shared" si="94"/>
        <v>0.1992854211037795</v>
      </c>
      <c r="J187" s="139">
        <f t="shared" si="94"/>
        <v>0.37532312394609413</v>
      </c>
      <c r="K187" s="139">
        <f t="shared" si="94"/>
        <v>0.62526956164422598</v>
      </c>
      <c r="L187" s="139">
        <f t="shared" si="94"/>
        <v>0.91693044174226734</v>
      </c>
      <c r="M187" s="139">
        <f t="shared" si="94"/>
        <v>1.1928282008469218</v>
      </c>
      <c r="N187" s="139">
        <f t="shared" si="94"/>
        <v>1.4259811398527813</v>
      </c>
      <c r="O187" s="139">
        <f t="shared" si="94"/>
        <v>1.6104480410779354</v>
      </c>
      <c r="P187" s="139">
        <f t="shared" si="94"/>
        <v>1.733193545971373</v>
      </c>
      <c r="Q187" s="139">
        <f t="shared" si="94"/>
        <v>1.8020939756723269</v>
      </c>
      <c r="R187" s="139">
        <f t="shared" si="94"/>
        <v>1.8640356760734407</v>
      </c>
      <c r="S187" s="139">
        <f t="shared" si="94"/>
        <v>1.9256375012214881</v>
      </c>
      <c r="T187" s="139">
        <f t="shared" si="94"/>
        <v>1.9878215297817974</v>
      </c>
      <c r="U187" s="139">
        <f t="shared" si="94"/>
        <v>2.0506355104005078</v>
      </c>
      <c r="V187" s="139">
        <f t="shared" si="94"/>
        <v>2.1140857588217488</v>
      </c>
      <c r="W187" s="139">
        <f t="shared" si="94"/>
        <v>2.1781786539795385</v>
      </c>
      <c r="X187" s="139">
        <f t="shared" si="94"/>
        <v>2.2429206386297467</v>
      </c>
      <c r="Y187" s="139">
        <f t="shared" si="94"/>
        <v>2.3083182199883789</v>
      </c>
      <c r="Z187" s="139">
        <f t="shared" si="94"/>
        <v>2.3743779703762447</v>
      </c>
      <c r="AA187" s="139">
        <f t="shared" si="94"/>
        <v>2.4411065278700663</v>
      </c>
      <c r="AB187" s="139"/>
      <c r="AD187" s="107" t="s">
        <v>397</v>
      </c>
      <c r="AH187" s="187" t="s">
        <v>413</v>
      </c>
      <c r="AI187" s="306">
        <v>2E-3</v>
      </c>
      <c r="AJ187" s="187" t="s">
        <v>416</v>
      </c>
    </row>
    <row r="188" spans="1:41" ht="15.75" thickBot="1" x14ac:dyDescent="0.3">
      <c r="D188" s="112"/>
      <c r="E188" s="112"/>
      <c r="F188" s="112"/>
      <c r="G188" s="112"/>
      <c r="H188" s="112"/>
      <c r="I188" s="112"/>
      <c r="J188" s="112"/>
      <c r="K188" s="112"/>
      <c r="L188" s="112"/>
      <c r="M188" s="112"/>
      <c r="N188" s="112"/>
      <c r="O188" s="112"/>
      <c r="P188" s="112"/>
      <c r="Q188" s="112"/>
      <c r="R188" s="112"/>
      <c r="S188" s="112"/>
      <c r="T188" s="112"/>
      <c r="U188" s="112"/>
      <c r="V188" s="112"/>
      <c r="W188" s="112"/>
      <c r="X188" s="112"/>
      <c r="Y188" s="112"/>
      <c r="Z188" s="112"/>
      <c r="AA188" s="112"/>
      <c r="AB188" s="112"/>
      <c r="AD188" s="187" t="s">
        <v>399</v>
      </c>
      <c r="AF188" s="187" t="s">
        <v>358</v>
      </c>
      <c r="AG188" s="187" t="s">
        <v>377</v>
      </c>
      <c r="AJ188" s="187" t="s">
        <v>358</v>
      </c>
      <c r="AK188" s="187" t="s">
        <v>377</v>
      </c>
      <c r="AM188" s="187" t="s">
        <v>358</v>
      </c>
      <c r="AN188" s="187" t="s">
        <v>358</v>
      </c>
      <c r="AO188" s="187" t="s">
        <v>377</v>
      </c>
    </row>
    <row r="189" spans="1:41" x14ac:dyDescent="0.25">
      <c r="A189" s="187" t="s">
        <v>403</v>
      </c>
      <c r="B189" s="187" t="s">
        <v>402</v>
      </c>
      <c r="C189" s="108">
        <v>1</v>
      </c>
      <c r="D189" s="112">
        <v>1</v>
      </c>
      <c r="E189" s="112">
        <v>1</v>
      </c>
      <c r="F189" s="112">
        <v>1</v>
      </c>
      <c r="G189" s="112">
        <v>1</v>
      </c>
      <c r="H189" s="112">
        <v>1</v>
      </c>
      <c r="I189" s="112">
        <v>1</v>
      </c>
      <c r="J189" s="112">
        <v>1</v>
      </c>
      <c r="K189" s="112">
        <v>1</v>
      </c>
      <c r="L189" s="112">
        <v>1</v>
      </c>
      <c r="M189" s="112">
        <v>1</v>
      </c>
      <c r="N189" s="112">
        <v>1</v>
      </c>
      <c r="O189" s="112">
        <v>1</v>
      </c>
      <c r="P189" s="112">
        <v>1</v>
      </c>
      <c r="Q189" s="112">
        <v>1</v>
      </c>
      <c r="R189" s="112">
        <v>1</v>
      </c>
      <c r="S189" s="112">
        <v>1</v>
      </c>
      <c r="T189" s="112">
        <v>1</v>
      </c>
      <c r="U189" s="112">
        <v>1</v>
      </c>
      <c r="V189" s="112">
        <v>1</v>
      </c>
      <c r="W189" s="112">
        <v>1</v>
      </c>
      <c r="X189" s="112">
        <v>1</v>
      </c>
      <c r="Y189" s="112">
        <v>1</v>
      </c>
      <c r="Z189" s="112">
        <v>1</v>
      </c>
      <c r="AA189" s="112">
        <v>1</v>
      </c>
      <c r="AB189" s="112"/>
      <c r="AD189" s="343" t="s">
        <v>404</v>
      </c>
      <c r="AE189" s="346" t="s">
        <v>352</v>
      </c>
      <c r="AF189" s="310" t="s">
        <v>405</v>
      </c>
      <c r="AG189" s="311" t="s">
        <v>405</v>
      </c>
      <c r="AH189" s="309" t="s">
        <v>404</v>
      </c>
      <c r="AI189" s="310" t="s">
        <v>352</v>
      </c>
      <c r="AJ189" s="310" t="s">
        <v>405</v>
      </c>
      <c r="AK189" s="311" t="s">
        <v>405</v>
      </c>
      <c r="AL189" s="318"/>
      <c r="AM189" s="309" t="s">
        <v>406</v>
      </c>
      <c r="AN189" s="310" t="s">
        <v>407</v>
      </c>
      <c r="AO189" s="311" t="s">
        <v>407</v>
      </c>
    </row>
    <row r="190" spans="1:41" x14ac:dyDescent="0.25">
      <c r="A190" s="302" t="s">
        <v>11</v>
      </c>
      <c r="C190" s="108">
        <f>+IF(C183&gt;0,C183/C176*C$189,0)</f>
        <v>0</v>
      </c>
      <c r="D190" s="187">
        <f t="shared" ref="D190:G190" si="96">+IF(D183&gt;0,D183/D176*D$189,0)</f>
        <v>0</v>
      </c>
      <c r="E190" s="187">
        <f t="shared" si="96"/>
        <v>0</v>
      </c>
      <c r="F190" s="187">
        <f t="shared" si="96"/>
        <v>0</v>
      </c>
      <c r="G190" s="187">
        <f t="shared" si="96"/>
        <v>0</v>
      </c>
      <c r="H190" s="139">
        <f t="shared" ref="H190:AA190" si="97">+IF(H183&gt;0,H183/H176*H$189,0)</f>
        <v>3.1955795542095725E-2</v>
      </c>
      <c r="I190" s="139">
        <f t="shared" si="97"/>
        <v>3.6724366266667544E-2</v>
      </c>
      <c r="J190" s="139">
        <f t="shared" si="97"/>
        <v>4.1776375911540729E-2</v>
      </c>
      <c r="K190" s="139">
        <f t="shared" si="97"/>
        <v>4.6688605756138958E-2</v>
      </c>
      <c r="L190" s="139">
        <f t="shared" si="97"/>
        <v>5.1654197961050773E-2</v>
      </c>
      <c r="M190" s="139">
        <f t="shared" si="97"/>
        <v>5.7234926443969422E-2</v>
      </c>
      <c r="N190" s="139">
        <f t="shared" si="97"/>
        <v>6.2712834139347098E-2</v>
      </c>
      <c r="O190" s="139">
        <f t="shared" si="97"/>
        <v>6.8548305292329081E-2</v>
      </c>
      <c r="P190" s="139">
        <f t="shared" si="97"/>
        <v>7.4754829618076279E-2</v>
      </c>
      <c r="Q190" s="139">
        <f t="shared" si="97"/>
        <v>8.156164056542474E-2</v>
      </c>
      <c r="R190" s="139">
        <f t="shared" si="97"/>
        <v>8.8965158967275318E-2</v>
      </c>
      <c r="S190" s="139">
        <f t="shared" si="97"/>
        <v>9.6447851785648048E-2</v>
      </c>
      <c r="T190" s="139">
        <f t="shared" si="97"/>
        <v>0.10401849600513152</v>
      </c>
      <c r="U190" s="139">
        <f t="shared" si="97"/>
        <v>0.11167805899821311</v>
      </c>
      <c r="V190" s="139">
        <f t="shared" si="97"/>
        <v>0.11942745637729156</v>
      </c>
      <c r="W190" s="139">
        <f t="shared" si="97"/>
        <v>0.12726761296373898</v>
      </c>
      <c r="X190" s="139">
        <f t="shared" si="97"/>
        <v>0.13519946288009624</v>
      </c>
      <c r="Y190" s="139">
        <f t="shared" si="97"/>
        <v>0.14322394964319046</v>
      </c>
      <c r="Z190" s="139">
        <f t="shared" si="97"/>
        <v>0.15134202625818421</v>
      </c>
      <c r="AA190" s="139">
        <f t="shared" si="97"/>
        <v>0.15955465531356508</v>
      </c>
      <c r="AB190" s="139"/>
      <c r="AD190" s="344">
        <f>28.815/2</f>
        <v>14.407500000000001</v>
      </c>
      <c r="AE190" s="347">
        <f>+AD190/$AD$194</f>
        <v>0.19363097558025458</v>
      </c>
      <c r="AF190" s="308">
        <f>+H183/$H$187</f>
        <v>4.5846838120565774E-3</v>
      </c>
      <c r="AG190" s="312">
        <f>+AA176/$AA$180</f>
        <v>0.17500000000000002</v>
      </c>
      <c r="AH190" s="315">
        <f>+C11</f>
        <v>779.6400000000001</v>
      </c>
      <c r="AI190" s="130">
        <f>+AH190*(1+$AI$187)^6</f>
        <v>789.04258332966322</v>
      </c>
      <c r="AJ190" s="130">
        <f>+H190*1000</f>
        <v>31.955795542095725</v>
      </c>
      <c r="AK190" s="326">
        <f>+AA190*1000</f>
        <v>159.55465531356509</v>
      </c>
      <c r="AL190" s="318"/>
      <c r="AM190" s="322">
        <f>+AJ190/AH190</f>
        <v>4.0987886129618442E-2</v>
      </c>
      <c r="AN190" s="323">
        <f>+AJ190/AI190</f>
        <v>4.0499456198227195E-2</v>
      </c>
      <c r="AO190" s="324">
        <f>+AK190/AI190</f>
        <v>0.20221298404487115</v>
      </c>
    </row>
    <row r="191" spans="1:41" x14ac:dyDescent="0.25">
      <c r="A191" s="302" t="s">
        <v>11</v>
      </c>
      <c r="C191" s="187">
        <f t="shared" ref="C191:R194" si="98">+IF(C184&gt;0,C184/C177*C$189,0)</f>
        <v>0</v>
      </c>
      <c r="D191" s="187">
        <f t="shared" si="98"/>
        <v>0</v>
      </c>
      <c r="E191" s="187">
        <f t="shared" si="98"/>
        <v>0</v>
      </c>
      <c r="F191" s="187">
        <f t="shared" si="98"/>
        <v>0</v>
      </c>
      <c r="G191" s="139">
        <f t="shared" si="98"/>
        <v>1.7702104435947907</v>
      </c>
      <c r="H191" s="139">
        <f t="shared" ref="H191:AA191" si="99">+IF(H184&gt;0,H184/H177*H$189,0)</f>
        <v>1.7729909847624445</v>
      </c>
      <c r="I191" s="139">
        <f t="shared" si="99"/>
        <v>1.7742115853728435</v>
      </c>
      <c r="J191" s="139">
        <f t="shared" si="99"/>
        <v>1.775246005706886</v>
      </c>
      <c r="K191" s="139">
        <f t="shared" si="99"/>
        <v>1.775886196237535</v>
      </c>
      <c r="L191" s="139">
        <f t="shared" si="99"/>
        <v>1.7766881227669646</v>
      </c>
      <c r="M191" s="139">
        <f t="shared" si="99"/>
        <v>1.7775282982527356</v>
      </c>
      <c r="N191" s="139">
        <f t="shared" si="99"/>
        <v>1.7781670631144846</v>
      </c>
      <c r="O191" s="139">
        <f t="shared" si="99"/>
        <v>1.7786250778137458</v>
      </c>
      <c r="P191" s="139">
        <f t="shared" si="99"/>
        <v>1.779055123396571</v>
      </c>
      <c r="Q191" s="139">
        <f t="shared" si="99"/>
        <v>1.7793697329498082</v>
      </c>
      <c r="R191" s="139">
        <f t="shared" si="99"/>
        <v>1.7793713499999999</v>
      </c>
      <c r="S191" s="139">
        <f t="shared" si="99"/>
        <v>1.7793713499999999</v>
      </c>
      <c r="T191" s="139">
        <f t="shared" si="99"/>
        <v>1.7793713499999999</v>
      </c>
      <c r="U191" s="139">
        <f t="shared" si="99"/>
        <v>1.7793713499999999</v>
      </c>
      <c r="V191" s="139">
        <f t="shared" si="99"/>
        <v>1.7793713499999999</v>
      </c>
      <c r="W191" s="139">
        <f t="shared" si="99"/>
        <v>1.7793713499999999</v>
      </c>
      <c r="X191" s="139">
        <f t="shared" si="99"/>
        <v>1.7793713499999999</v>
      </c>
      <c r="Y191" s="139">
        <f t="shared" si="99"/>
        <v>1.7793713499999999</v>
      </c>
      <c r="Z191" s="139">
        <f t="shared" si="99"/>
        <v>1.7793713499999999</v>
      </c>
      <c r="AA191" s="139">
        <f t="shared" si="99"/>
        <v>1.7793713499999999</v>
      </c>
      <c r="AB191" s="139"/>
      <c r="AD191" s="344">
        <f>+AD190</f>
        <v>14.407500000000001</v>
      </c>
      <c r="AE191" s="347">
        <f t="shared" ref="AE191:AE194" si="100">+AD191/$AD$194</f>
        <v>0.19363097558025458</v>
      </c>
      <c r="AF191" s="308">
        <f t="shared" ref="AF191:AF194" si="101">+H184/$H$187</f>
        <v>0.83806055375488775</v>
      </c>
      <c r="AG191" s="312">
        <f t="shared" ref="AG191:AG194" si="102">+AA177/$AA$180</f>
        <v>0.17500000000000002</v>
      </c>
      <c r="AH191" s="315">
        <f>+C11</f>
        <v>779.6400000000001</v>
      </c>
      <c r="AI191" s="130">
        <f>+AH191*(1+$AI$187)^6</f>
        <v>789.04258332966322</v>
      </c>
      <c r="AJ191" s="130">
        <f t="shared" ref="AJ191:AJ193" si="103">+H191*1000</f>
        <v>1772.9909847624444</v>
      </c>
      <c r="AK191" s="326">
        <f t="shared" ref="AK191:AK193" si="104">+AA191*1000</f>
        <v>1779.3713499999999</v>
      </c>
      <c r="AL191" s="318"/>
      <c r="AM191" s="322">
        <f t="shared" ref="AM191:AM194" si="105">+AJ191/AH191</f>
        <v>2.2741149565984866</v>
      </c>
      <c r="AN191" s="323">
        <f t="shared" ref="AN191:AN194" si="106">+AJ191/AI191</f>
        <v>2.2470155885385035</v>
      </c>
      <c r="AO191" s="324">
        <f t="shared" ref="AO191:AO194" si="107">+AK191/AI191</f>
        <v>2.255101800071766</v>
      </c>
    </row>
    <row r="192" spans="1:41" x14ac:dyDescent="0.25">
      <c r="A192" s="302" t="s">
        <v>380</v>
      </c>
      <c r="C192" s="187">
        <f t="shared" si="98"/>
        <v>0</v>
      </c>
      <c r="D192" s="187">
        <f t="shared" si="98"/>
        <v>0</v>
      </c>
      <c r="E192" s="187">
        <f t="shared" si="98"/>
        <v>0</v>
      </c>
      <c r="F192" s="187">
        <f t="shared" si="98"/>
        <v>0</v>
      </c>
      <c r="G192" s="139">
        <f t="shared" si="98"/>
        <v>0.12845526660735912</v>
      </c>
      <c r="H192" s="139">
        <f t="shared" ref="H192:AA192" si="108">+IF(H185&gt;0,H185/H178*H$189,0)</f>
        <v>0.14744493924877283</v>
      </c>
      <c r="I192" s="139">
        <f t="shared" si="108"/>
        <v>0.16753320341447758</v>
      </c>
      <c r="J192" s="139">
        <f t="shared" si="108"/>
        <v>0.18703694126790651</v>
      </c>
      <c r="K192" s="139">
        <f t="shared" si="108"/>
        <v>0.20672376643947654</v>
      </c>
      <c r="L192" s="139">
        <f t="shared" si="108"/>
        <v>0.2288268209221303</v>
      </c>
      <c r="M192" s="139">
        <f t="shared" si="108"/>
        <v>0.25049396157513987</v>
      </c>
      <c r="N192" s="139">
        <f t="shared" si="108"/>
        <v>0.27354329060653781</v>
      </c>
      <c r="O192" s="139">
        <f t="shared" si="108"/>
        <v>0.29802073601729157</v>
      </c>
      <c r="P192" s="139">
        <f t="shared" si="108"/>
        <v>0.32482377961573061</v>
      </c>
      <c r="Q192" s="139">
        <f t="shared" si="108"/>
        <v>0.35392847953322315</v>
      </c>
      <c r="R192" s="139">
        <f t="shared" si="108"/>
        <v>0.38329201529732471</v>
      </c>
      <c r="S192" s="139">
        <f t="shared" si="108"/>
        <v>0.41294894095029816</v>
      </c>
      <c r="T192" s="139">
        <f t="shared" si="108"/>
        <v>0.4429024358598011</v>
      </c>
      <c r="U192" s="139">
        <f t="shared" si="108"/>
        <v>0.47315546571839906</v>
      </c>
      <c r="V192" s="139">
        <f t="shared" si="108"/>
        <v>0.50371102587558303</v>
      </c>
      <c r="W192" s="139">
        <f t="shared" si="108"/>
        <v>0.53457214163433886</v>
      </c>
      <c r="X192" s="139">
        <f t="shared" si="108"/>
        <v>0.56574186855068231</v>
      </c>
      <c r="Y192" s="139">
        <f t="shared" si="108"/>
        <v>0.59722329273618924</v>
      </c>
      <c r="Z192" s="139">
        <f t="shared" si="108"/>
        <v>0.62901953116355114</v>
      </c>
      <c r="AA192" s="139">
        <f t="shared" si="108"/>
        <v>0.66113373197518666</v>
      </c>
      <c r="AB192" s="139"/>
      <c r="AD192" s="344">
        <v>10.113</v>
      </c>
      <c r="AE192" s="347">
        <f t="shared" si="100"/>
        <v>0.13591463168787882</v>
      </c>
      <c r="AF192" s="308">
        <f t="shared" si="101"/>
        <v>0.13938907585786589</v>
      </c>
      <c r="AG192" s="312">
        <f t="shared" si="102"/>
        <v>0.35</v>
      </c>
      <c r="AH192" s="315">
        <f>+D11</f>
        <v>2507.1849999999999</v>
      </c>
      <c r="AI192" s="130">
        <f>+AH192*(1+$AI$187)^6</f>
        <v>2537.4220528518049</v>
      </c>
      <c r="AJ192" s="130">
        <f t="shared" si="103"/>
        <v>147.44493924877284</v>
      </c>
      <c r="AK192" s="326">
        <f t="shared" si="104"/>
        <v>661.13373197518661</v>
      </c>
      <c r="AL192" s="318"/>
      <c r="AM192" s="322">
        <f t="shared" si="105"/>
        <v>5.8808958752055732E-2</v>
      </c>
      <c r="AN192" s="323">
        <f t="shared" si="106"/>
        <v>5.8108164971239093E-2</v>
      </c>
      <c r="AO192" s="324">
        <f t="shared" si="107"/>
        <v>0.26055331679337279</v>
      </c>
    </row>
    <row r="193" spans="1:41" x14ac:dyDescent="0.25">
      <c r="A193" s="351" t="s">
        <v>14</v>
      </c>
      <c r="C193" s="187">
        <f t="shared" si="98"/>
        <v>0</v>
      </c>
      <c r="D193" s="187">
        <f t="shared" si="98"/>
        <v>0</v>
      </c>
      <c r="E193" s="187">
        <f t="shared" si="98"/>
        <v>0</v>
      </c>
      <c r="F193" s="187">
        <f t="shared" si="98"/>
        <v>0</v>
      </c>
      <c r="G193" s="187">
        <f t="shared" si="98"/>
        <v>0</v>
      </c>
      <c r="H193" s="139">
        <f t="shared" ref="H193:AA194" si="109">+IF(H186&gt;0,H186/H179*H$189,0)</f>
        <v>7.9019674877519597E-2</v>
      </c>
      <c r="I193" s="139">
        <f t="shared" si="109"/>
        <v>9.2744131799880183E-2</v>
      </c>
      <c r="J193" s="139">
        <f t="shared" si="109"/>
        <v>0.10643154598803037</v>
      </c>
      <c r="K193" s="139">
        <f t="shared" si="109"/>
        <v>0.11987875690710764</v>
      </c>
      <c r="L193" s="139">
        <f t="shared" si="109"/>
        <v>0.13322551577432432</v>
      </c>
      <c r="M193" s="139">
        <f t="shared" si="109"/>
        <v>0.14828909196297707</v>
      </c>
      <c r="N193" s="139">
        <f t="shared" si="109"/>
        <v>0.16349281971319049</v>
      </c>
      <c r="O193" s="139">
        <f t="shared" si="109"/>
        <v>0.17940247287082628</v>
      </c>
      <c r="P193" s="139">
        <f t="shared" si="109"/>
        <v>0.19612232587914363</v>
      </c>
      <c r="Q193" s="139">
        <f t="shared" si="109"/>
        <v>0.21435249691916605</v>
      </c>
      <c r="R193" s="139">
        <f t="shared" si="109"/>
        <v>0.23402880978568083</v>
      </c>
      <c r="S193" s="139">
        <f t="shared" si="109"/>
        <v>0.25359355663013561</v>
      </c>
      <c r="T193" s="139">
        <f t="shared" si="109"/>
        <v>0.27331416669643699</v>
      </c>
      <c r="U193" s="139">
        <f t="shared" si="109"/>
        <v>0.2932319828634013</v>
      </c>
      <c r="V193" s="139">
        <f t="shared" si="109"/>
        <v>0.31334897719203558</v>
      </c>
      <c r="W193" s="139">
        <f t="shared" si="109"/>
        <v>0.33366714146395582</v>
      </c>
      <c r="X193" s="139">
        <f t="shared" si="109"/>
        <v>0.35418848737859543</v>
      </c>
      <c r="Y193" s="139">
        <f t="shared" si="109"/>
        <v>0.37491504675238152</v>
      </c>
      <c r="Z193" s="139">
        <f t="shared" si="109"/>
        <v>0.3958488717199054</v>
      </c>
      <c r="AA193" s="139">
        <f t="shared" si="109"/>
        <v>0.41699203493710452</v>
      </c>
      <c r="AB193" s="139"/>
      <c r="AD193" s="344">
        <v>35.478999999999999</v>
      </c>
      <c r="AE193" s="347">
        <f t="shared" si="100"/>
        <v>0.47682341715161208</v>
      </c>
      <c r="AF193" s="308">
        <f t="shared" si="101"/>
        <v>1.7965686575189873E-2</v>
      </c>
      <c r="AG193" s="312">
        <f t="shared" si="102"/>
        <v>0.30000000000000004</v>
      </c>
      <c r="AH193" s="315">
        <f>+E11</f>
        <v>1668.415</v>
      </c>
      <c r="AI193" s="130">
        <f>+AH193*(1+$AI$187)^6</f>
        <v>1688.5363522471396</v>
      </c>
      <c r="AJ193" s="130">
        <f t="shared" si="103"/>
        <v>79.019674877519591</v>
      </c>
      <c r="AK193" s="326">
        <f t="shared" si="104"/>
        <v>416.99203493710451</v>
      </c>
      <c r="AL193" s="318"/>
      <c r="AM193" s="322">
        <f t="shared" si="105"/>
        <v>4.7362122060470323E-2</v>
      </c>
      <c r="AN193" s="323">
        <f t="shared" si="106"/>
        <v>4.6797733890868595E-2</v>
      </c>
      <c r="AO193" s="324">
        <f t="shared" si="107"/>
        <v>0.24695472761493276</v>
      </c>
    </row>
    <row r="194" spans="1:41" ht="15.75" thickBot="1" x14ac:dyDescent="0.3">
      <c r="A194" s="352" t="s">
        <v>31</v>
      </c>
      <c r="B194" s="352"/>
      <c r="C194" s="352">
        <f t="shared" si="98"/>
        <v>0</v>
      </c>
      <c r="D194" s="352">
        <f t="shared" si="98"/>
        <v>0</v>
      </c>
      <c r="E194" s="352">
        <f t="shared" si="98"/>
        <v>0</v>
      </c>
      <c r="F194" s="352">
        <f t="shared" si="98"/>
        <v>0</v>
      </c>
      <c r="G194" s="354">
        <f t="shared" si="98"/>
        <v>0.67570699226983622</v>
      </c>
      <c r="H194" s="354">
        <f t="shared" si="98"/>
        <v>0.5590114700924953</v>
      </c>
      <c r="I194" s="354">
        <f t="shared" si="98"/>
        <v>0.52846630592330579</v>
      </c>
      <c r="J194" s="354">
        <f t="shared" si="98"/>
        <v>0.50950728504354548</v>
      </c>
      <c r="K194" s="354">
        <f t="shared" si="98"/>
        <v>0.50397003549251762</v>
      </c>
      <c r="L194" s="354">
        <f t="shared" si="98"/>
        <v>0.49702310838043873</v>
      </c>
      <c r="M194" s="354">
        <f t="shared" si="98"/>
        <v>0.49101042820528146</v>
      </c>
      <c r="N194" s="354">
        <f t="shared" si="98"/>
        <v>0.49100108378597479</v>
      </c>
      <c r="O194" s="354">
        <f t="shared" si="98"/>
        <v>0.49607857565785302</v>
      </c>
      <c r="P194" s="354">
        <f t="shared" si="98"/>
        <v>0.50325444563666855</v>
      </c>
      <c r="Q194" s="354">
        <f t="shared" si="98"/>
        <v>0.51410479231681872</v>
      </c>
      <c r="R194" s="354">
        <f t="shared" si="98"/>
        <v>0.53131973735904103</v>
      </c>
      <c r="S194" s="354">
        <f t="shared" si="109"/>
        <v>0.54887855663413343</v>
      </c>
      <c r="T194" s="354">
        <f t="shared" si="109"/>
        <v>0.56660332561075943</v>
      </c>
      <c r="U194" s="354">
        <f t="shared" si="109"/>
        <v>0.58450765443514741</v>
      </c>
      <c r="V194" s="354">
        <f t="shared" si="109"/>
        <v>0.60259334333009074</v>
      </c>
      <c r="W194" s="354">
        <f t="shared" si="109"/>
        <v>0.62086221052985979</v>
      </c>
      <c r="X194" s="354">
        <f t="shared" si="109"/>
        <v>0.63931609246033438</v>
      </c>
      <c r="Y194" s="354">
        <f t="shared" si="109"/>
        <v>0.65795684392093889</v>
      </c>
      <c r="Z194" s="354">
        <f t="shared" si="109"/>
        <v>0.67678633826839685</v>
      </c>
      <c r="AA194" s="354">
        <f t="shared" si="109"/>
        <v>0.69580646760232068</v>
      </c>
      <c r="AB194" s="139"/>
      <c r="AD194" s="345">
        <f>+SUM(AD190:AD193)</f>
        <v>74.406999999999996</v>
      </c>
      <c r="AE194" s="348">
        <f t="shared" si="100"/>
        <v>1</v>
      </c>
      <c r="AF194" s="313">
        <f t="shared" si="101"/>
        <v>1</v>
      </c>
      <c r="AG194" s="314">
        <f t="shared" si="102"/>
        <v>1</v>
      </c>
      <c r="AH194" s="316">
        <f>+SUMPRODUCT(AE190:AE193,AH190:AH193)</f>
        <v>1438.2273749781607</v>
      </c>
      <c r="AI194" s="317">
        <f>+SUMPRODUCT(AE190:AE193,AI190:AI193)</f>
        <v>1455.5726275822276</v>
      </c>
      <c r="AJ194" s="317">
        <f t="shared" ref="AJ194" si="110">+H194*1000</f>
        <v>559.0114700924953</v>
      </c>
      <c r="AK194" s="328">
        <f t="shared" ref="AK194" si="111">+AA194*1000</f>
        <v>695.80646760232071</v>
      </c>
      <c r="AM194" s="322">
        <f t="shared" si="105"/>
        <v>0.38868087189689587</v>
      </c>
      <c r="AN194" s="323">
        <f t="shared" si="106"/>
        <v>0.38404917727879978</v>
      </c>
      <c r="AO194" s="324">
        <f t="shared" si="107"/>
        <v>0.47802937099613291</v>
      </c>
    </row>
    <row r="195" spans="1:41" x14ac:dyDescent="0.25">
      <c r="B195" s="187" t="s">
        <v>404</v>
      </c>
    </row>
    <row r="196" spans="1:41" x14ac:dyDescent="0.25">
      <c r="A196" s="187" t="s">
        <v>419</v>
      </c>
      <c r="B196" s="187" t="s">
        <v>420</v>
      </c>
      <c r="AJ196" s="112">
        <f>+SUMPRODUCT(AF190:AF193,AJ190:AJ193)</f>
        <v>1507.9921702448898</v>
      </c>
      <c r="AN196" s="304">
        <f>+AN194/6</f>
        <v>6.4008196213133292E-2</v>
      </c>
      <c r="AO196" s="304">
        <f>+AO194/25</f>
        <v>1.9121174839845316E-2</v>
      </c>
    </row>
    <row r="197" spans="1:41" x14ac:dyDescent="0.25">
      <c r="A197" s="352" t="s">
        <v>352</v>
      </c>
      <c r="B197" s="354">
        <f>+AH194/1000</f>
        <v>1.4382273749781607</v>
      </c>
      <c r="C197" s="354">
        <f>+B197*(1+0.2%)</f>
        <v>1.4411038297281169</v>
      </c>
      <c r="D197" s="354">
        <f t="shared" ref="D197:F197" si="112">+C197*(1+0.2%)</f>
        <v>1.443986037387573</v>
      </c>
      <c r="E197" s="354">
        <f t="shared" si="112"/>
        <v>1.4468740094623482</v>
      </c>
      <c r="F197" s="354">
        <f t="shared" si="112"/>
        <v>1.4497677574812728</v>
      </c>
      <c r="G197" s="354">
        <f>+F197*(1+0.2%)</f>
        <v>1.4526672929962354</v>
      </c>
      <c r="H197" s="354">
        <f t="shared" ref="H197:I197" si="113">+G197*(1+0.2%)</f>
        <v>1.4555726275822278</v>
      </c>
      <c r="I197" s="354">
        <f t="shared" si="113"/>
        <v>1.4584837728373923</v>
      </c>
      <c r="J197" s="354">
        <f t="shared" ref="J197:AA197" si="114">+I197*(1+0.2%)</f>
        <v>1.4614007403830671</v>
      </c>
      <c r="K197" s="354">
        <f t="shared" si="114"/>
        <v>1.4643235418638332</v>
      </c>
      <c r="L197" s="354">
        <f t="shared" si="114"/>
        <v>1.4672521889475609</v>
      </c>
      <c r="M197" s="354">
        <f t="shared" si="114"/>
        <v>1.4701866933254562</v>
      </c>
      <c r="N197" s="354">
        <f t="shared" si="114"/>
        <v>1.473127066712107</v>
      </c>
      <c r="O197" s="354">
        <f t="shared" si="114"/>
        <v>1.4760733208455312</v>
      </c>
      <c r="P197" s="354">
        <f t="shared" si="114"/>
        <v>1.4790254674872223</v>
      </c>
      <c r="Q197" s="354">
        <f t="shared" si="114"/>
        <v>1.4819835184221968</v>
      </c>
      <c r="R197" s="354">
        <f t="shared" si="114"/>
        <v>1.4849474854590412</v>
      </c>
      <c r="S197" s="354">
        <f t="shared" si="114"/>
        <v>1.4879173804299592</v>
      </c>
      <c r="T197" s="354">
        <f t="shared" si="114"/>
        <v>1.4908932151908192</v>
      </c>
      <c r="U197" s="354">
        <f t="shared" si="114"/>
        <v>1.4938750016212008</v>
      </c>
      <c r="V197" s="354">
        <f t="shared" si="114"/>
        <v>1.4968627516244433</v>
      </c>
      <c r="W197" s="354">
        <f t="shared" si="114"/>
        <v>1.4998564771276921</v>
      </c>
      <c r="X197" s="354">
        <f t="shared" si="114"/>
        <v>1.5028561900819475</v>
      </c>
      <c r="Y197" s="354">
        <f t="shared" si="114"/>
        <v>1.5058619024621114</v>
      </c>
      <c r="Z197" s="354">
        <f t="shared" si="114"/>
        <v>1.5088736262670357</v>
      </c>
      <c r="AA197" s="354">
        <f t="shared" si="114"/>
        <v>1.5118913735195698</v>
      </c>
      <c r="AJ197" s="112">
        <f>+SUMPRODUCT(AG190:AG193,AJ190:AJ193)</f>
        <v>391.17731775362091</v>
      </c>
      <c r="AK197" s="112">
        <f>+SUMPRODUCT(AG190:AG193,AK190:AK193)</f>
        <v>695.80646760232048</v>
      </c>
      <c r="AN197" s="349" t="s">
        <v>418</v>
      </c>
      <c r="AO197" s="349" t="s">
        <v>418</v>
      </c>
    </row>
    <row r="198" spans="1:41" x14ac:dyDescent="0.25">
      <c r="A198" s="352" t="s">
        <v>405</v>
      </c>
      <c r="B198" s="354">
        <f>+B197</f>
        <v>1.4382273749781607</v>
      </c>
      <c r="C198" s="354">
        <f>+C197</f>
        <v>1.4411038297281169</v>
      </c>
      <c r="D198" s="354">
        <f t="shared" ref="D198:F198" si="115">+D197</f>
        <v>1.443986037387573</v>
      </c>
      <c r="E198" s="354">
        <f t="shared" si="115"/>
        <v>1.4468740094623482</v>
      </c>
      <c r="F198" s="354">
        <f t="shared" si="115"/>
        <v>1.4497677574812728</v>
      </c>
      <c r="G198" s="354">
        <f t="shared" ref="G198" si="116">+G197</f>
        <v>1.4526672929962354</v>
      </c>
      <c r="H198" s="354">
        <f t="shared" ref="H198" si="117">+H197</f>
        <v>1.4555726275822278</v>
      </c>
      <c r="I198" s="354">
        <f>+$B$198+G194</f>
        <v>2.1139343672479969</v>
      </c>
      <c r="J198" s="354">
        <f>+$B$198+H194</f>
        <v>1.997238845070656</v>
      </c>
      <c r="K198" s="354">
        <f t="shared" ref="K198:AA198" si="118">+$B$198+I194</f>
        <v>1.9666936809014666</v>
      </c>
      <c r="L198" s="354">
        <f t="shared" si="118"/>
        <v>1.9477346600217063</v>
      </c>
      <c r="M198" s="354">
        <f t="shared" si="118"/>
        <v>1.9421974104706783</v>
      </c>
      <c r="N198" s="354">
        <f t="shared" si="118"/>
        <v>1.9352504833585993</v>
      </c>
      <c r="O198" s="354">
        <f t="shared" si="118"/>
        <v>1.9292378031834421</v>
      </c>
      <c r="P198" s="354">
        <f t="shared" si="118"/>
        <v>1.9292284587641355</v>
      </c>
      <c r="Q198" s="354">
        <f t="shared" si="118"/>
        <v>1.9343059506360136</v>
      </c>
      <c r="R198" s="354">
        <f t="shared" si="118"/>
        <v>1.9414818206148292</v>
      </c>
      <c r="S198" s="354">
        <f t="shared" si="118"/>
        <v>1.9523321672949794</v>
      </c>
      <c r="T198" s="354">
        <f t="shared" si="118"/>
        <v>1.9695471123372017</v>
      </c>
      <c r="U198" s="354">
        <f t="shared" si="118"/>
        <v>1.9871059316122941</v>
      </c>
      <c r="V198" s="354">
        <f t="shared" si="118"/>
        <v>2.0048307005889203</v>
      </c>
      <c r="W198" s="354">
        <f t="shared" si="118"/>
        <v>2.0227350294133082</v>
      </c>
      <c r="X198" s="354">
        <f t="shared" si="118"/>
        <v>2.0408207183082512</v>
      </c>
      <c r="Y198" s="354">
        <f t="shared" si="118"/>
        <v>2.0590895855080205</v>
      </c>
      <c r="Z198" s="354">
        <f t="shared" si="118"/>
        <v>2.0775434674384949</v>
      </c>
      <c r="AA198" s="354">
        <f t="shared" si="118"/>
        <v>2.0961842188990998</v>
      </c>
      <c r="AB198" s="305"/>
    </row>
    <row r="199" spans="1:41" x14ac:dyDescent="0.25">
      <c r="C199" s="187" t="s">
        <v>353</v>
      </c>
      <c r="D199" s="187" t="s">
        <v>354</v>
      </c>
      <c r="E199" s="187" t="s">
        <v>355</v>
      </c>
      <c r="F199" s="187" t="s">
        <v>356</v>
      </c>
      <c r="G199" s="187" t="s">
        <v>357</v>
      </c>
      <c r="H199" s="187" t="s">
        <v>358</v>
      </c>
      <c r="I199" s="187" t="s">
        <v>359</v>
      </c>
      <c r="J199" s="187" t="s">
        <v>360</v>
      </c>
      <c r="K199" s="187" t="s">
        <v>361</v>
      </c>
      <c r="L199" s="187" t="s">
        <v>362</v>
      </c>
      <c r="M199" s="187" t="s">
        <v>363</v>
      </c>
      <c r="N199" s="187" t="s">
        <v>364</v>
      </c>
      <c r="O199" s="187" t="s">
        <v>365</v>
      </c>
      <c r="P199" s="187" t="s">
        <v>366</v>
      </c>
      <c r="Q199" s="187" t="s">
        <v>367</v>
      </c>
      <c r="R199" s="187" t="s">
        <v>368</v>
      </c>
      <c r="S199" s="187" t="s">
        <v>369</v>
      </c>
      <c r="T199" s="187" t="s">
        <v>370</v>
      </c>
      <c r="U199" s="187" t="s">
        <v>371</v>
      </c>
      <c r="V199" s="187" t="s">
        <v>372</v>
      </c>
      <c r="W199" s="187" t="s">
        <v>373</v>
      </c>
      <c r="X199" s="187" t="s">
        <v>374</v>
      </c>
      <c r="Y199" s="187" t="s">
        <v>375</v>
      </c>
      <c r="Z199" s="187" t="s">
        <v>376</v>
      </c>
      <c r="AA199" s="187" t="s">
        <v>377</v>
      </c>
    </row>
    <row r="200" spans="1:41" ht="15.75" thickBot="1" x14ac:dyDescent="0.3">
      <c r="A200" s="187" t="s">
        <v>421</v>
      </c>
      <c r="B200" s="187" t="s">
        <v>420</v>
      </c>
      <c r="AA200" s="305">
        <f>+AA198-H198</f>
        <v>0.64061159131687195</v>
      </c>
      <c r="AD200" s="187" t="s">
        <v>399</v>
      </c>
      <c r="AF200" s="187" t="s">
        <v>409</v>
      </c>
      <c r="AG200" s="108"/>
      <c r="AH200" s="187" t="s">
        <v>31</v>
      </c>
      <c r="AJ200" s="187" t="s">
        <v>414</v>
      </c>
      <c r="AK200" s="108"/>
    </row>
    <row r="201" spans="1:41" x14ac:dyDescent="0.25">
      <c r="A201" s="352" t="s">
        <v>352</v>
      </c>
      <c r="B201" s="352">
        <v>0</v>
      </c>
      <c r="C201" s="352">
        <v>0</v>
      </c>
      <c r="D201" s="352">
        <v>0</v>
      </c>
      <c r="E201" s="352">
        <v>0</v>
      </c>
      <c r="F201" s="352">
        <v>0</v>
      </c>
      <c r="G201" s="352">
        <v>0</v>
      </c>
      <c r="H201" s="352">
        <v>0</v>
      </c>
      <c r="I201" s="352">
        <v>0</v>
      </c>
      <c r="J201" s="352">
        <v>0</v>
      </c>
      <c r="K201" s="352">
        <v>0</v>
      </c>
      <c r="L201" s="352">
        <v>0</v>
      </c>
      <c r="M201" s="352">
        <v>0</v>
      </c>
      <c r="N201" s="352">
        <v>0</v>
      </c>
      <c r="O201" s="352">
        <v>0</v>
      </c>
      <c r="P201" s="352">
        <v>0</v>
      </c>
      <c r="Q201" s="352">
        <v>0</v>
      </c>
      <c r="R201" s="352">
        <v>0</v>
      </c>
      <c r="S201" s="352">
        <v>0</v>
      </c>
      <c r="T201" s="352">
        <v>0</v>
      </c>
      <c r="U201" s="352">
        <v>0</v>
      </c>
      <c r="V201" s="352">
        <v>0</v>
      </c>
      <c r="W201" s="352">
        <v>0</v>
      </c>
      <c r="X201" s="352">
        <v>0</v>
      </c>
      <c r="Y201" s="352">
        <v>0</v>
      </c>
      <c r="Z201" s="352">
        <v>0</v>
      </c>
      <c r="AA201" s="352">
        <v>0</v>
      </c>
      <c r="AD201" s="309"/>
      <c r="AE201" s="311"/>
      <c r="AF201" s="336" t="s">
        <v>358</v>
      </c>
      <c r="AG201" s="331" t="s">
        <v>377</v>
      </c>
      <c r="AH201" s="309" t="s">
        <v>358</v>
      </c>
      <c r="AI201" s="331" t="s">
        <v>377</v>
      </c>
      <c r="AJ201" s="309" t="s">
        <v>358</v>
      </c>
      <c r="AK201" s="311" t="s">
        <v>377</v>
      </c>
      <c r="AM201" s="309" t="s">
        <v>358</v>
      </c>
      <c r="AN201" s="310" t="s">
        <v>358</v>
      </c>
      <c r="AO201" s="311" t="s">
        <v>377</v>
      </c>
    </row>
    <row r="202" spans="1:41" x14ac:dyDescent="0.25">
      <c r="A202" s="352" t="s">
        <v>405</v>
      </c>
      <c r="B202" s="352">
        <v>0</v>
      </c>
      <c r="C202" s="352">
        <v>0</v>
      </c>
      <c r="D202" s="353">
        <f>+$C$146/1000</f>
        <v>7.7876022367941763E-2</v>
      </c>
      <c r="E202" s="353">
        <f t="shared" ref="E202:AA202" si="119">+$C$146/1000</f>
        <v>7.7876022367941763E-2</v>
      </c>
      <c r="F202" s="353">
        <f t="shared" si="119"/>
        <v>7.7876022367941763E-2</v>
      </c>
      <c r="G202" s="353">
        <f t="shared" si="119"/>
        <v>7.7876022367941763E-2</v>
      </c>
      <c r="H202" s="353">
        <f t="shared" si="119"/>
        <v>7.7876022367941763E-2</v>
      </c>
      <c r="I202" s="353">
        <f t="shared" si="119"/>
        <v>7.7876022367941763E-2</v>
      </c>
      <c r="J202" s="353">
        <f t="shared" si="119"/>
        <v>7.7876022367941763E-2</v>
      </c>
      <c r="K202" s="353">
        <f t="shared" si="119"/>
        <v>7.7876022367941763E-2</v>
      </c>
      <c r="L202" s="353">
        <f t="shared" si="119"/>
        <v>7.7876022367941763E-2</v>
      </c>
      <c r="M202" s="353">
        <f t="shared" si="119"/>
        <v>7.7876022367941763E-2</v>
      </c>
      <c r="N202" s="353">
        <f t="shared" si="119"/>
        <v>7.7876022367941763E-2</v>
      </c>
      <c r="O202" s="353">
        <f t="shared" si="119"/>
        <v>7.7876022367941763E-2</v>
      </c>
      <c r="P202" s="353">
        <f t="shared" si="119"/>
        <v>7.7876022367941763E-2</v>
      </c>
      <c r="Q202" s="353">
        <f t="shared" si="119"/>
        <v>7.7876022367941763E-2</v>
      </c>
      <c r="R202" s="353">
        <f t="shared" si="119"/>
        <v>7.7876022367941763E-2</v>
      </c>
      <c r="S202" s="353">
        <f t="shared" si="119"/>
        <v>7.7876022367941763E-2</v>
      </c>
      <c r="T202" s="353">
        <f t="shared" si="119"/>
        <v>7.7876022367941763E-2</v>
      </c>
      <c r="U202" s="353">
        <f t="shared" si="119"/>
        <v>7.7876022367941763E-2</v>
      </c>
      <c r="V202" s="353">
        <f t="shared" si="119"/>
        <v>7.7876022367941763E-2</v>
      </c>
      <c r="W202" s="353">
        <f t="shared" si="119"/>
        <v>7.7876022367941763E-2</v>
      </c>
      <c r="X202" s="353">
        <f t="shared" si="119"/>
        <v>7.7876022367941763E-2</v>
      </c>
      <c r="Y202" s="353">
        <f t="shared" si="119"/>
        <v>7.7876022367941763E-2</v>
      </c>
      <c r="Z202" s="353">
        <f t="shared" si="119"/>
        <v>7.7876022367941763E-2</v>
      </c>
      <c r="AA202" s="353">
        <f t="shared" si="119"/>
        <v>7.7876022367941763E-2</v>
      </c>
      <c r="AD202" s="319" t="s">
        <v>404</v>
      </c>
      <c r="AE202" s="320" t="s">
        <v>352</v>
      </c>
      <c r="AF202" s="177" t="s">
        <v>405</v>
      </c>
      <c r="AG202" s="287" t="s">
        <v>405</v>
      </c>
      <c r="AH202" s="319" t="s">
        <v>405</v>
      </c>
      <c r="AI202" s="287" t="s">
        <v>405</v>
      </c>
      <c r="AJ202" s="319" t="s">
        <v>405</v>
      </c>
      <c r="AK202" s="320" t="s">
        <v>405</v>
      </c>
      <c r="AM202" s="319" t="s">
        <v>406</v>
      </c>
      <c r="AN202" s="103" t="s">
        <v>407</v>
      </c>
      <c r="AO202" s="320" t="s">
        <v>407</v>
      </c>
    </row>
    <row r="203" spans="1:41" x14ac:dyDescent="0.25">
      <c r="AD203" s="329">
        <f>+AD190</f>
        <v>14.407500000000001</v>
      </c>
      <c r="AE203" s="325">
        <f>+AD190</f>
        <v>14.407500000000001</v>
      </c>
      <c r="AF203" s="288">
        <f>+H176</f>
        <v>1.2057228384312538E-2</v>
      </c>
      <c r="AG203" s="332">
        <f>+AA176</f>
        <v>0.61395468750000004</v>
      </c>
      <c r="AH203" s="329">
        <f>+AE203+AF203</f>
        <v>14.419557228384313</v>
      </c>
      <c r="AI203" s="334">
        <f>+AE203+AG203</f>
        <v>15.0214546875</v>
      </c>
      <c r="AJ203" s="321">
        <f>+AH203/$AH$207</f>
        <v>0.19340225566975741</v>
      </c>
      <c r="AK203" s="312">
        <f>+AI203/$AI$207</f>
        <v>0.19279207392641851</v>
      </c>
      <c r="AM203" s="322">
        <f>+AJ203/AH203</f>
        <v>1.3412496140245757E-2</v>
      </c>
      <c r="AN203" s="323">
        <f>+AJ203/AI203</f>
        <v>1.2875068340131916E-2</v>
      </c>
      <c r="AO203" s="324">
        <f>+AK203/AI203</f>
        <v>1.2834447657512764E-2</v>
      </c>
    </row>
    <row r="204" spans="1:41" x14ac:dyDescent="0.25">
      <c r="A204" s="187" t="s">
        <v>422</v>
      </c>
      <c r="B204" s="187" t="s">
        <v>420</v>
      </c>
      <c r="AD204" s="329">
        <f t="shared" ref="AD204:AD207" si="120">+AD191</f>
        <v>14.407500000000001</v>
      </c>
      <c r="AE204" s="325">
        <f>+AD191</f>
        <v>14.407500000000001</v>
      </c>
      <c r="AF204" s="288">
        <f>+H177</f>
        <v>3.9724332090399751E-2</v>
      </c>
      <c r="AG204" s="332">
        <f>+AA177</f>
        <v>0.61395468750000004</v>
      </c>
      <c r="AH204" s="329">
        <f t="shared" ref="AH204:AH206" si="121">+AE204+AF204</f>
        <v>14.4472243320904</v>
      </c>
      <c r="AI204" s="334">
        <f t="shared" ref="AI204:AI206" si="122">+AE204+AG204</f>
        <v>15.0214546875</v>
      </c>
      <c r="AJ204" s="321">
        <f>+AH204/$AH$207</f>
        <v>0.19377334059142709</v>
      </c>
      <c r="AK204" s="312">
        <f>+AI204/$AI$207</f>
        <v>0.19279207392641851</v>
      </c>
      <c r="AM204" s="322">
        <f t="shared" ref="AM204:AM207" si="123">+AJ204/AH204</f>
        <v>1.3412496140245759E-2</v>
      </c>
      <c r="AN204" s="323">
        <f t="shared" ref="AN204:AN207" si="124">+AJ204/AI204</f>
        <v>1.2899772000955023E-2</v>
      </c>
      <c r="AO204" s="324">
        <f t="shared" ref="AO204:AO207" si="125">+AK204/AI204</f>
        <v>1.2834447657512764E-2</v>
      </c>
    </row>
    <row r="205" spans="1:41" x14ac:dyDescent="0.25">
      <c r="A205" s="352" t="s">
        <v>352</v>
      </c>
      <c r="B205" s="352">
        <v>0</v>
      </c>
      <c r="C205" s="352">
        <v>0</v>
      </c>
      <c r="D205" s="352">
        <v>0</v>
      </c>
      <c r="E205" s="352">
        <v>0</v>
      </c>
      <c r="F205" s="352">
        <v>0</v>
      </c>
      <c r="G205" s="352">
        <v>0</v>
      </c>
      <c r="H205" s="352">
        <v>0</v>
      </c>
      <c r="I205" s="352">
        <v>0</v>
      </c>
      <c r="J205" s="352">
        <v>0</v>
      </c>
      <c r="K205" s="352">
        <v>0</v>
      </c>
      <c r="L205" s="352">
        <v>0</v>
      </c>
      <c r="M205" s="352">
        <v>0</v>
      </c>
      <c r="N205" s="352">
        <v>0</v>
      </c>
      <c r="O205" s="352">
        <v>0</v>
      </c>
      <c r="P205" s="352">
        <v>0</v>
      </c>
      <c r="Q205" s="352">
        <v>0</v>
      </c>
      <c r="R205" s="352">
        <v>0</v>
      </c>
      <c r="S205" s="352">
        <v>0</v>
      </c>
      <c r="T205" s="352">
        <v>0</v>
      </c>
      <c r="U205" s="352">
        <v>0</v>
      </c>
      <c r="V205" s="352">
        <v>0</v>
      </c>
      <c r="W205" s="352">
        <v>0</v>
      </c>
      <c r="X205" s="352">
        <v>0</v>
      </c>
      <c r="Y205" s="352">
        <v>0</v>
      </c>
      <c r="Z205" s="352">
        <v>0</v>
      </c>
      <c r="AA205" s="352">
        <v>0</v>
      </c>
      <c r="AD205" s="329">
        <f t="shared" si="120"/>
        <v>10.113</v>
      </c>
      <c r="AE205" s="325">
        <f>+AD192</f>
        <v>10.113</v>
      </c>
      <c r="AF205" s="288">
        <f>+H178</f>
        <v>7.9448664180799503E-2</v>
      </c>
      <c r="AG205" s="332">
        <f>+AA178</f>
        <v>1.2279093749999999</v>
      </c>
      <c r="AH205" s="329">
        <f t="shared" si="121"/>
        <v>10.1924486641808</v>
      </c>
      <c r="AI205" s="334">
        <f t="shared" si="122"/>
        <v>11.340909374999999</v>
      </c>
      <c r="AJ205" s="321">
        <f>+AH205/$AH$207</f>
        <v>0.13670617836797799</v>
      </c>
      <c r="AK205" s="312">
        <f>+AI205/$AI$207</f>
        <v>0.14555430776203329</v>
      </c>
      <c r="AM205" s="322">
        <f t="shared" si="123"/>
        <v>1.3412496140245757E-2</v>
      </c>
      <c r="AN205" s="323">
        <f t="shared" si="124"/>
        <v>1.2054251898823413E-2</v>
      </c>
      <c r="AO205" s="324">
        <f t="shared" si="125"/>
        <v>1.2834447657512765E-2</v>
      </c>
    </row>
    <row r="206" spans="1:41" x14ac:dyDescent="0.25">
      <c r="A206" s="352" t="s">
        <v>405</v>
      </c>
      <c r="B206" s="352">
        <v>0</v>
      </c>
      <c r="C206" s="352">
        <v>0</v>
      </c>
      <c r="D206" s="353">
        <f>'[1]Feed and Fodder (F) Zone.1'!$K$61/1000</f>
        <v>0.16509132499999998</v>
      </c>
      <c r="E206" s="353">
        <f>'[1]Feed and Fodder (F) Zone.1'!$K$61/1000</f>
        <v>0.16509132499999998</v>
      </c>
      <c r="F206" s="353">
        <f>'[1]Feed and Fodder (F) Zone.1'!$K$61/1000</f>
        <v>0.16509132499999998</v>
      </c>
      <c r="G206" s="353">
        <f>'[1]Feed and Fodder (F) Zone.1'!$K$61/1000</f>
        <v>0.16509132499999998</v>
      </c>
      <c r="H206" s="353">
        <f>'[1]Feed and Fodder (F) Zone.1'!$K$61/1000</f>
        <v>0.16509132499999998</v>
      </c>
      <c r="I206" s="353">
        <f>'[1]Feed and Fodder (F) Zone.1'!$K$61/1000</f>
        <v>0.16509132499999998</v>
      </c>
      <c r="J206" s="353">
        <f>'[1]Feed and Fodder (F) Zone.1'!$K$61/1000</f>
        <v>0.16509132499999998</v>
      </c>
      <c r="K206" s="353">
        <f>'[1]Feed and Fodder (F) Zone.1'!$K$61/1000</f>
        <v>0.16509132499999998</v>
      </c>
      <c r="L206" s="353">
        <f>'[1]Feed and Fodder (F) Zone.1'!$K$61/1000</f>
        <v>0.16509132499999998</v>
      </c>
      <c r="M206" s="353">
        <f>'[1]Feed and Fodder (F) Zone.1'!$K$61/1000</f>
        <v>0.16509132499999998</v>
      </c>
      <c r="N206" s="353">
        <f>'[1]Feed and Fodder (F) Zone.1'!$K$61/1000</f>
        <v>0.16509132499999998</v>
      </c>
      <c r="O206" s="353">
        <f>'[1]Feed and Fodder (F) Zone.1'!$K$61/1000</f>
        <v>0.16509132499999998</v>
      </c>
      <c r="P206" s="353">
        <f>'[1]Feed and Fodder (F) Zone.1'!$K$61/1000</f>
        <v>0.16509132499999998</v>
      </c>
      <c r="Q206" s="353">
        <f>'[1]Feed and Fodder (F) Zone.1'!$K$61/1000</f>
        <v>0.16509132499999998</v>
      </c>
      <c r="R206" s="353">
        <f>'[1]Feed and Fodder (F) Zone.1'!$K$61/1000</f>
        <v>0.16509132499999998</v>
      </c>
      <c r="S206" s="353">
        <f>'[1]Feed and Fodder (F) Zone.1'!$K$61/1000</f>
        <v>0.16509132499999998</v>
      </c>
      <c r="T206" s="353">
        <f>'[1]Feed and Fodder (F) Zone.1'!$K$61/1000</f>
        <v>0.16509132499999998</v>
      </c>
      <c r="U206" s="353">
        <f>'[1]Feed and Fodder (F) Zone.1'!$K$61/1000</f>
        <v>0.16509132499999998</v>
      </c>
      <c r="V206" s="353">
        <f>'[1]Feed and Fodder (F) Zone.1'!$K$61/1000</f>
        <v>0.16509132499999998</v>
      </c>
      <c r="W206" s="353">
        <f>'[1]Feed and Fodder (F) Zone.1'!$K$61/1000</f>
        <v>0.16509132499999998</v>
      </c>
      <c r="X206" s="353">
        <f>'[1]Feed and Fodder (F) Zone.1'!$K$61/1000</f>
        <v>0.16509132499999998</v>
      </c>
      <c r="Y206" s="353">
        <f>'[1]Feed and Fodder (F) Zone.1'!$K$61/1000</f>
        <v>0.16509132499999998</v>
      </c>
      <c r="Z206" s="353">
        <f>'[1]Feed and Fodder (F) Zone.1'!$K$61/1000</f>
        <v>0.16509132499999998</v>
      </c>
      <c r="AA206" s="353">
        <f>'[1]Feed and Fodder (F) Zone.1'!$K$61/1000</f>
        <v>0.16509132499999998</v>
      </c>
      <c r="AD206" s="329">
        <f t="shared" si="120"/>
        <v>35.478999999999999</v>
      </c>
      <c r="AE206" s="325">
        <f>+AD193</f>
        <v>35.478999999999999</v>
      </c>
      <c r="AF206" s="288">
        <f>+H179</f>
        <v>1.9107167553191487E-2</v>
      </c>
      <c r="AG206" s="332">
        <f>+AA179</f>
        <v>1.05249375</v>
      </c>
      <c r="AH206" s="329">
        <f t="shared" si="121"/>
        <v>35.498107167553194</v>
      </c>
      <c r="AI206" s="334">
        <f t="shared" si="122"/>
        <v>36.531493749999996</v>
      </c>
      <c r="AJ206" s="321">
        <f>+AH206/$AH$207</f>
        <v>0.47611822537083748</v>
      </c>
      <c r="AK206" s="312">
        <f>+AI206/$AI$207</f>
        <v>0.46886154438512961</v>
      </c>
      <c r="AM206" s="322">
        <f t="shared" si="123"/>
        <v>1.3412496140245757E-2</v>
      </c>
      <c r="AN206" s="323">
        <f t="shared" si="124"/>
        <v>1.3033089438639161E-2</v>
      </c>
      <c r="AO206" s="324">
        <f t="shared" si="125"/>
        <v>1.2834447657512764E-2</v>
      </c>
    </row>
    <row r="207" spans="1:41" ht="15.75" thickBot="1" x14ac:dyDescent="0.3">
      <c r="AD207" s="330">
        <f t="shared" si="120"/>
        <v>74.406999999999996</v>
      </c>
      <c r="AE207" s="327">
        <f>+SUM(AE203:AE206)</f>
        <v>74.406999999999996</v>
      </c>
      <c r="AF207" s="337">
        <f t="shared" ref="AF207:AI207" si="126">+SUM(AF203:AF206)</f>
        <v>0.15033739220870329</v>
      </c>
      <c r="AG207" s="333">
        <f t="shared" si="126"/>
        <v>3.5083124999999997</v>
      </c>
      <c r="AH207" s="330">
        <f t="shared" si="126"/>
        <v>74.557337392208709</v>
      </c>
      <c r="AI207" s="333">
        <f t="shared" si="126"/>
        <v>77.915312499999999</v>
      </c>
      <c r="AJ207" s="335">
        <f>+AH207/$AH$207</f>
        <v>1</v>
      </c>
      <c r="AK207" s="314">
        <f>+AI207/$AI$207</f>
        <v>1</v>
      </c>
      <c r="AM207" s="338">
        <f t="shared" si="123"/>
        <v>1.3412496140245757E-2</v>
      </c>
      <c r="AN207" s="339">
        <f t="shared" si="124"/>
        <v>1.2834447657512765E-2</v>
      </c>
      <c r="AO207" s="340">
        <f t="shared" si="125"/>
        <v>1.2834447657512765E-2</v>
      </c>
    </row>
    <row r="208" spans="1:41" s="187" customFormat="1" x14ac:dyDescent="0.25">
      <c r="A208" s="187" t="s">
        <v>423</v>
      </c>
      <c r="AD208" s="150"/>
      <c r="AE208" s="150"/>
      <c r="AF208" s="150"/>
      <c r="AG208" s="150"/>
      <c r="AH208" s="150"/>
      <c r="AI208" s="150"/>
      <c r="AJ208" s="299"/>
      <c r="AK208" s="299"/>
      <c r="AM208" s="304"/>
      <c r="AN208" s="304"/>
      <c r="AO208" s="304"/>
    </row>
    <row r="209" spans="1:41" s="187" customFormat="1" x14ac:dyDescent="0.25">
      <c r="A209" s="355" t="s">
        <v>352</v>
      </c>
      <c r="B209" s="356">
        <f>+B197+B201+B205</f>
        <v>1.4382273749781607</v>
      </c>
      <c r="C209" s="356">
        <f t="shared" ref="C209:AA209" si="127">+C197+C201+C205</f>
        <v>1.4411038297281169</v>
      </c>
      <c r="D209" s="356">
        <f t="shared" si="127"/>
        <v>1.443986037387573</v>
      </c>
      <c r="E209" s="356">
        <f t="shared" si="127"/>
        <v>1.4468740094623482</v>
      </c>
      <c r="F209" s="356">
        <f t="shared" si="127"/>
        <v>1.4497677574812728</v>
      </c>
      <c r="G209" s="356">
        <f t="shared" si="127"/>
        <v>1.4526672929962354</v>
      </c>
      <c r="H209" s="356">
        <f t="shared" si="127"/>
        <v>1.4555726275822278</v>
      </c>
      <c r="I209" s="356">
        <f t="shared" si="127"/>
        <v>1.4584837728373923</v>
      </c>
      <c r="J209" s="356">
        <f t="shared" si="127"/>
        <v>1.4614007403830671</v>
      </c>
      <c r="K209" s="356">
        <f t="shared" si="127"/>
        <v>1.4643235418638332</v>
      </c>
      <c r="L209" s="356">
        <f t="shared" si="127"/>
        <v>1.4672521889475609</v>
      </c>
      <c r="M209" s="356">
        <f t="shared" si="127"/>
        <v>1.4701866933254562</v>
      </c>
      <c r="N209" s="356">
        <f t="shared" si="127"/>
        <v>1.473127066712107</v>
      </c>
      <c r="O209" s="356">
        <f t="shared" si="127"/>
        <v>1.4760733208455312</v>
      </c>
      <c r="P209" s="356">
        <f t="shared" si="127"/>
        <v>1.4790254674872223</v>
      </c>
      <c r="Q209" s="356">
        <f t="shared" si="127"/>
        <v>1.4819835184221968</v>
      </c>
      <c r="R209" s="356">
        <f t="shared" si="127"/>
        <v>1.4849474854590412</v>
      </c>
      <c r="S209" s="356">
        <f t="shared" si="127"/>
        <v>1.4879173804299592</v>
      </c>
      <c r="T209" s="356">
        <f t="shared" si="127"/>
        <v>1.4908932151908192</v>
      </c>
      <c r="U209" s="356">
        <f t="shared" si="127"/>
        <v>1.4938750016212008</v>
      </c>
      <c r="V209" s="356">
        <f t="shared" si="127"/>
        <v>1.4968627516244433</v>
      </c>
      <c r="W209" s="356">
        <f t="shared" si="127"/>
        <v>1.4998564771276921</v>
      </c>
      <c r="X209" s="356">
        <f t="shared" si="127"/>
        <v>1.5028561900819475</v>
      </c>
      <c r="Y209" s="356">
        <f t="shared" si="127"/>
        <v>1.5058619024621114</v>
      </c>
      <c r="Z209" s="356">
        <f t="shared" si="127"/>
        <v>1.5088736262670357</v>
      </c>
      <c r="AA209" s="356">
        <f t="shared" si="127"/>
        <v>1.5118913735195698</v>
      </c>
      <c r="AD209" s="150"/>
      <c r="AE209" s="150"/>
      <c r="AF209" s="150"/>
      <c r="AG209" s="150"/>
      <c r="AH209" s="150"/>
      <c r="AI209" s="150"/>
      <c r="AJ209" s="299"/>
      <c r="AK209" s="299"/>
      <c r="AM209" s="304"/>
      <c r="AN209" s="304"/>
      <c r="AO209" s="304"/>
    </row>
    <row r="210" spans="1:41" s="187" customFormat="1" x14ac:dyDescent="0.25">
      <c r="A210" s="355" t="s">
        <v>405</v>
      </c>
      <c r="B210" s="356">
        <f>+B198+B202+B206</f>
        <v>1.4382273749781607</v>
      </c>
      <c r="C210" s="356">
        <f t="shared" ref="C210:AA210" si="128">+C198+C202+C206</f>
        <v>1.4411038297281169</v>
      </c>
      <c r="D210" s="356">
        <f t="shared" si="128"/>
        <v>1.6869533847555147</v>
      </c>
      <c r="E210" s="356">
        <f t="shared" si="128"/>
        <v>1.6898413568302899</v>
      </c>
      <c r="F210" s="356">
        <f t="shared" si="128"/>
        <v>1.6927351048492145</v>
      </c>
      <c r="G210" s="356">
        <f t="shared" si="128"/>
        <v>1.6956346403641771</v>
      </c>
      <c r="H210" s="356">
        <f t="shared" si="128"/>
        <v>1.6985399749501695</v>
      </c>
      <c r="I210" s="356">
        <f t="shared" si="128"/>
        <v>2.3569017146159386</v>
      </c>
      <c r="J210" s="356">
        <f t="shared" si="128"/>
        <v>2.2402061924385976</v>
      </c>
      <c r="K210" s="356">
        <f t="shared" si="128"/>
        <v>2.2096610282694082</v>
      </c>
      <c r="L210" s="356">
        <f t="shared" si="128"/>
        <v>2.1907020073896479</v>
      </c>
      <c r="M210" s="356">
        <f t="shared" si="128"/>
        <v>2.1851647578386202</v>
      </c>
      <c r="N210" s="356">
        <f t="shared" si="128"/>
        <v>2.178217830726541</v>
      </c>
      <c r="O210" s="356">
        <f t="shared" si="128"/>
        <v>2.1722051505513837</v>
      </c>
      <c r="P210" s="356">
        <f t="shared" si="128"/>
        <v>2.1721958061320774</v>
      </c>
      <c r="Q210" s="356">
        <f t="shared" si="128"/>
        <v>2.1772732980039553</v>
      </c>
      <c r="R210" s="356">
        <f t="shared" si="128"/>
        <v>2.1844491679827711</v>
      </c>
      <c r="S210" s="356">
        <f t="shared" si="128"/>
        <v>2.1952995146629211</v>
      </c>
      <c r="T210" s="356">
        <f t="shared" si="128"/>
        <v>2.2125144597051434</v>
      </c>
      <c r="U210" s="356">
        <f t="shared" si="128"/>
        <v>2.2300732789802358</v>
      </c>
      <c r="V210" s="356">
        <f t="shared" si="128"/>
        <v>2.247798047956862</v>
      </c>
      <c r="W210" s="356">
        <f t="shared" si="128"/>
        <v>2.2657023767812499</v>
      </c>
      <c r="X210" s="356">
        <f t="shared" si="128"/>
        <v>2.2837880656761929</v>
      </c>
      <c r="Y210" s="356">
        <f t="shared" si="128"/>
        <v>2.3020569328759621</v>
      </c>
      <c r="Z210" s="356">
        <f t="shared" si="128"/>
        <v>2.3205108148064366</v>
      </c>
      <c r="AA210" s="356">
        <f t="shared" si="128"/>
        <v>2.3391515662670415</v>
      </c>
      <c r="AD210" s="150"/>
      <c r="AE210" s="150"/>
      <c r="AF210" s="150"/>
      <c r="AG210" s="150"/>
      <c r="AH210" s="150"/>
      <c r="AI210" s="150"/>
      <c r="AJ210" s="299"/>
      <c r="AK210" s="299"/>
      <c r="AM210" s="304"/>
      <c r="AN210" s="304"/>
      <c r="AO210" s="304"/>
    </row>
    <row r="211" spans="1:41" s="187" customFormat="1" x14ac:dyDescent="0.25">
      <c r="H211" s="187">
        <f>+H209/B209</f>
        <v>1.012060160240192</v>
      </c>
      <c r="AD211" s="150"/>
      <c r="AE211" s="150"/>
      <c r="AF211" s="150"/>
      <c r="AG211" s="150"/>
      <c r="AH211" s="150"/>
      <c r="AI211" s="150"/>
      <c r="AJ211" s="299"/>
      <c r="AK211" s="299"/>
      <c r="AM211" s="304"/>
      <c r="AN211" s="304"/>
      <c r="AO211" s="304"/>
    </row>
    <row r="212" spans="1:41" x14ac:dyDescent="0.25">
      <c r="H212" s="108">
        <f>+H210/B210</f>
        <v>1.1809954423763918</v>
      </c>
      <c r="AM212" s="187"/>
      <c r="AN212" s="187"/>
      <c r="AO212" s="187"/>
    </row>
    <row r="213" spans="1:41" x14ac:dyDescent="0.25">
      <c r="B213" s="299">
        <f>+C213/$D$213</f>
        <v>5.4147225760547278E-2</v>
      </c>
      <c r="C213" s="139">
        <f>+E213*1000/365</f>
        <v>0.21335896539162125</v>
      </c>
      <c r="D213" s="139">
        <f>+AH194/365</f>
        <v>3.9403489725429059</v>
      </c>
      <c r="E213" s="139">
        <f>+E202</f>
        <v>7.7876022367941763E-2</v>
      </c>
      <c r="F213" s="108">
        <f>+E213/D213</f>
        <v>1.9763737402599759E-2</v>
      </c>
      <c r="G213" s="108">
        <f>0.2/B197</f>
        <v>0.13906007038910451</v>
      </c>
      <c r="I213" s="139">
        <f>+AH194/1000</f>
        <v>1.4382273749781607</v>
      </c>
      <c r="J213" s="139">
        <f>+E213</f>
        <v>7.7876022367941763E-2</v>
      </c>
      <c r="K213" s="299">
        <f>+J213/I213</f>
        <v>5.4147225760547285E-2</v>
      </c>
      <c r="AD213" s="187" t="s">
        <v>415</v>
      </c>
      <c r="AJ213" s="112">
        <f>+SUMPRODUCT(AJ203:AJ206,AJ190:AJ193)</f>
        <v>407.51805043192934</v>
      </c>
      <c r="AK213" s="112">
        <f>+SUMPRODUCT(AK203:AK206,AK190:AK193)</f>
        <v>665.55195794695487</v>
      </c>
      <c r="AM213" s="187"/>
      <c r="AN213" s="304">
        <f>+AN207/6</f>
        <v>2.139074609585461E-3</v>
      </c>
      <c r="AO213" s="304">
        <f>+AO207/25</f>
        <v>5.1337790630051063E-4</v>
      </c>
    </row>
    <row r="214" spans="1:41" x14ac:dyDescent="0.25">
      <c r="B214" s="299">
        <f>+C214/$D$213</f>
        <v>0.11478805637565262</v>
      </c>
      <c r="C214" s="139">
        <f>+E214*1000/365</f>
        <v>0.45230499999999996</v>
      </c>
      <c r="E214" s="139">
        <f>+E206</f>
        <v>0.16509132499999998</v>
      </c>
      <c r="F214" s="108">
        <f>+E214/D213</f>
        <v>4.1897640577113204E-2</v>
      </c>
      <c r="J214" s="139">
        <f>+E214</f>
        <v>0.16509132499999998</v>
      </c>
      <c r="K214" s="299">
        <f>+J214/I213</f>
        <v>0.11478805637565262</v>
      </c>
    </row>
    <row r="215" spans="1:41" x14ac:dyDescent="0.25">
      <c r="G215" s="108">
        <f>+G206/B197</f>
        <v>0.11478805637565262</v>
      </c>
    </row>
    <row r="218" spans="1:41" x14ac:dyDescent="0.25">
      <c r="B218" s="187" t="s">
        <v>404</v>
      </c>
      <c r="C218" s="187" t="s">
        <v>354</v>
      </c>
      <c r="D218" s="187" t="s">
        <v>355</v>
      </c>
      <c r="E218" s="187" t="s">
        <v>356</v>
      </c>
      <c r="F218" s="187" t="s">
        <v>357</v>
      </c>
      <c r="G218" s="187" t="s">
        <v>358</v>
      </c>
      <c r="H218" s="187" t="s">
        <v>359</v>
      </c>
      <c r="I218" s="187" t="s">
        <v>360</v>
      </c>
      <c r="J218" s="187" t="s">
        <v>361</v>
      </c>
      <c r="K218" s="187" t="s">
        <v>362</v>
      </c>
      <c r="L218" s="187" t="s">
        <v>363</v>
      </c>
      <c r="M218" s="187" t="s">
        <v>364</v>
      </c>
      <c r="N218" s="187" t="s">
        <v>365</v>
      </c>
      <c r="O218" s="187" t="s">
        <v>366</v>
      </c>
      <c r="P218" s="187" t="s">
        <v>367</v>
      </c>
      <c r="Q218" s="187" t="s">
        <v>368</v>
      </c>
      <c r="R218" s="187" t="s">
        <v>369</v>
      </c>
      <c r="S218" s="187" t="s">
        <v>370</v>
      </c>
      <c r="T218" s="187" t="s">
        <v>371</v>
      </c>
      <c r="U218" s="187" t="s">
        <v>372</v>
      </c>
      <c r="V218" s="187" t="s">
        <v>373</v>
      </c>
      <c r="W218" s="187" t="s">
        <v>374</v>
      </c>
      <c r="X218" s="187" t="s">
        <v>375</v>
      </c>
      <c r="Y218" s="187" t="s">
        <v>376</v>
      </c>
      <c r="Z218" s="187" t="s">
        <v>377</v>
      </c>
      <c r="AA218" s="187" t="s">
        <v>396</v>
      </c>
    </row>
    <row r="219" spans="1:41" x14ac:dyDescent="0.25">
      <c r="A219" s="187" t="s">
        <v>423</v>
      </c>
    </row>
    <row r="220" spans="1:41" x14ac:dyDescent="0.25">
      <c r="A220" s="355" t="s">
        <v>352</v>
      </c>
      <c r="B220" s="356">
        <f>+AH194</f>
        <v>1438.2273749781607</v>
      </c>
      <c r="C220" s="356">
        <f t="shared" ref="C220:Z221" si="129">+SUM(C197,C201,C205)</f>
        <v>1.4411038297281169</v>
      </c>
      <c r="D220" s="356">
        <f t="shared" ref="D220:E220" si="130">+SUM(D197,D201,D205)</f>
        <v>1.443986037387573</v>
      </c>
      <c r="E220" s="356">
        <f t="shared" si="130"/>
        <v>1.4468740094623482</v>
      </c>
      <c r="F220" s="356">
        <f t="shared" si="129"/>
        <v>1.4497677574812728</v>
      </c>
      <c r="G220" s="356">
        <f t="shared" si="129"/>
        <v>1.4526672929962354</v>
      </c>
      <c r="H220" s="356">
        <f t="shared" si="129"/>
        <v>1.4555726275822278</v>
      </c>
      <c r="I220" s="356">
        <f t="shared" si="129"/>
        <v>1.4584837728373923</v>
      </c>
      <c r="J220" s="356">
        <f t="shared" si="129"/>
        <v>1.4614007403830671</v>
      </c>
      <c r="K220" s="356">
        <f t="shared" si="129"/>
        <v>1.4643235418638332</v>
      </c>
      <c r="L220" s="356">
        <f t="shared" si="129"/>
        <v>1.4672521889475609</v>
      </c>
      <c r="M220" s="356">
        <f t="shared" si="129"/>
        <v>1.4701866933254562</v>
      </c>
      <c r="N220" s="356">
        <f t="shared" si="129"/>
        <v>1.473127066712107</v>
      </c>
      <c r="O220" s="356">
        <f t="shared" si="129"/>
        <v>1.4760733208455312</v>
      </c>
      <c r="P220" s="356">
        <f t="shared" si="129"/>
        <v>1.4790254674872223</v>
      </c>
      <c r="Q220" s="356">
        <f t="shared" si="129"/>
        <v>1.4819835184221968</v>
      </c>
      <c r="R220" s="356">
        <f t="shared" si="129"/>
        <v>1.4849474854590412</v>
      </c>
      <c r="S220" s="356">
        <f t="shared" si="129"/>
        <v>1.4879173804299592</v>
      </c>
      <c r="T220" s="356">
        <f t="shared" si="129"/>
        <v>1.4908932151908192</v>
      </c>
      <c r="U220" s="356">
        <f t="shared" si="129"/>
        <v>1.4938750016212008</v>
      </c>
      <c r="V220" s="356">
        <f t="shared" si="129"/>
        <v>1.4968627516244433</v>
      </c>
      <c r="W220" s="356">
        <f t="shared" si="129"/>
        <v>1.4998564771276921</v>
      </c>
      <c r="X220" s="356">
        <f t="shared" si="129"/>
        <v>1.5028561900819475</v>
      </c>
      <c r="Y220" s="356">
        <f t="shared" si="129"/>
        <v>1.5058619024621114</v>
      </c>
      <c r="Z220" s="356">
        <f t="shared" si="129"/>
        <v>1.5088736262670357</v>
      </c>
      <c r="AA220" s="356"/>
    </row>
    <row r="221" spans="1:41" x14ac:dyDescent="0.25">
      <c r="A221" s="355" t="s">
        <v>405</v>
      </c>
      <c r="B221" s="356">
        <f>+SUM(B198,B202,B206)</f>
        <v>1.4382273749781607</v>
      </c>
      <c r="C221" s="356">
        <f t="shared" si="129"/>
        <v>1.4411038297281169</v>
      </c>
      <c r="D221" s="356">
        <f t="shared" ref="D221:E221" si="131">+SUM(D198,D202,D206)</f>
        <v>1.6869533847555147</v>
      </c>
      <c r="E221" s="356">
        <f t="shared" si="131"/>
        <v>1.6898413568302899</v>
      </c>
      <c r="F221" s="356">
        <f t="shared" ref="F221" si="132">+F198</f>
        <v>1.4497677574812728</v>
      </c>
      <c r="G221" s="356"/>
      <c r="H221" s="356"/>
      <c r="I221" s="356"/>
      <c r="J221" s="356"/>
      <c r="K221" s="356"/>
      <c r="L221" s="356"/>
      <c r="M221" s="356"/>
      <c r="N221" s="356"/>
      <c r="O221" s="356"/>
      <c r="P221" s="356"/>
      <c r="Q221" s="356"/>
      <c r="R221" s="356"/>
      <c r="S221" s="356"/>
      <c r="T221" s="356"/>
      <c r="U221" s="356"/>
      <c r="V221" s="356"/>
      <c r="W221" s="356"/>
      <c r="X221" s="356"/>
      <c r="Y221" s="356"/>
      <c r="Z221" s="356"/>
      <c r="AA221" s="356"/>
    </row>
  </sheetData>
  <mergeCells count="5">
    <mergeCell ref="A3:H3"/>
    <mergeCell ref="A4:H4"/>
    <mergeCell ref="A5:H5"/>
    <mergeCell ref="A6:H6"/>
    <mergeCell ref="A7:H7"/>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C143"/>
  <sheetViews>
    <sheetView workbookViewId="0">
      <pane xSplit="1" ySplit="1" topLeftCell="B2" activePane="bottomRight" state="frozen"/>
      <selection pane="topRight" activeCell="B1" sqref="B1"/>
      <selection pane="bottomLeft" activeCell="A2" sqref="A2"/>
      <selection pane="bottomRight" activeCell="A17" sqref="A17"/>
    </sheetView>
  </sheetViews>
  <sheetFormatPr defaultRowHeight="15" x14ac:dyDescent="0.25"/>
  <cols>
    <col min="1" max="1" width="36.5703125" style="108" customWidth="1"/>
    <col min="2" max="2" width="13.5703125" style="108" customWidth="1"/>
    <col min="3" max="3" width="9.140625" style="108"/>
    <col min="4" max="4" width="14.42578125" style="108" bestFit="1" customWidth="1"/>
    <col min="5" max="7" width="14.28515625" style="108" bestFit="1" customWidth="1"/>
    <col min="8" max="16" width="15.42578125" style="108" bestFit="1" customWidth="1"/>
    <col min="17" max="28" width="15" style="108" customWidth="1"/>
    <col min="29" max="16384" width="9.140625" style="108"/>
  </cols>
  <sheetData>
    <row r="1" spans="1:29" x14ac:dyDescent="0.25">
      <c r="A1" s="103"/>
      <c r="B1" s="104" t="s">
        <v>47</v>
      </c>
      <c r="C1" s="105" t="s">
        <v>4</v>
      </c>
      <c r="D1" s="105" t="s">
        <v>5</v>
      </c>
      <c r="E1" s="105" t="s">
        <v>6</v>
      </c>
      <c r="F1" s="105" t="s">
        <v>7</v>
      </c>
      <c r="G1" s="105" t="s">
        <v>8</v>
      </c>
      <c r="H1" s="105" t="s">
        <v>9</v>
      </c>
      <c r="I1" s="106" t="s">
        <v>48</v>
      </c>
      <c r="J1" s="104" t="s">
        <v>49</v>
      </c>
      <c r="K1" s="104" t="s">
        <v>121</v>
      </c>
      <c r="L1" s="104" t="s">
        <v>122</v>
      </c>
      <c r="M1" s="104" t="s">
        <v>123</v>
      </c>
      <c r="N1" s="104" t="s">
        <v>124</v>
      </c>
      <c r="O1" s="104" t="s">
        <v>125</v>
      </c>
      <c r="P1" s="104" t="s">
        <v>126</v>
      </c>
      <c r="Q1" s="104" t="s">
        <v>127</v>
      </c>
      <c r="R1" s="104" t="s">
        <v>196</v>
      </c>
      <c r="S1" s="107" t="s">
        <v>167</v>
      </c>
      <c r="T1" s="107" t="s">
        <v>168</v>
      </c>
      <c r="U1" s="107" t="s">
        <v>169</v>
      </c>
      <c r="V1" s="107" t="s">
        <v>170</v>
      </c>
      <c r="W1" s="107" t="s">
        <v>171</v>
      </c>
      <c r="X1" s="107" t="s">
        <v>172</v>
      </c>
      <c r="Y1" s="107" t="s">
        <v>173</v>
      </c>
      <c r="Z1" s="107" t="s">
        <v>174</v>
      </c>
      <c r="AA1" s="107" t="s">
        <v>175</v>
      </c>
      <c r="AB1" s="107" t="s">
        <v>176</v>
      </c>
      <c r="AC1" s="107" t="s">
        <v>177</v>
      </c>
    </row>
    <row r="2" spans="1:29" x14ac:dyDescent="0.25">
      <c r="A2" s="109" t="s">
        <v>129</v>
      </c>
    </row>
    <row r="3" spans="1:29" x14ac:dyDescent="0.25">
      <c r="A3" s="426" t="s">
        <v>263</v>
      </c>
      <c r="B3" s="426"/>
      <c r="C3" s="426"/>
      <c r="D3" s="426"/>
      <c r="E3" s="426"/>
      <c r="F3" s="426"/>
      <c r="G3" s="426"/>
      <c r="H3" s="426"/>
    </row>
    <row r="4" spans="1:29" ht="30" customHeight="1" x14ac:dyDescent="0.25">
      <c r="A4" s="425" t="s">
        <v>329</v>
      </c>
      <c r="B4" s="425"/>
      <c r="C4" s="425"/>
      <c r="D4" s="425"/>
      <c r="E4" s="425"/>
      <c r="F4" s="425"/>
      <c r="G4" s="425"/>
      <c r="H4" s="425"/>
    </row>
    <row r="5" spans="1:29" ht="31.5" customHeight="1" x14ac:dyDescent="0.25">
      <c r="A5" s="425" t="s">
        <v>230</v>
      </c>
      <c r="B5" s="425"/>
      <c r="C5" s="425"/>
      <c r="D5" s="425"/>
      <c r="E5" s="425"/>
      <c r="F5" s="425"/>
      <c r="G5" s="425"/>
      <c r="H5" s="425"/>
    </row>
    <row r="6" spans="1:29" ht="17.25" customHeight="1" x14ac:dyDescent="0.25">
      <c r="A6" s="425" t="s">
        <v>326</v>
      </c>
      <c r="B6" s="425"/>
      <c r="C6" s="425"/>
      <c r="D6" s="425"/>
      <c r="E6" s="425"/>
      <c r="F6" s="425"/>
      <c r="G6" s="425"/>
      <c r="H6" s="425"/>
    </row>
    <row r="7" spans="1:29" ht="15" customHeight="1" x14ac:dyDescent="0.25">
      <c r="A7" s="426" t="s">
        <v>227</v>
      </c>
      <c r="B7" s="426"/>
      <c r="C7" s="426"/>
      <c r="D7" s="426"/>
      <c r="E7" s="426"/>
      <c r="F7" s="426"/>
      <c r="G7" s="426"/>
      <c r="H7" s="426"/>
    </row>
    <row r="8" spans="1:29" x14ac:dyDescent="0.25">
      <c r="A8" s="425" t="s">
        <v>62</v>
      </c>
      <c r="B8" s="425"/>
      <c r="C8" s="425"/>
      <c r="D8" s="425"/>
      <c r="E8" s="425"/>
      <c r="F8" s="425"/>
      <c r="G8" s="425"/>
      <c r="H8" s="425"/>
    </row>
    <row r="9" spans="1:29" ht="30.75" customHeight="1" x14ac:dyDescent="0.25">
      <c r="A9" s="425" t="s">
        <v>63</v>
      </c>
      <c r="B9" s="425"/>
      <c r="C9" s="425"/>
      <c r="D9" s="425"/>
      <c r="E9" s="425"/>
      <c r="F9" s="425"/>
      <c r="G9" s="425"/>
      <c r="H9" s="425"/>
    </row>
    <row r="10" spans="1:29" ht="61.5" customHeight="1" x14ac:dyDescent="0.25">
      <c r="A10" s="426" t="s">
        <v>264</v>
      </c>
      <c r="B10" s="426"/>
      <c r="C10" s="426"/>
      <c r="D10" s="426"/>
      <c r="E10" s="426"/>
      <c r="F10" s="426"/>
      <c r="G10" s="426"/>
      <c r="H10" s="426"/>
      <c r="I10" s="118"/>
    </row>
    <row r="11" spans="1:29" ht="45" customHeight="1" x14ac:dyDescent="0.25">
      <c r="A11" s="426" t="s">
        <v>228</v>
      </c>
      <c r="B11" s="426"/>
      <c r="C11" s="426"/>
      <c r="D11" s="426"/>
      <c r="E11" s="426"/>
      <c r="F11" s="426"/>
      <c r="G11" s="426"/>
      <c r="H11" s="426"/>
      <c r="I11" s="111"/>
    </row>
    <row r="12" spans="1:29" x14ac:dyDescent="0.25">
      <c r="B12" s="110"/>
      <c r="C12" s="112"/>
      <c r="D12" s="112"/>
      <c r="E12" s="112"/>
      <c r="F12" s="112"/>
      <c r="G12" s="112"/>
      <c r="H12" s="112"/>
      <c r="I12" s="111"/>
    </row>
    <row r="13" spans="1:29" ht="25.5" x14ac:dyDescent="0.25">
      <c r="A13" s="107" t="s">
        <v>50</v>
      </c>
      <c r="B13" s="113" t="s">
        <v>47</v>
      </c>
      <c r="C13" s="114" t="s">
        <v>134</v>
      </c>
      <c r="D13" s="115" t="s">
        <v>135</v>
      </c>
      <c r="E13" s="115" t="s">
        <v>14</v>
      </c>
      <c r="F13" s="116"/>
      <c r="G13" s="112"/>
      <c r="H13" s="112"/>
      <c r="I13" s="111"/>
    </row>
    <row r="14" spans="1:29" x14ac:dyDescent="0.25">
      <c r="A14" s="103" t="s">
        <v>327</v>
      </c>
      <c r="B14" s="133" t="s">
        <v>51</v>
      </c>
      <c r="C14" s="210">
        <f>Assumptions!C3</f>
        <v>779.6400000000001</v>
      </c>
      <c r="D14" s="210">
        <f>Assumptions!D3</f>
        <v>2507.1849999999999</v>
      </c>
      <c r="E14" s="210">
        <f>Assumptions!E3</f>
        <v>1668.415</v>
      </c>
      <c r="F14" s="117"/>
    </row>
    <row r="15" spans="1:29" x14ac:dyDescent="0.25">
      <c r="A15" s="103" t="s">
        <v>52</v>
      </c>
      <c r="B15" s="133" t="s">
        <v>53</v>
      </c>
      <c r="C15" s="133">
        <f>Assumptions!C4</f>
        <v>4</v>
      </c>
      <c r="D15" s="133">
        <f>Assumptions!D4</f>
        <v>3</v>
      </c>
      <c r="E15" s="133">
        <f>Assumptions!E4</f>
        <v>4</v>
      </c>
      <c r="F15" s="117"/>
    </row>
    <row r="16" spans="1:29" x14ac:dyDescent="0.25">
      <c r="A16" s="120" t="s">
        <v>77</v>
      </c>
      <c r="B16" s="133" t="s">
        <v>54</v>
      </c>
      <c r="C16" s="133">
        <f>Assumptions!C5</f>
        <v>5</v>
      </c>
      <c r="D16" s="133">
        <f>Assumptions!D5</f>
        <v>5</v>
      </c>
      <c r="E16" s="133">
        <f>Assumptions!E5</f>
        <v>5</v>
      </c>
      <c r="F16" s="117"/>
      <c r="G16" s="119"/>
    </row>
    <row r="17" spans="1:28" x14ac:dyDescent="0.25">
      <c r="A17" s="120" t="s">
        <v>178</v>
      </c>
      <c r="B17" s="134" t="s">
        <v>137</v>
      </c>
      <c r="C17" s="211">
        <f>Assumptions!C6</f>
        <v>0.01</v>
      </c>
      <c r="D17" s="211">
        <f>Assumptions!D6</f>
        <v>0.01</v>
      </c>
      <c r="E17" s="211">
        <f>Assumptions!E6</f>
        <v>0.01</v>
      </c>
      <c r="F17" s="117"/>
      <c r="G17" s="119"/>
    </row>
    <row r="18" spans="1:28" x14ac:dyDescent="0.25">
      <c r="A18" s="120" t="s">
        <v>78</v>
      </c>
      <c r="B18" s="133"/>
      <c r="C18" s="212">
        <f>Assumptions!C7</f>
        <v>0.9</v>
      </c>
      <c r="D18" s="212">
        <f>Assumptions!D7</f>
        <v>0.9</v>
      </c>
      <c r="E18" s="212">
        <f>Assumptions!E7</f>
        <v>0.9</v>
      </c>
      <c r="F18" s="117"/>
      <c r="G18" s="119"/>
    </row>
    <row r="19" spans="1:28" x14ac:dyDescent="0.25">
      <c r="A19" s="120" t="s">
        <v>79</v>
      </c>
      <c r="B19" s="133"/>
      <c r="C19" s="212">
        <f>Assumptions!C8</f>
        <v>0.9</v>
      </c>
      <c r="D19" s="212">
        <f>Assumptions!D8</f>
        <v>0.9</v>
      </c>
      <c r="E19" s="212">
        <f>Assumptions!E8</f>
        <v>0.9</v>
      </c>
      <c r="F19" s="117"/>
      <c r="G19" s="119"/>
    </row>
    <row r="20" spans="1:28" x14ac:dyDescent="0.25">
      <c r="A20" s="120" t="s">
        <v>136</v>
      </c>
      <c r="B20" s="133" t="s">
        <v>137</v>
      </c>
      <c r="C20" s="212">
        <f>Assumptions!C9</f>
        <v>0.2</v>
      </c>
      <c r="D20" s="212">
        <f>Assumptions!D9</f>
        <v>0.5</v>
      </c>
      <c r="E20" s="212">
        <f>Assumptions!E9</f>
        <v>0.3</v>
      </c>
      <c r="F20" s="117"/>
    </row>
    <row r="21" spans="1:28" x14ac:dyDescent="0.25">
      <c r="A21" s="123"/>
      <c r="B21" s="126"/>
      <c r="C21" s="124"/>
      <c r="D21" s="124"/>
      <c r="E21" s="124"/>
      <c r="F21" s="117"/>
    </row>
    <row r="22" spans="1:28" ht="25.5" x14ac:dyDescent="0.25">
      <c r="A22" s="123"/>
      <c r="B22" s="126"/>
      <c r="C22" s="127" t="s">
        <v>75</v>
      </c>
      <c r="D22" s="104" t="s">
        <v>74</v>
      </c>
      <c r="E22" s="124"/>
      <c r="F22" s="117"/>
    </row>
    <row r="23" spans="1:28" x14ac:dyDescent="0.25">
      <c r="A23" s="103" t="s">
        <v>43</v>
      </c>
      <c r="B23" s="103"/>
      <c r="C23" s="128">
        <f>Assumptions!B14</f>
        <v>0.35</v>
      </c>
      <c r="D23" s="128">
        <f>Assumptions!C15</f>
        <v>0.38</v>
      </c>
      <c r="E23" s="124"/>
      <c r="F23" s="117"/>
    </row>
    <row r="24" spans="1:28" x14ac:dyDescent="0.25">
      <c r="A24" s="123" t="s">
        <v>334</v>
      </c>
      <c r="B24" s="126" t="s">
        <v>336</v>
      </c>
      <c r="C24" s="133">
        <f>+Assumptions!C26</f>
        <v>305</v>
      </c>
      <c r="D24" s="133">
        <f>+Assumptions!D26</f>
        <v>305</v>
      </c>
      <c r="E24" s="133">
        <f>+Assumptions!E26</f>
        <v>305</v>
      </c>
      <c r="F24" s="117"/>
    </row>
    <row r="25" spans="1:28" ht="30" x14ac:dyDescent="0.25">
      <c r="A25" s="120" t="s">
        <v>236</v>
      </c>
      <c r="B25" s="103" t="s">
        <v>58</v>
      </c>
      <c r="C25" s="176">
        <f>'Semen production'!G40</f>
        <v>0</v>
      </c>
      <c r="D25" s="176">
        <f>'Semen production'!H40</f>
        <v>10</v>
      </c>
      <c r="E25" s="176">
        <f>'Semen production'!I40</f>
        <v>31.957599999999999</v>
      </c>
      <c r="F25" s="176">
        <f>'Semen production'!J40</f>
        <v>56</v>
      </c>
      <c r="G25" s="176">
        <f>'Semen production'!K40</f>
        <v>76.983838719999994</v>
      </c>
      <c r="H25" s="176">
        <f>'Semen production'!L40</f>
        <v>90</v>
      </c>
      <c r="I25" s="103">
        <f>58.8+41.5</f>
        <v>100.3</v>
      </c>
      <c r="J25" s="177">
        <f>72.58+58.8</f>
        <v>131.38</v>
      </c>
      <c r="K25" s="103">
        <f>89.07+72.58</f>
        <v>161.64999999999998</v>
      </c>
      <c r="L25" s="103">
        <f>98+89.07</f>
        <v>187.07</v>
      </c>
      <c r="M25" s="103">
        <f t="shared" ref="M25:R25" si="0">98+98</f>
        <v>196</v>
      </c>
      <c r="N25" s="103">
        <f t="shared" si="0"/>
        <v>196</v>
      </c>
      <c r="O25" s="103">
        <f t="shared" si="0"/>
        <v>196</v>
      </c>
      <c r="P25" s="103">
        <f t="shared" si="0"/>
        <v>196</v>
      </c>
      <c r="Q25" s="103">
        <f t="shared" si="0"/>
        <v>196</v>
      </c>
      <c r="R25" s="103">
        <f t="shared" si="0"/>
        <v>196</v>
      </c>
      <c r="S25" s="103">
        <f t="shared" ref="S25:AB25" si="1">98+98</f>
        <v>196</v>
      </c>
      <c r="T25" s="103">
        <f t="shared" si="1"/>
        <v>196</v>
      </c>
      <c r="U25" s="103">
        <f t="shared" si="1"/>
        <v>196</v>
      </c>
      <c r="V25" s="103">
        <f t="shared" si="1"/>
        <v>196</v>
      </c>
      <c r="W25" s="103">
        <f t="shared" si="1"/>
        <v>196</v>
      </c>
      <c r="X25" s="103">
        <f t="shared" si="1"/>
        <v>196</v>
      </c>
      <c r="Y25" s="103">
        <f t="shared" si="1"/>
        <v>196</v>
      </c>
      <c r="Z25" s="103">
        <f t="shared" si="1"/>
        <v>196</v>
      </c>
      <c r="AA25" s="103">
        <f t="shared" si="1"/>
        <v>196</v>
      </c>
      <c r="AB25" s="103">
        <f t="shared" si="1"/>
        <v>196</v>
      </c>
    </row>
    <row r="26" spans="1:28" ht="30" x14ac:dyDescent="0.25">
      <c r="A26" s="120" t="s">
        <v>259</v>
      </c>
      <c r="B26" s="103" t="s">
        <v>58</v>
      </c>
      <c r="C26" s="130">
        <f>'Semen production'!G31</f>
        <v>592.11500000000001</v>
      </c>
      <c r="D26" s="130">
        <f>'Semen production'!H31</f>
        <v>652.97</v>
      </c>
      <c r="E26" s="130">
        <f>'Semen production'!I31</f>
        <v>722.43499999999995</v>
      </c>
      <c r="F26" s="130">
        <f>'Semen production'!J31</f>
        <v>789.8</v>
      </c>
      <c r="G26" s="130">
        <f>'Semen production'!K31</f>
        <v>848.4</v>
      </c>
      <c r="H26" s="130">
        <f>'Semen production'!L31</f>
        <v>910</v>
      </c>
      <c r="I26" s="103">
        <v>910</v>
      </c>
      <c r="J26" s="157">
        <v>910</v>
      </c>
      <c r="K26" s="157">
        <v>910</v>
      </c>
      <c r="L26" s="157">
        <v>910</v>
      </c>
      <c r="M26" s="157">
        <v>910</v>
      </c>
      <c r="N26" s="157">
        <v>910</v>
      </c>
      <c r="O26" s="157">
        <v>910</v>
      </c>
      <c r="P26" s="157">
        <v>910</v>
      </c>
      <c r="Q26" s="157">
        <v>910</v>
      </c>
      <c r="R26" s="157">
        <v>910</v>
      </c>
      <c r="S26" s="157">
        <v>910</v>
      </c>
      <c r="T26" s="157">
        <v>910</v>
      </c>
      <c r="U26" s="157">
        <v>910</v>
      </c>
      <c r="V26" s="157">
        <v>910</v>
      </c>
      <c r="W26" s="157">
        <v>910</v>
      </c>
      <c r="X26" s="157">
        <v>910</v>
      </c>
      <c r="Y26" s="157">
        <v>910</v>
      </c>
      <c r="Z26" s="157">
        <v>910</v>
      </c>
      <c r="AA26" s="157">
        <v>910</v>
      </c>
      <c r="AB26" s="157">
        <v>910</v>
      </c>
    </row>
    <row r="27" spans="1:28" ht="25.5" x14ac:dyDescent="0.25">
      <c r="A27" s="127" t="s">
        <v>262</v>
      </c>
      <c r="B27" s="104" t="s">
        <v>58</v>
      </c>
      <c r="C27" s="153">
        <f t="shared" ref="C27:H27" si="2">C25+C26</f>
        <v>592.11500000000001</v>
      </c>
      <c r="D27" s="153">
        <f t="shared" si="2"/>
        <v>662.97</v>
      </c>
      <c r="E27" s="153">
        <f t="shared" si="2"/>
        <v>754.3925999999999</v>
      </c>
      <c r="F27" s="153">
        <f t="shared" si="2"/>
        <v>845.8</v>
      </c>
      <c r="G27" s="153">
        <f t="shared" si="2"/>
        <v>925.38383871999997</v>
      </c>
      <c r="H27" s="153">
        <f t="shared" si="2"/>
        <v>1000</v>
      </c>
      <c r="I27" s="153">
        <f t="shared" ref="I27:AB27" si="3">I26+I25</f>
        <v>1010.3</v>
      </c>
      <c r="J27" s="153">
        <f t="shared" si="3"/>
        <v>1041.3800000000001</v>
      </c>
      <c r="K27" s="153">
        <f t="shared" si="3"/>
        <v>1071.6500000000001</v>
      </c>
      <c r="L27" s="153">
        <f t="shared" si="3"/>
        <v>1097.07</v>
      </c>
      <c r="M27" s="153">
        <f t="shared" si="3"/>
        <v>1106</v>
      </c>
      <c r="N27" s="153">
        <f t="shared" si="3"/>
        <v>1106</v>
      </c>
      <c r="O27" s="153">
        <f t="shared" si="3"/>
        <v>1106</v>
      </c>
      <c r="P27" s="153">
        <f t="shared" si="3"/>
        <v>1106</v>
      </c>
      <c r="Q27" s="153">
        <f t="shared" si="3"/>
        <v>1106</v>
      </c>
      <c r="R27" s="153">
        <f t="shared" si="3"/>
        <v>1106</v>
      </c>
      <c r="S27" s="153">
        <f t="shared" si="3"/>
        <v>1106</v>
      </c>
      <c r="T27" s="153">
        <f t="shared" si="3"/>
        <v>1106</v>
      </c>
      <c r="U27" s="153">
        <f t="shared" si="3"/>
        <v>1106</v>
      </c>
      <c r="V27" s="153">
        <f t="shared" si="3"/>
        <v>1106</v>
      </c>
      <c r="W27" s="153">
        <f t="shared" si="3"/>
        <v>1106</v>
      </c>
      <c r="X27" s="153">
        <f t="shared" si="3"/>
        <v>1106</v>
      </c>
      <c r="Y27" s="153">
        <f t="shared" si="3"/>
        <v>1106</v>
      </c>
      <c r="Z27" s="153">
        <f t="shared" si="3"/>
        <v>1106</v>
      </c>
      <c r="AA27" s="153">
        <f t="shared" si="3"/>
        <v>1106</v>
      </c>
      <c r="AB27" s="153">
        <f t="shared" si="3"/>
        <v>1106</v>
      </c>
    </row>
    <row r="28" spans="1:28" x14ac:dyDescent="0.25">
      <c r="A28" s="120"/>
      <c r="B28" s="103"/>
      <c r="C28" s="151"/>
      <c r="D28" s="151"/>
      <c r="E28" s="124"/>
      <c r="F28" s="117"/>
    </row>
    <row r="29" spans="1:28" x14ac:dyDescent="0.25">
      <c r="A29" s="127" t="s">
        <v>59</v>
      </c>
      <c r="B29" s="103" t="s">
        <v>58</v>
      </c>
      <c r="C29" s="154">
        <f>'Bull no. &amp; Semen Production'!D70</f>
        <v>8.9399999999999977</v>
      </c>
      <c r="D29" s="154">
        <f>'Bull no. &amp; Semen Production'!E70</f>
        <v>92.416768000000005</v>
      </c>
      <c r="E29" s="154">
        <f>'Bull no. &amp; Semen Production'!F70</f>
        <v>201.48483200000001</v>
      </c>
      <c r="F29" s="154">
        <f>'Bull no. &amp; Semen Production'!G70</f>
        <v>350.2255295999999</v>
      </c>
      <c r="G29" s="154">
        <f>'Bull no. &amp; Semen Production'!H70</f>
        <v>551.98140943999999</v>
      </c>
      <c r="H29" s="154">
        <f>'Bull no. &amp; Semen Production'!I70</f>
        <v>727.85422929599997</v>
      </c>
      <c r="I29" s="154">
        <f>H29</f>
        <v>727.85422929599997</v>
      </c>
      <c r="J29" s="154">
        <f>I29</f>
        <v>727.85422929599997</v>
      </c>
      <c r="K29" s="154">
        <f>J29</f>
        <v>727.85422929599997</v>
      </c>
      <c r="L29" s="154">
        <f>K29</f>
        <v>727.85422929599997</v>
      </c>
      <c r="M29" s="154">
        <f>L29</f>
        <v>727.85422929599997</v>
      </c>
      <c r="N29" s="154">
        <f t="shared" ref="N29:AB29" si="4">M29</f>
        <v>727.85422929599997</v>
      </c>
      <c r="O29" s="154">
        <f t="shared" si="4"/>
        <v>727.85422929599997</v>
      </c>
      <c r="P29" s="154">
        <f t="shared" si="4"/>
        <v>727.85422929599997</v>
      </c>
      <c r="Q29" s="154">
        <f t="shared" si="4"/>
        <v>727.85422929599997</v>
      </c>
      <c r="R29" s="154">
        <f t="shared" si="4"/>
        <v>727.85422929599997</v>
      </c>
      <c r="S29" s="154">
        <f t="shared" si="4"/>
        <v>727.85422929599997</v>
      </c>
      <c r="T29" s="154">
        <f t="shared" si="4"/>
        <v>727.85422929599997</v>
      </c>
      <c r="U29" s="154">
        <f t="shared" si="4"/>
        <v>727.85422929599997</v>
      </c>
      <c r="V29" s="154">
        <f t="shared" si="4"/>
        <v>727.85422929599997</v>
      </c>
      <c r="W29" s="154">
        <f t="shared" si="4"/>
        <v>727.85422929599997</v>
      </c>
      <c r="X29" s="154">
        <f t="shared" si="4"/>
        <v>727.85422929599997</v>
      </c>
      <c r="Y29" s="154">
        <f t="shared" si="4"/>
        <v>727.85422929599997</v>
      </c>
      <c r="Z29" s="154">
        <f t="shared" si="4"/>
        <v>727.85422929599997</v>
      </c>
      <c r="AA29" s="154">
        <f t="shared" si="4"/>
        <v>727.85422929599997</v>
      </c>
      <c r="AB29" s="154">
        <f t="shared" si="4"/>
        <v>727.85422929599997</v>
      </c>
    </row>
    <row r="30" spans="1:28" ht="30" x14ac:dyDescent="0.25">
      <c r="A30" s="120" t="s">
        <v>60</v>
      </c>
      <c r="B30" s="103" t="s">
        <v>58</v>
      </c>
      <c r="C30" s="152">
        <f>MIN(C29,C27)</f>
        <v>8.9399999999999977</v>
      </c>
      <c r="D30" s="152">
        <f t="shared" ref="D30:L30" si="5">MIN(D29,D27)</f>
        <v>92.416768000000005</v>
      </c>
      <c r="E30" s="152">
        <f t="shared" si="5"/>
        <v>201.48483200000001</v>
      </c>
      <c r="F30" s="152">
        <f t="shared" si="5"/>
        <v>350.2255295999999</v>
      </c>
      <c r="G30" s="152">
        <f t="shared" si="5"/>
        <v>551.98140943999999</v>
      </c>
      <c r="H30" s="152">
        <f t="shared" si="5"/>
        <v>727.85422929599997</v>
      </c>
      <c r="I30" s="152">
        <f t="shared" si="5"/>
        <v>727.85422929599997</v>
      </c>
      <c r="J30" s="152">
        <f t="shared" si="5"/>
        <v>727.85422929599997</v>
      </c>
      <c r="K30" s="152">
        <f t="shared" si="5"/>
        <v>727.85422929599997</v>
      </c>
      <c r="L30" s="152">
        <f t="shared" si="5"/>
        <v>727.85422929599997</v>
      </c>
      <c r="M30" s="152">
        <f>MIN(M29,M27)</f>
        <v>727.85422929599997</v>
      </c>
      <c r="N30" s="152">
        <f t="shared" ref="N30:AB30" si="6">MIN(N29,N27)</f>
        <v>727.85422929599997</v>
      </c>
      <c r="O30" s="152">
        <f t="shared" si="6"/>
        <v>727.85422929599997</v>
      </c>
      <c r="P30" s="152">
        <f t="shared" si="6"/>
        <v>727.85422929599997</v>
      </c>
      <c r="Q30" s="152">
        <f t="shared" si="6"/>
        <v>727.85422929599997</v>
      </c>
      <c r="R30" s="152">
        <f t="shared" si="6"/>
        <v>727.85422929599997</v>
      </c>
      <c r="S30" s="152">
        <f t="shared" si="6"/>
        <v>727.85422929599997</v>
      </c>
      <c r="T30" s="152">
        <f t="shared" si="6"/>
        <v>727.85422929599997</v>
      </c>
      <c r="U30" s="152">
        <f t="shared" si="6"/>
        <v>727.85422929599997</v>
      </c>
      <c r="V30" s="152">
        <f t="shared" si="6"/>
        <v>727.85422929599997</v>
      </c>
      <c r="W30" s="152">
        <f t="shared" si="6"/>
        <v>727.85422929599997</v>
      </c>
      <c r="X30" s="152">
        <f t="shared" si="6"/>
        <v>727.85422929599997</v>
      </c>
      <c r="Y30" s="152">
        <f t="shared" si="6"/>
        <v>727.85422929599997</v>
      </c>
      <c r="Z30" s="152">
        <f t="shared" si="6"/>
        <v>727.85422929599997</v>
      </c>
      <c r="AA30" s="152">
        <f t="shared" si="6"/>
        <v>727.85422929599997</v>
      </c>
      <c r="AB30" s="152">
        <f t="shared" si="6"/>
        <v>727.85422929599997</v>
      </c>
    </row>
    <row r="31" spans="1:28" ht="30" x14ac:dyDescent="0.25">
      <c r="A31" s="120" t="s">
        <v>61</v>
      </c>
      <c r="B31" s="103" t="s">
        <v>58</v>
      </c>
      <c r="C31" s="152">
        <f>C29-C30</f>
        <v>0</v>
      </c>
      <c r="D31" s="152">
        <f t="shared" ref="D31:L31" si="7">D29-D30</f>
        <v>0</v>
      </c>
      <c r="E31" s="152">
        <f t="shared" si="7"/>
        <v>0</v>
      </c>
      <c r="F31" s="152">
        <f t="shared" si="7"/>
        <v>0</v>
      </c>
      <c r="G31" s="152">
        <f t="shared" si="7"/>
        <v>0</v>
      </c>
      <c r="H31" s="152">
        <f t="shared" si="7"/>
        <v>0</v>
      </c>
      <c r="I31" s="152">
        <f t="shared" si="7"/>
        <v>0</v>
      </c>
      <c r="J31" s="152">
        <f t="shared" si="7"/>
        <v>0</v>
      </c>
      <c r="K31" s="152">
        <f t="shared" si="7"/>
        <v>0</v>
      </c>
      <c r="L31" s="152">
        <f t="shared" si="7"/>
        <v>0</v>
      </c>
      <c r="M31" s="152">
        <f>M29-M30</f>
        <v>0</v>
      </c>
      <c r="N31" s="152">
        <f t="shared" ref="N31:AB31" si="8">N29-N30</f>
        <v>0</v>
      </c>
      <c r="O31" s="152">
        <f t="shared" si="8"/>
        <v>0</v>
      </c>
      <c r="P31" s="152">
        <f t="shared" si="8"/>
        <v>0</v>
      </c>
      <c r="Q31" s="152">
        <f t="shared" si="8"/>
        <v>0</v>
      </c>
      <c r="R31" s="152">
        <f t="shared" si="8"/>
        <v>0</v>
      </c>
      <c r="S31" s="152">
        <f t="shared" si="8"/>
        <v>0</v>
      </c>
      <c r="T31" s="152">
        <f t="shared" si="8"/>
        <v>0</v>
      </c>
      <c r="U31" s="152">
        <f t="shared" si="8"/>
        <v>0</v>
      </c>
      <c r="V31" s="152">
        <f t="shared" si="8"/>
        <v>0</v>
      </c>
      <c r="W31" s="152">
        <f t="shared" si="8"/>
        <v>0</v>
      </c>
      <c r="X31" s="152">
        <f t="shared" si="8"/>
        <v>0</v>
      </c>
      <c r="Y31" s="152">
        <f t="shared" si="8"/>
        <v>0</v>
      </c>
      <c r="Z31" s="152">
        <f t="shared" si="8"/>
        <v>0</v>
      </c>
      <c r="AA31" s="152">
        <f t="shared" si="8"/>
        <v>0</v>
      </c>
      <c r="AB31" s="152">
        <f t="shared" si="8"/>
        <v>0</v>
      </c>
    </row>
    <row r="32" spans="1:28" x14ac:dyDescent="0.25">
      <c r="C32" s="151"/>
      <c r="D32" s="151"/>
      <c r="E32" s="124"/>
      <c r="F32" s="117"/>
    </row>
    <row r="33" spans="1:28" x14ac:dyDescent="0.25">
      <c r="A33" s="155" t="s">
        <v>162</v>
      </c>
      <c r="B33" s="103" t="s">
        <v>58</v>
      </c>
      <c r="C33" s="131">
        <f>C30</f>
        <v>8.9399999999999977</v>
      </c>
      <c r="D33" s="131">
        <f t="shared" ref="D33:AB33" si="9">D30</f>
        <v>92.416768000000005</v>
      </c>
      <c r="E33" s="131">
        <f t="shared" si="9"/>
        <v>201.48483200000001</v>
      </c>
      <c r="F33" s="131">
        <f t="shared" si="9"/>
        <v>350.2255295999999</v>
      </c>
      <c r="G33" s="131">
        <f t="shared" si="9"/>
        <v>551.98140943999999</v>
      </c>
      <c r="H33" s="131">
        <f t="shared" si="9"/>
        <v>727.85422929599997</v>
      </c>
      <c r="I33" s="131">
        <f t="shared" si="9"/>
        <v>727.85422929599997</v>
      </c>
      <c r="J33" s="131">
        <f t="shared" si="9"/>
        <v>727.85422929599997</v>
      </c>
      <c r="K33" s="131">
        <f t="shared" si="9"/>
        <v>727.85422929599997</v>
      </c>
      <c r="L33" s="131">
        <f t="shared" si="9"/>
        <v>727.85422929599997</v>
      </c>
      <c r="M33" s="131">
        <f t="shared" si="9"/>
        <v>727.85422929599997</v>
      </c>
      <c r="N33" s="131">
        <f t="shared" si="9"/>
        <v>727.85422929599997</v>
      </c>
      <c r="O33" s="131">
        <f t="shared" si="9"/>
        <v>727.85422929599997</v>
      </c>
      <c r="P33" s="131">
        <f t="shared" si="9"/>
        <v>727.85422929599997</v>
      </c>
      <c r="Q33" s="131">
        <f t="shared" si="9"/>
        <v>727.85422929599997</v>
      </c>
      <c r="R33" s="131">
        <f t="shared" si="9"/>
        <v>727.85422929599997</v>
      </c>
      <c r="S33" s="131">
        <f t="shared" si="9"/>
        <v>727.85422929599997</v>
      </c>
      <c r="T33" s="131">
        <f t="shared" si="9"/>
        <v>727.85422929599997</v>
      </c>
      <c r="U33" s="131">
        <f t="shared" si="9"/>
        <v>727.85422929599997</v>
      </c>
      <c r="V33" s="131">
        <f t="shared" si="9"/>
        <v>727.85422929599997</v>
      </c>
      <c r="W33" s="131">
        <f t="shared" si="9"/>
        <v>727.85422929599997</v>
      </c>
      <c r="X33" s="131">
        <f t="shared" si="9"/>
        <v>727.85422929599997</v>
      </c>
      <c r="Y33" s="131">
        <f t="shared" si="9"/>
        <v>727.85422929599997</v>
      </c>
      <c r="Z33" s="131">
        <f t="shared" si="9"/>
        <v>727.85422929599997</v>
      </c>
      <c r="AA33" s="131">
        <f t="shared" si="9"/>
        <v>727.85422929599997</v>
      </c>
      <c r="AB33" s="131">
        <f t="shared" si="9"/>
        <v>727.85422929599997</v>
      </c>
    </row>
    <row r="34" spans="1:28" x14ac:dyDescent="0.25">
      <c r="A34" s="155" t="s">
        <v>81</v>
      </c>
      <c r="B34" s="103" t="s">
        <v>58</v>
      </c>
      <c r="C34" s="154">
        <f>'NDSP Bull,SS,AI'!C25</f>
        <v>3.8</v>
      </c>
      <c r="D34" s="154">
        <f>'NDSP Bull,SS,AI'!D25</f>
        <v>8.6999999999999993</v>
      </c>
      <c r="E34" s="154">
        <f>'NDSP Bull,SS,AI'!E25</f>
        <v>16.100000000000001</v>
      </c>
      <c r="F34" s="154">
        <f>'NDSP Bull,SS,AI'!F25</f>
        <v>23.4</v>
      </c>
      <c r="G34" s="154">
        <f>'NDSP Bull,SS,AI'!G25</f>
        <v>31.9</v>
      </c>
      <c r="H34" s="154">
        <f>'NDSP Bull,SS,AI'!H25</f>
        <v>38.5</v>
      </c>
      <c r="I34" s="154">
        <f>'NDSP Bull,SS,AI'!I25</f>
        <v>38.5</v>
      </c>
      <c r="J34" s="154">
        <f>'NDSP Bull,SS,AI'!J25</f>
        <v>38.5</v>
      </c>
      <c r="K34" s="154">
        <f>'NDSP Bull,SS,AI'!K25</f>
        <v>38.5</v>
      </c>
      <c r="L34" s="154">
        <f>'NDSP Bull,SS,AI'!L25</f>
        <v>38.5</v>
      </c>
      <c r="M34" s="154">
        <f>'NDSP Bull,SS,AI'!M25</f>
        <v>38.5</v>
      </c>
      <c r="N34" s="154">
        <f>'NDSP Bull,SS,AI'!N25</f>
        <v>38.5</v>
      </c>
      <c r="O34" s="154">
        <f>'NDSP Bull,SS,AI'!O25</f>
        <v>38.5</v>
      </c>
      <c r="P34" s="154">
        <f>'NDSP Bull,SS,AI'!P25</f>
        <v>38.5</v>
      </c>
      <c r="Q34" s="154">
        <f>'NDSP Bull,SS,AI'!Q25</f>
        <v>38.5</v>
      </c>
      <c r="R34" s="154">
        <f>'NDSP Bull,SS,AI'!R25</f>
        <v>38.5</v>
      </c>
      <c r="S34" s="154">
        <f>'NDSP Bull,SS,AI'!S25</f>
        <v>38.5</v>
      </c>
      <c r="T34" s="154">
        <f>'NDSP Bull,SS,AI'!T25</f>
        <v>38.5</v>
      </c>
      <c r="U34" s="154">
        <f>'NDSP Bull,SS,AI'!U25</f>
        <v>38.5</v>
      </c>
      <c r="V34" s="154">
        <f>'NDSP Bull,SS,AI'!V25</f>
        <v>38.5</v>
      </c>
      <c r="W34" s="154">
        <f>'NDSP Bull,SS,AI'!W25</f>
        <v>38.5</v>
      </c>
      <c r="X34" s="154">
        <f>'NDSP Bull,SS,AI'!X25</f>
        <v>38.5</v>
      </c>
      <c r="Y34" s="154">
        <f>'NDSP Bull,SS,AI'!Y25</f>
        <v>38.5</v>
      </c>
      <c r="Z34" s="154">
        <f>'NDSP Bull,SS,AI'!Z25</f>
        <v>38.5</v>
      </c>
      <c r="AA34" s="154">
        <f>'NDSP Bull,SS,AI'!AA25</f>
        <v>38.5</v>
      </c>
      <c r="AB34" s="154">
        <f>'NDSP Bull,SS,AI'!AB25</f>
        <v>38.5</v>
      </c>
    </row>
    <row r="35" spans="1:28" x14ac:dyDescent="0.25">
      <c r="A35" s="155" t="s">
        <v>71</v>
      </c>
      <c r="B35" s="103" t="s">
        <v>58</v>
      </c>
      <c r="C35" s="131">
        <f>C33-C34</f>
        <v>5.1399999999999979</v>
      </c>
      <c r="D35" s="131">
        <f t="shared" ref="D35:L35" si="10">D33-D34</f>
        <v>83.716768000000002</v>
      </c>
      <c r="E35" s="131">
        <f t="shared" si="10"/>
        <v>185.38483200000002</v>
      </c>
      <c r="F35" s="131">
        <f t="shared" si="10"/>
        <v>326.82552959999992</v>
      </c>
      <c r="G35" s="131">
        <f t="shared" si="10"/>
        <v>520.08140944000002</v>
      </c>
      <c r="H35" s="131">
        <f t="shared" si="10"/>
        <v>689.35422929599997</v>
      </c>
      <c r="I35" s="131">
        <f t="shared" si="10"/>
        <v>689.35422929599997</v>
      </c>
      <c r="J35" s="131">
        <f t="shared" si="10"/>
        <v>689.35422929599997</v>
      </c>
      <c r="K35" s="131">
        <f t="shared" si="10"/>
        <v>689.35422929599997</v>
      </c>
      <c r="L35" s="131">
        <f t="shared" si="10"/>
        <v>689.35422929599997</v>
      </c>
      <c r="M35" s="131">
        <f>M33-M34</f>
        <v>689.35422929599997</v>
      </c>
      <c r="N35" s="131">
        <f t="shared" ref="N35:AB35" si="11">N33-N34</f>
        <v>689.35422929599997</v>
      </c>
      <c r="O35" s="131">
        <f t="shared" si="11"/>
        <v>689.35422929599997</v>
      </c>
      <c r="P35" s="131">
        <f t="shared" si="11"/>
        <v>689.35422929599997</v>
      </c>
      <c r="Q35" s="131">
        <f t="shared" si="11"/>
        <v>689.35422929599997</v>
      </c>
      <c r="R35" s="131">
        <f t="shared" si="11"/>
        <v>689.35422929599997</v>
      </c>
      <c r="S35" s="131">
        <f t="shared" si="11"/>
        <v>689.35422929599997</v>
      </c>
      <c r="T35" s="131">
        <f t="shared" si="11"/>
        <v>689.35422929599997</v>
      </c>
      <c r="U35" s="131">
        <f t="shared" si="11"/>
        <v>689.35422929599997</v>
      </c>
      <c r="V35" s="131">
        <f t="shared" si="11"/>
        <v>689.35422929599997</v>
      </c>
      <c r="W35" s="131">
        <f t="shared" si="11"/>
        <v>689.35422929599997</v>
      </c>
      <c r="X35" s="131">
        <f t="shared" si="11"/>
        <v>689.35422929599997</v>
      </c>
      <c r="Y35" s="131">
        <f t="shared" si="11"/>
        <v>689.35422929599997</v>
      </c>
      <c r="Z35" s="131">
        <f t="shared" si="11"/>
        <v>689.35422929599997</v>
      </c>
      <c r="AA35" s="131">
        <f t="shared" si="11"/>
        <v>689.35422929599997</v>
      </c>
      <c r="AB35" s="131">
        <f t="shared" si="11"/>
        <v>689.35422929599997</v>
      </c>
    </row>
    <row r="36" spans="1:28" x14ac:dyDescent="0.25">
      <c r="C36" s="151"/>
      <c r="D36" s="151"/>
      <c r="E36" s="124"/>
      <c r="F36" s="117"/>
    </row>
    <row r="37" spans="1:28" x14ac:dyDescent="0.25">
      <c r="A37" s="129" t="s">
        <v>46</v>
      </c>
      <c r="B37" s="129" t="s">
        <v>128</v>
      </c>
      <c r="C37" s="130">
        <f>C35*100000</f>
        <v>513999.99999999977</v>
      </c>
      <c r="D37" s="130">
        <f t="shared" ref="D37:AB37" si="12">D35*100000</f>
        <v>8371676.7999999998</v>
      </c>
      <c r="E37" s="130">
        <f t="shared" si="12"/>
        <v>18538483.200000003</v>
      </c>
      <c r="F37" s="130">
        <f t="shared" si="12"/>
        <v>32682552.959999993</v>
      </c>
      <c r="G37" s="130">
        <f t="shared" si="12"/>
        <v>52008140.943999998</v>
      </c>
      <c r="H37" s="130">
        <f t="shared" si="12"/>
        <v>68935422.9296</v>
      </c>
      <c r="I37" s="130">
        <f t="shared" si="12"/>
        <v>68935422.9296</v>
      </c>
      <c r="J37" s="130">
        <f t="shared" si="12"/>
        <v>68935422.9296</v>
      </c>
      <c r="K37" s="130">
        <f t="shared" si="12"/>
        <v>68935422.9296</v>
      </c>
      <c r="L37" s="130">
        <f t="shared" si="12"/>
        <v>68935422.9296</v>
      </c>
      <c r="M37" s="130">
        <f t="shared" si="12"/>
        <v>68935422.9296</v>
      </c>
      <c r="N37" s="130">
        <f t="shared" si="12"/>
        <v>68935422.9296</v>
      </c>
      <c r="O37" s="130">
        <f t="shared" si="12"/>
        <v>68935422.9296</v>
      </c>
      <c r="P37" s="130">
        <f t="shared" si="12"/>
        <v>68935422.9296</v>
      </c>
      <c r="Q37" s="130">
        <f t="shared" si="12"/>
        <v>68935422.9296</v>
      </c>
      <c r="R37" s="130">
        <f t="shared" si="12"/>
        <v>68935422.9296</v>
      </c>
      <c r="S37" s="130">
        <f t="shared" si="12"/>
        <v>68935422.9296</v>
      </c>
      <c r="T37" s="130">
        <f t="shared" si="12"/>
        <v>68935422.9296</v>
      </c>
      <c r="U37" s="130">
        <f t="shared" si="12"/>
        <v>68935422.9296</v>
      </c>
      <c r="V37" s="130">
        <f t="shared" si="12"/>
        <v>68935422.9296</v>
      </c>
      <c r="W37" s="130">
        <f t="shared" si="12"/>
        <v>68935422.9296</v>
      </c>
      <c r="X37" s="130">
        <f t="shared" si="12"/>
        <v>68935422.9296</v>
      </c>
      <c r="Y37" s="130">
        <f t="shared" si="12"/>
        <v>68935422.9296</v>
      </c>
      <c r="Z37" s="130">
        <f t="shared" si="12"/>
        <v>68935422.9296</v>
      </c>
      <c r="AA37" s="130">
        <f t="shared" si="12"/>
        <v>68935422.9296</v>
      </c>
      <c r="AB37" s="130">
        <f t="shared" si="12"/>
        <v>68935422.9296</v>
      </c>
    </row>
    <row r="38" spans="1:28" x14ac:dyDescent="0.25">
      <c r="A38" s="129"/>
      <c r="B38" s="129"/>
      <c r="C38" s="130"/>
      <c r="D38" s="130"/>
      <c r="E38" s="130"/>
      <c r="F38" s="130"/>
      <c r="G38" s="130"/>
      <c r="H38" s="130"/>
      <c r="I38" s="132"/>
      <c r="J38" s="103"/>
      <c r="K38" s="103"/>
      <c r="L38" s="103"/>
      <c r="M38" s="103"/>
      <c r="N38" s="103"/>
      <c r="O38" s="103"/>
      <c r="P38" s="103"/>
      <c r="Q38" s="103"/>
      <c r="R38" s="103"/>
    </row>
    <row r="39" spans="1:28" ht="25.5" x14ac:dyDescent="0.25">
      <c r="A39" s="103"/>
      <c r="B39" s="103"/>
      <c r="C39" s="127" t="s">
        <v>75</v>
      </c>
      <c r="D39" s="104" t="s">
        <v>74</v>
      </c>
      <c r="E39" s="104" t="s">
        <v>45</v>
      </c>
      <c r="F39" s="130"/>
      <c r="G39" s="130"/>
      <c r="H39" s="130"/>
      <c r="I39" s="132"/>
      <c r="J39" s="103"/>
      <c r="K39" s="103"/>
      <c r="L39" s="103"/>
      <c r="M39" s="103"/>
      <c r="N39" s="103"/>
      <c r="O39" s="103"/>
      <c r="P39" s="103"/>
      <c r="Q39" s="103"/>
      <c r="R39" s="103"/>
    </row>
    <row r="40" spans="1:28" x14ac:dyDescent="0.25">
      <c r="A40" s="219" t="s">
        <v>141</v>
      </c>
      <c r="B40" s="103"/>
      <c r="C40" s="127"/>
      <c r="D40" s="104"/>
      <c r="E40" s="104"/>
      <c r="F40" s="130"/>
      <c r="G40" s="130"/>
      <c r="H40" s="130"/>
      <c r="I40" s="132"/>
      <c r="J40" s="103"/>
      <c r="K40" s="103"/>
      <c r="L40" s="103"/>
      <c r="M40" s="103"/>
      <c r="N40" s="103"/>
      <c r="O40" s="103"/>
      <c r="P40" s="103"/>
      <c r="Q40" s="103"/>
      <c r="R40" s="103"/>
    </row>
    <row r="41" spans="1:28" x14ac:dyDescent="0.25">
      <c r="A41" s="133" t="s">
        <v>138</v>
      </c>
      <c r="B41" s="103" t="s">
        <v>128</v>
      </c>
      <c r="C41" s="134">
        <f>C37*$C$20</f>
        <v>102799.99999999996</v>
      </c>
      <c r="D41" s="134">
        <f t="shared" ref="D41:L41" si="13">D37*$C$20</f>
        <v>1674335.36</v>
      </c>
      <c r="E41" s="134">
        <f t="shared" si="13"/>
        <v>3707696.6400000006</v>
      </c>
      <c r="F41" s="120">
        <f t="shared" si="13"/>
        <v>6536510.5919999992</v>
      </c>
      <c r="G41" s="120">
        <f t="shared" si="13"/>
        <v>10401628.1888</v>
      </c>
      <c r="H41" s="120">
        <f t="shared" si="13"/>
        <v>13787084.58592</v>
      </c>
      <c r="I41" s="120">
        <f t="shared" si="13"/>
        <v>13787084.58592</v>
      </c>
      <c r="J41" s="120">
        <f t="shared" si="13"/>
        <v>13787084.58592</v>
      </c>
      <c r="K41" s="120">
        <f t="shared" si="13"/>
        <v>13787084.58592</v>
      </c>
      <c r="L41" s="120">
        <f t="shared" si="13"/>
        <v>13787084.58592</v>
      </c>
      <c r="M41" s="120">
        <f>M37*$C$20</f>
        <v>13787084.58592</v>
      </c>
      <c r="N41" s="120">
        <f t="shared" ref="N41:AB41" si="14">N37*$C$20</f>
        <v>13787084.58592</v>
      </c>
      <c r="O41" s="120">
        <f t="shared" si="14"/>
        <v>13787084.58592</v>
      </c>
      <c r="P41" s="120">
        <f t="shared" si="14"/>
        <v>13787084.58592</v>
      </c>
      <c r="Q41" s="120">
        <f t="shared" si="14"/>
        <v>13787084.58592</v>
      </c>
      <c r="R41" s="120">
        <f t="shared" si="14"/>
        <v>13787084.58592</v>
      </c>
      <c r="S41" s="120">
        <f t="shared" si="14"/>
        <v>13787084.58592</v>
      </c>
      <c r="T41" s="120">
        <f t="shared" si="14"/>
        <v>13787084.58592</v>
      </c>
      <c r="U41" s="120">
        <f t="shared" si="14"/>
        <v>13787084.58592</v>
      </c>
      <c r="V41" s="120">
        <f t="shared" si="14"/>
        <v>13787084.58592</v>
      </c>
      <c r="W41" s="120">
        <f t="shared" si="14"/>
        <v>13787084.58592</v>
      </c>
      <c r="X41" s="120">
        <f t="shared" si="14"/>
        <v>13787084.58592</v>
      </c>
      <c r="Y41" s="120">
        <f t="shared" si="14"/>
        <v>13787084.58592</v>
      </c>
      <c r="Z41" s="120">
        <f t="shared" si="14"/>
        <v>13787084.58592</v>
      </c>
      <c r="AA41" s="120">
        <f t="shared" si="14"/>
        <v>13787084.58592</v>
      </c>
      <c r="AB41" s="120">
        <f t="shared" si="14"/>
        <v>13787084.58592</v>
      </c>
    </row>
    <row r="42" spans="1:28" x14ac:dyDescent="0.25">
      <c r="A42" s="103" t="s">
        <v>44</v>
      </c>
      <c r="B42" s="129"/>
      <c r="C42" s="135">
        <f>280+60+((1/C23)-1)*22</f>
        <v>380.85714285714289</v>
      </c>
      <c r="D42" s="135">
        <f>280+60+((1/D23)-1)*22</f>
        <v>375.89473684210526</v>
      </c>
      <c r="E42" s="135">
        <f>C42-D42</f>
        <v>4.9624060150376295</v>
      </c>
      <c r="F42" s="130"/>
      <c r="G42" s="130"/>
      <c r="H42" s="130"/>
      <c r="I42" s="132"/>
      <c r="J42" s="103"/>
      <c r="K42" s="103"/>
      <c r="L42" s="103"/>
      <c r="M42" s="103"/>
      <c r="N42" s="103"/>
      <c r="O42" s="103"/>
      <c r="P42" s="103"/>
      <c r="Q42" s="103"/>
      <c r="R42" s="103"/>
    </row>
    <row r="43" spans="1:28" x14ac:dyDescent="0.25">
      <c r="A43" s="103"/>
      <c r="B43" s="129"/>
      <c r="C43" s="133"/>
      <c r="D43" s="135"/>
      <c r="E43" s="135"/>
      <c r="F43" s="130"/>
      <c r="G43" s="130"/>
      <c r="H43" s="130"/>
      <c r="I43" s="132"/>
      <c r="J43" s="103"/>
      <c r="K43" s="103"/>
      <c r="L43" s="103"/>
      <c r="M43" s="103"/>
      <c r="N43" s="103"/>
      <c r="O43" s="103"/>
      <c r="P43" s="103"/>
      <c r="Q43" s="103"/>
      <c r="R43" s="103"/>
    </row>
    <row r="44" spans="1:28" x14ac:dyDescent="0.25">
      <c r="A44" s="220" t="s">
        <v>139</v>
      </c>
      <c r="B44" s="129"/>
      <c r="C44" s="133"/>
      <c r="D44" s="135"/>
      <c r="E44" s="135"/>
      <c r="F44" s="130"/>
      <c r="G44" s="130"/>
      <c r="H44" s="130"/>
      <c r="I44" s="132"/>
      <c r="J44" s="103"/>
      <c r="K44" s="103"/>
      <c r="L44" s="103"/>
      <c r="M44" s="103"/>
      <c r="N44" s="103"/>
      <c r="O44" s="103"/>
      <c r="P44" s="103"/>
      <c r="Q44" s="103"/>
      <c r="R44" s="103"/>
    </row>
    <row r="45" spans="1:28" x14ac:dyDescent="0.25">
      <c r="A45" s="123" t="s">
        <v>198</v>
      </c>
      <c r="B45" s="103" t="s">
        <v>51</v>
      </c>
      <c r="C45" s="103">
        <f>C14/C24</f>
        <v>2.5561967213114758</v>
      </c>
      <c r="D45" s="103"/>
      <c r="E45" s="103"/>
      <c r="F45" s="103"/>
      <c r="G45" s="103"/>
      <c r="H45" s="103"/>
      <c r="I45" s="103"/>
      <c r="J45" s="103"/>
      <c r="K45" s="103"/>
      <c r="L45" s="103"/>
      <c r="M45" s="103"/>
      <c r="N45" s="103"/>
      <c r="O45" s="103"/>
      <c r="P45" s="103"/>
      <c r="Q45" s="103"/>
      <c r="R45" s="103"/>
    </row>
    <row r="46" spans="1:28" ht="31.5" customHeight="1" x14ac:dyDescent="0.25">
      <c r="A46" s="123" t="s">
        <v>199</v>
      </c>
      <c r="B46" s="103" t="s">
        <v>51</v>
      </c>
      <c r="C46" s="103">
        <f>C45*E42</f>
        <v>12.684885985455534</v>
      </c>
      <c r="D46" s="103"/>
      <c r="E46" s="103"/>
      <c r="F46" s="103"/>
      <c r="G46" s="103"/>
      <c r="H46" s="103"/>
      <c r="I46" s="103"/>
      <c r="J46" s="103"/>
      <c r="K46" s="103"/>
      <c r="L46" s="103"/>
      <c r="M46" s="103"/>
      <c r="N46" s="103"/>
      <c r="O46" s="103"/>
      <c r="P46" s="103"/>
      <c r="Q46" s="103"/>
      <c r="R46" s="103"/>
    </row>
    <row r="47" spans="1:28" x14ac:dyDescent="0.25">
      <c r="A47" s="120" t="s">
        <v>80</v>
      </c>
      <c r="B47" s="103" t="s">
        <v>54</v>
      </c>
      <c r="C47" s="103"/>
      <c r="D47" s="130">
        <f>C41*$D$23*$C$18*365/$D$42</f>
        <v>34138.610473256784</v>
      </c>
      <c r="E47" s="130">
        <f t="shared" ref="E47:AB47" si="15">(D41*$D$23*$C$18*365/$D$42)+(C41*$D$23*$C$18*($D$42-365)/$D$42)</f>
        <v>557045.08540845709</v>
      </c>
      <c r="F47" s="130">
        <f t="shared" si="15"/>
        <v>1247876.8632495999</v>
      </c>
      <c r="G47" s="130">
        <f t="shared" si="15"/>
        <v>2207446.4299523942</v>
      </c>
      <c r="H47" s="130">
        <f t="shared" si="15"/>
        <v>3519044.4441613308</v>
      </c>
      <c r="I47" s="130">
        <f t="shared" si="15"/>
        <v>4681625.1014205255</v>
      </c>
      <c r="J47" s="130">
        <f t="shared" si="15"/>
        <v>4715182.9283846412</v>
      </c>
      <c r="K47" s="130">
        <f t="shared" si="15"/>
        <v>4715182.9283846412</v>
      </c>
      <c r="L47" s="130">
        <f t="shared" si="15"/>
        <v>4715182.9283846412</v>
      </c>
      <c r="M47" s="130">
        <f t="shared" si="15"/>
        <v>4715182.9283846412</v>
      </c>
      <c r="N47" s="130">
        <f t="shared" si="15"/>
        <v>4715182.9283846412</v>
      </c>
      <c r="O47" s="130">
        <f t="shared" si="15"/>
        <v>4715182.9283846412</v>
      </c>
      <c r="P47" s="130">
        <f t="shared" si="15"/>
        <v>4715182.9283846412</v>
      </c>
      <c r="Q47" s="130">
        <f t="shared" si="15"/>
        <v>4715182.9283846412</v>
      </c>
      <c r="R47" s="130">
        <f t="shared" si="15"/>
        <v>4715182.9283846412</v>
      </c>
      <c r="S47" s="130">
        <f t="shared" si="15"/>
        <v>4715182.9283846412</v>
      </c>
      <c r="T47" s="130">
        <f t="shared" si="15"/>
        <v>4715182.9283846412</v>
      </c>
      <c r="U47" s="130">
        <f t="shared" si="15"/>
        <v>4715182.9283846412</v>
      </c>
      <c r="V47" s="130">
        <f t="shared" si="15"/>
        <v>4715182.9283846412</v>
      </c>
      <c r="W47" s="130">
        <f t="shared" si="15"/>
        <v>4715182.9283846412</v>
      </c>
      <c r="X47" s="130">
        <f t="shared" si="15"/>
        <v>4715182.9283846412</v>
      </c>
      <c r="Y47" s="130">
        <f t="shared" si="15"/>
        <v>4715182.9283846412</v>
      </c>
      <c r="Z47" s="130">
        <f t="shared" si="15"/>
        <v>4715182.9283846412</v>
      </c>
      <c r="AA47" s="130">
        <f t="shared" si="15"/>
        <v>4715182.9283846412</v>
      </c>
      <c r="AB47" s="130">
        <f t="shared" si="15"/>
        <v>4715182.9283846412</v>
      </c>
    </row>
    <row r="48" spans="1:28" ht="25.5" x14ac:dyDescent="0.25">
      <c r="A48" s="136" t="s">
        <v>200</v>
      </c>
      <c r="B48" s="137" t="s">
        <v>201</v>
      </c>
      <c r="C48" s="104"/>
      <c r="D48" s="138">
        <f>D47*$C$46*1.03/1000/1000</f>
        <v>0.44603571300179473</v>
      </c>
      <c r="E48" s="138">
        <f t="shared" ref="E48:AB48" si="16">E47*$C$46*1.03/1000/1000</f>
        <v>7.2780349990795568</v>
      </c>
      <c r="F48" s="138">
        <f t="shared" si="16"/>
        <v>16.304051006235333</v>
      </c>
      <c r="G48" s="138">
        <f t="shared" si="16"/>
        <v>28.841242471435383</v>
      </c>
      <c r="H48" s="138">
        <f t="shared" si="16"/>
        <v>45.977837878495343</v>
      </c>
      <c r="I48" s="138">
        <f t="shared" si="16"/>
        <v>61.16745705731104</v>
      </c>
      <c r="J48" s="138">
        <f t="shared" si="16"/>
        <v>61.605904582539281</v>
      </c>
      <c r="K48" s="138">
        <f t="shared" si="16"/>
        <v>61.605904582539281</v>
      </c>
      <c r="L48" s="138">
        <f t="shared" si="16"/>
        <v>61.605904582539281</v>
      </c>
      <c r="M48" s="138">
        <f t="shared" si="16"/>
        <v>61.605904582539281</v>
      </c>
      <c r="N48" s="138">
        <f t="shared" si="16"/>
        <v>61.605904582539281</v>
      </c>
      <c r="O48" s="138">
        <f t="shared" si="16"/>
        <v>61.605904582539281</v>
      </c>
      <c r="P48" s="138">
        <f t="shared" si="16"/>
        <v>61.605904582539281</v>
      </c>
      <c r="Q48" s="138">
        <f t="shared" si="16"/>
        <v>61.605904582539281</v>
      </c>
      <c r="R48" s="138">
        <f t="shared" si="16"/>
        <v>61.605904582539281</v>
      </c>
      <c r="S48" s="138">
        <f t="shared" si="16"/>
        <v>61.605904582539281</v>
      </c>
      <c r="T48" s="138">
        <f t="shared" si="16"/>
        <v>61.605904582539281</v>
      </c>
      <c r="U48" s="138">
        <f t="shared" si="16"/>
        <v>61.605904582539281</v>
      </c>
      <c r="V48" s="138">
        <f t="shared" si="16"/>
        <v>61.605904582539281</v>
      </c>
      <c r="W48" s="138">
        <f t="shared" si="16"/>
        <v>61.605904582539281</v>
      </c>
      <c r="X48" s="138">
        <f t="shared" si="16"/>
        <v>61.605904582539281</v>
      </c>
      <c r="Y48" s="138">
        <f t="shared" si="16"/>
        <v>61.605904582539281</v>
      </c>
      <c r="Z48" s="138">
        <f t="shared" si="16"/>
        <v>61.605904582539281</v>
      </c>
      <c r="AA48" s="138">
        <f t="shared" si="16"/>
        <v>61.605904582539281</v>
      </c>
      <c r="AB48" s="138">
        <f t="shared" si="16"/>
        <v>61.605904582539281</v>
      </c>
    </row>
    <row r="49" spans="1:28" x14ac:dyDescent="0.25">
      <c r="A49" s="120"/>
      <c r="B49" s="103"/>
      <c r="C49" s="103"/>
      <c r="D49" s="103"/>
      <c r="E49" s="103"/>
      <c r="F49" s="103"/>
      <c r="G49" s="103"/>
      <c r="H49" s="103"/>
      <c r="I49" s="103"/>
      <c r="J49" s="103"/>
      <c r="K49" s="103"/>
      <c r="L49" s="103"/>
      <c r="M49" s="103"/>
      <c r="N49" s="103"/>
      <c r="O49" s="103"/>
      <c r="P49" s="103"/>
      <c r="Q49" s="103"/>
      <c r="R49" s="103"/>
    </row>
    <row r="50" spans="1:28" x14ac:dyDescent="0.25">
      <c r="A50" s="221" t="s">
        <v>140</v>
      </c>
      <c r="B50" s="103"/>
      <c r="C50" s="103"/>
      <c r="D50" s="103"/>
      <c r="E50" s="103"/>
      <c r="F50" s="103"/>
      <c r="G50" s="103"/>
      <c r="H50" s="103"/>
      <c r="I50" s="103"/>
      <c r="J50" s="103"/>
      <c r="K50" s="103"/>
      <c r="L50" s="103"/>
      <c r="M50" s="103"/>
      <c r="N50" s="103"/>
      <c r="O50" s="103"/>
      <c r="P50" s="103"/>
      <c r="Q50" s="103"/>
      <c r="R50" s="103"/>
    </row>
    <row r="51" spans="1:28" x14ac:dyDescent="0.25">
      <c r="A51" s="120" t="s">
        <v>155</v>
      </c>
      <c r="B51" s="103" t="s">
        <v>56</v>
      </c>
      <c r="C51" s="103"/>
      <c r="D51" s="131">
        <f>D47/2/100000*$C$19*Assumptions!$C$10</f>
        <v>7.6811873564827771E-2</v>
      </c>
      <c r="E51" s="131">
        <f>E47/2/100000*$C$19*Assumptions!$C$10</f>
        <v>1.2533514421690286</v>
      </c>
      <c r="F51" s="131">
        <f>F47/2/100000*$C$19*Assumptions!$C$10</f>
        <v>2.8077229423115999</v>
      </c>
      <c r="G51" s="131">
        <f>G47/2/100000*$C$19*Assumptions!$C$10</f>
        <v>4.966754467392887</v>
      </c>
      <c r="H51" s="131">
        <f>H47/2/100000*$C$19*Assumptions!$C$10</f>
        <v>7.9178499993629945</v>
      </c>
      <c r="I51" s="131">
        <f>I47/2/100000*$C$19*Assumptions!$C$10</f>
        <v>10.533656478196184</v>
      </c>
      <c r="J51" s="131">
        <f>J47/2/100000*$C$19*Assumptions!$C$10</f>
        <v>10.609161588865442</v>
      </c>
      <c r="K51" s="131">
        <f>K47/2/100000*$C$19*Assumptions!$C$10</f>
        <v>10.609161588865442</v>
      </c>
      <c r="L51" s="131">
        <f>L47/2/100000*$C$19*Assumptions!$C$10</f>
        <v>10.609161588865442</v>
      </c>
      <c r="M51" s="131">
        <f>M47/2/100000*$C$19*Assumptions!$C$10</f>
        <v>10.609161588865442</v>
      </c>
      <c r="N51" s="131">
        <f>N47/2/100000*$C$19*Assumptions!$C$10</f>
        <v>10.609161588865442</v>
      </c>
      <c r="O51" s="131">
        <f>O47/2/100000*$C$19*Assumptions!$C$10</f>
        <v>10.609161588865442</v>
      </c>
      <c r="P51" s="131">
        <f>P47/2/100000*$C$19*Assumptions!$C$10</f>
        <v>10.609161588865442</v>
      </c>
      <c r="Q51" s="131">
        <f>Q47/2/100000*$C$19*Assumptions!$C$10</f>
        <v>10.609161588865442</v>
      </c>
      <c r="R51" s="131">
        <f>R47/2/100000*$C$19*Assumptions!$C$10</f>
        <v>10.609161588865442</v>
      </c>
      <c r="S51" s="131">
        <f>S47/2/100000*$C$19*Assumptions!$C$10</f>
        <v>10.609161588865442</v>
      </c>
      <c r="T51" s="131">
        <f>T47/2/100000*$C$19*Assumptions!$C$10</f>
        <v>10.609161588865442</v>
      </c>
      <c r="U51" s="131">
        <f>U47/2/100000*$C$19*Assumptions!$C$10</f>
        <v>10.609161588865442</v>
      </c>
      <c r="V51" s="131">
        <f>V47/2/100000*$C$19*Assumptions!$C$10</f>
        <v>10.609161588865442</v>
      </c>
      <c r="W51" s="131">
        <f>W47/2/100000*$C$19*Assumptions!$C$10</f>
        <v>10.609161588865442</v>
      </c>
      <c r="X51" s="131">
        <f>X47/2/100000*$C$19*Assumptions!$C$10</f>
        <v>10.609161588865442</v>
      </c>
      <c r="Y51" s="131">
        <f>Y47/2/100000*$C$19*Assumptions!$C$10</f>
        <v>10.609161588865442</v>
      </c>
      <c r="Z51" s="131">
        <f>Z47/2/100000*$C$19*Assumptions!$C$10</f>
        <v>10.609161588865442</v>
      </c>
      <c r="AA51" s="131">
        <f>AA47/2/100000*$C$19*Assumptions!$C$10</f>
        <v>10.609161588865442</v>
      </c>
      <c r="AB51" s="131">
        <f>AB47/2/100000*$C$19*Assumptions!$C$10</f>
        <v>10.609161588865442</v>
      </c>
    </row>
    <row r="52" spans="1:28" x14ac:dyDescent="0.25">
      <c r="A52" s="120" t="s">
        <v>156</v>
      </c>
      <c r="B52" s="103" t="s">
        <v>56</v>
      </c>
      <c r="C52" s="103"/>
      <c r="D52" s="131">
        <f>D47/2/100000*$C$19*Assumptions!$C$11</f>
        <v>7.6811873564827771E-2</v>
      </c>
      <c r="E52" s="131">
        <f>E47/2/100000*$C$19*Assumptions!$C$11</f>
        <v>1.2533514421690286</v>
      </c>
      <c r="F52" s="131">
        <f>F47/2/100000*$C$19*Assumptions!$C$11</f>
        <v>2.8077229423115999</v>
      </c>
      <c r="G52" s="131">
        <f>G47/2/100000*$C$19*Assumptions!$C$11</f>
        <v>4.966754467392887</v>
      </c>
      <c r="H52" s="131">
        <f>H47/2/100000*$C$19*Assumptions!$C$11</f>
        <v>7.9178499993629945</v>
      </c>
      <c r="I52" s="131">
        <f>I47/2/100000*$C$19*Assumptions!$C$11</f>
        <v>10.533656478196184</v>
      </c>
      <c r="J52" s="131">
        <f>J47/2/100000*$C$19*Assumptions!$C$11</f>
        <v>10.609161588865442</v>
      </c>
      <c r="K52" s="131">
        <f>K47/2/100000*$C$19*Assumptions!$C$11</f>
        <v>10.609161588865442</v>
      </c>
      <c r="L52" s="131">
        <f>L47/2/100000*$C$19*Assumptions!$C$11</f>
        <v>10.609161588865442</v>
      </c>
      <c r="M52" s="131">
        <f>M47/2/100000*$C$19*Assumptions!$C$11</f>
        <v>10.609161588865442</v>
      </c>
      <c r="N52" s="131">
        <f>N47/2/100000*$C$19*Assumptions!$C$11</f>
        <v>10.609161588865442</v>
      </c>
      <c r="O52" s="131">
        <f>O47/2/100000*$C$19*Assumptions!$C$11</f>
        <v>10.609161588865442</v>
      </c>
      <c r="P52" s="131">
        <f>P47/2/100000*$C$19*Assumptions!$C$11</f>
        <v>10.609161588865442</v>
      </c>
      <c r="Q52" s="131">
        <f>Q47/2/100000*$C$19*Assumptions!$C$11</f>
        <v>10.609161588865442</v>
      </c>
      <c r="R52" s="131">
        <f>R47/2/100000*$C$19*Assumptions!$C$11</f>
        <v>10.609161588865442</v>
      </c>
      <c r="S52" s="131">
        <f>S47/2/100000*$C$19*Assumptions!$C$11</f>
        <v>10.609161588865442</v>
      </c>
      <c r="T52" s="131">
        <f>T47/2/100000*$C$19*Assumptions!$C$11</f>
        <v>10.609161588865442</v>
      </c>
      <c r="U52" s="131">
        <f>U47/2/100000*$C$19*Assumptions!$C$11</f>
        <v>10.609161588865442</v>
      </c>
      <c r="V52" s="131">
        <f>V47/2/100000*$C$19*Assumptions!$C$11</f>
        <v>10.609161588865442</v>
      </c>
      <c r="W52" s="131">
        <f>W47/2/100000*$C$19*Assumptions!$C$11</f>
        <v>10.609161588865442</v>
      </c>
      <c r="X52" s="131">
        <f>X47/2/100000*$C$19*Assumptions!$C$11</f>
        <v>10.609161588865442</v>
      </c>
      <c r="Y52" s="131">
        <f>Y47/2/100000*$C$19*Assumptions!$C$11</f>
        <v>10.609161588865442</v>
      </c>
      <c r="Z52" s="131">
        <f>Z47/2/100000*$C$19*Assumptions!$C$11</f>
        <v>10.609161588865442</v>
      </c>
      <c r="AA52" s="131">
        <f>AA47/2/100000*$C$19*Assumptions!$C$11</f>
        <v>10.609161588865442</v>
      </c>
      <c r="AB52" s="131">
        <f>AB47/2/100000*$C$19*Assumptions!$C$11</f>
        <v>10.609161588865442</v>
      </c>
    </row>
    <row r="53" spans="1:28" x14ac:dyDescent="0.25">
      <c r="A53" s="120"/>
      <c r="B53" s="103"/>
      <c r="C53" s="103"/>
      <c r="D53" s="131"/>
      <c r="E53" s="131"/>
      <c r="F53" s="131"/>
      <c r="G53" s="131"/>
      <c r="H53" s="131"/>
      <c r="I53" s="131"/>
      <c r="J53" s="131"/>
      <c r="K53" s="131"/>
      <c r="L53" s="131"/>
      <c r="M53" s="131"/>
      <c r="N53" s="131"/>
      <c r="O53" s="131"/>
      <c r="P53" s="131"/>
      <c r="Q53" s="131"/>
      <c r="R53" s="131"/>
      <c r="S53" s="139"/>
      <c r="T53" s="139"/>
      <c r="U53" s="139"/>
      <c r="V53" s="139"/>
      <c r="W53" s="139"/>
    </row>
    <row r="54" spans="1:28" x14ac:dyDescent="0.25">
      <c r="A54" s="120" t="s">
        <v>182</v>
      </c>
      <c r="B54" s="103" t="s">
        <v>56</v>
      </c>
      <c r="C54" s="103"/>
      <c r="D54" s="131"/>
      <c r="E54" s="131"/>
      <c r="F54" s="131"/>
      <c r="G54" s="131"/>
      <c r="H54" s="131">
        <f>D51</f>
        <v>7.6811873564827771E-2</v>
      </c>
      <c r="I54" s="131">
        <f>SUM(D51:E51)</f>
        <v>1.3301633157338564</v>
      </c>
      <c r="J54" s="131">
        <f>SUM(D51:F51)</f>
        <v>4.1378862580454561</v>
      </c>
      <c r="K54" s="131">
        <f>SUM(D51:G51)</f>
        <v>9.1046407254383439</v>
      </c>
      <c r="L54" s="131">
        <f>SUM(D51:H51)</f>
        <v>17.022490724801337</v>
      </c>
      <c r="M54" s="131">
        <f t="shared" ref="M54:W54" si="17">SUM(E51:I51)</f>
        <v>27.479335329432693</v>
      </c>
      <c r="N54" s="131">
        <f t="shared" si="17"/>
        <v>36.835145476129107</v>
      </c>
      <c r="O54" s="131">
        <f t="shared" si="17"/>
        <v>44.636584122682947</v>
      </c>
      <c r="P54" s="131">
        <f t="shared" si="17"/>
        <v>50.278991244155499</v>
      </c>
      <c r="Q54" s="131">
        <f t="shared" si="17"/>
        <v>52.970302833657946</v>
      </c>
      <c r="R54" s="131">
        <f t="shared" si="17"/>
        <v>53.045807944327208</v>
      </c>
      <c r="S54" s="131">
        <f t="shared" si="17"/>
        <v>53.045807944327208</v>
      </c>
      <c r="T54" s="131">
        <f t="shared" si="17"/>
        <v>53.045807944327208</v>
      </c>
      <c r="U54" s="131">
        <f t="shared" si="17"/>
        <v>53.045807944327208</v>
      </c>
      <c r="V54" s="131">
        <f t="shared" si="17"/>
        <v>53.045807944327208</v>
      </c>
      <c r="W54" s="131">
        <f t="shared" si="17"/>
        <v>53.045807944327208</v>
      </c>
      <c r="X54" s="131">
        <f>SUM(P51:T51)</f>
        <v>53.045807944327208</v>
      </c>
      <c r="Y54" s="131">
        <f>SUM(Q51:U51)</f>
        <v>53.045807944327208</v>
      </c>
      <c r="Z54" s="131">
        <f>SUM(R51:V51)</f>
        <v>53.045807944327208</v>
      </c>
      <c r="AA54" s="131">
        <f>SUM(S51:W51)</f>
        <v>53.045807944327208</v>
      </c>
      <c r="AB54" s="131">
        <f>SUM(T51:X51)</f>
        <v>53.045807944327208</v>
      </c>
    </row>
    <row r="55" spans="1:28" ht="30" x14ac:dyDescent="0.25">
      <c r="A55" s="120" t="s">
        <v>180</v>
      </c>
      <c r="B55" s="103" t="s">
        <v>51</v>
      </c>
      <c r="C55" s="103"/>
      <c r="D55" s="131"/>
      <c r="E55" s="131"/>
      <c r="F55" s="131"/>
      <c r="G55" s="131"/>
      <c r="H55" s="131">
        <f>(1+$C$17*5)*C14</f>
        <v>818.62200000000018</v>
      </c>
      <c r="I55" s="131">
        <f>(1+$C$17)*H55</f>
        <v>826.80822000000023</v>
      </c>
      <c r="J55" s="131">
        <f t="shared" ref="J55:AB55" si="18">(1+$C$17)*I55</f>
        <v>835.07630220000021</v>
      </c>
      <c r="K55" s="131">
        <f t="shared" si="18"/>
        <v>843.42706522200024</v>
      </c>
      <c r="L55" s="131">
        <f t="shared" si="18"/>
        <v>851.86133587422023</v>
      </c>
      <c r="M55" s="131">
        <f t="shared" si="18"/>
        <v>860.37994923296242</v>
      </c>
      <c r="N55" s="131">
        <f t="shared" si="18"/>
        <v>868.983748725292</v>
      </c>
      <c r="O55" s="131">
        <f t="shared" si="18"/>
        <v>877.67358621254493</v>
      </c>
      <c r="P55" s="131">
        <f t="shared" si="18"/>
        <v>886.45032207467034</v>
      </c>
      <c r="Q55" s="131">
        <f t="shared" si="18"/>
        <v>895.31482529541699</v>
      </c>
      <c r="R55" s="131">
        <f t="shared" si="18"/>
        <v>904.26797354837117</v>
      </c>
      <c r="S55" s="131">
        <f t="shared" si="18"/>
        <v>913.31065328385489</v>
      </c>
      <c r="T55" s="131">
        <f t="shared" si="18"/>
        <v>922.4437598166935</v>
      </c>
      <c r="U55" s="131">
        <f t="shared" si="18"/>
        <v>931.6681974148604</v>
      </c>
      <c r="V55" s="131">
        <f t="shared" si="18"/>
        <v>940.98487938900905</v>
      </c>
      <c r="W55" s="131">
        <f t="shared" si="18"/>
        <v>950.39472818289914</v>
      </c>
      <c r="X55" s="131">
        <f t="shared" si="18"/>
        <v>959.89867546472817</v>
      </c>
      <c r="Y55" s="131">
        <f t="shared" si="18"/>
        <v>969.49766221937546</v>
      </c>
      <c r="Z55" s="131">
        <f t="shared" si="18"/>
        <v>979.19263884156919</v>
      </c>
      <c r="AA55" s="131">
        <f t="shared" si="18"/>
        <v>988.98456522998492</v>
      </c>
      <c r="AB55" s="131">
        <f t="shared" si="18"/>
        <v>998.87441088228479</v>
      </c>
    </row>
    <row r="56" spans="1:28" ht="45" x14ac:dyDescent="0.25">
      <c r="A56" s="120" t="s">
        <v>181</v>
      </c>
      <c r="B56" s="103" t="s">
        <v>51</v>
      </c>
      <c r="C56" s="103"/>
      <c r="D56" s="131"/>
      <c r="E56" s="131"/>
      <c r="F56" s="131"/>
      <c r="G56" s="131"/>
      <c r="H56" s="131">
        <f>H55-$C$14</f>
        <v>38.982000000000085</v>
      </c>
      <c r="I56" s="131">
        <f t="shared" ref="I56:AB56" si="19">I55-$C$14</f>
        <v>47.168220000000133</v>
      </c>
      <c r="J56" s="131">
        <f t="shared" si="19"/>
        <v>55.436302200000114</v>
      </c>
      <c r="K56" s="131">
        <f t="shared" si="19"/>
        <v>63.787065222000138</v>
      </c>
      <c r="L56" s="131">
        <f t="shared" si="19"/>
        <v>72.221335874220131</v>
      </c>
      <c r="M56" s="131">
        <f t="shared" si="19"/>
        <v>80.739949232962317</v>
      </c>
      <c r="N56" s="131">
        <f t="shared" si="19"/>
        <v>89.343748725291903</v>
      </c>
      <c r="O56" s="131">
        <f t="shared" si="19"/>
        <v>98.033586212544833</v>
      </c>
      <c r="P56" s="131">
        <f t="shared" si="19"/>
        <v>106.81032207467024</v>
      </c>
      <c r="Q56" s="131">
        <f t="shared" si="19"/>
        <v>115.67482529541689</v>
      </c>
      <c r="R56" s="131">
        <f t="shared" si="19"/>
        <v>124.62797354837107</v>
      </c>
      <c r="S56" s="131">
        <f t="shared" si="19"/>
        <v>133.67065328385479</v>
      </c>
      <c r="T56" s="131">
        <f t="shared" si="19"/>
        <v>142.8037598166934</v>
      </c>
      <c r="U56" s="131">
        <f t="shared" si="19"/>
        <v>152.0281974148603</v>
      </c>
      <c r="V56" s="131">
        <f t="shared" si="19"/>
        <v>161.34487938900895</v>
      </c>
      <c r="W56" s="131">
        <f t="shared" si="19"/>
        <v>170.75472818289904</v>
      </c>
      <c r="X56" s="131">
        <f t="shared" si="19"/>
        <v>180.25867546472807</v>
      </c>
      <c r="Y56" s="131">
        <f t="shared" si="19"/>
        <v>189.85766221937536</v>
      </c>
      <c r="Z56" s="131">
        <f t="shared" si="19"/>
        <v>199.55263884156909</v>
      </c>
      <c r="AA56" s="131">
        <f t="shared" si="19"/>
        <v>209.34456522998482</v>
      </c>
      <c r="AB56" s="131">
        <f t="shared" si="19"/>
        <v>219.23441088228469</v>
      </c>
    </row>
    <row r="57" spans="1:28" x14ac:dyDescent="0.25">
      <c r="A57" s="103"/>
      <c r="B57" s="103"/>
      <c r="C57" s="103"/>
      <c r="D57" s="131"/>
      <c r="E57" s="131"/>
      <c r="F57" s="131"/>
      <c r="G57" s="131"/>
      <c r="H57" s="131"/>
      <c r="I57" s="131"/>
      <c r="J57" s="131"/>
      <c r="K57" s="131"/>
      <c r="L57" s="131"/>
      <c r="M57" s="131"/>
      <c r="N57" s="131"/>
      <c r="O57" s="131"/>
      <c r="P57" s="131"/>
      <c r="Q57" s="131"/>
      <c r="R57" s="131"/>
      <c r="S57" s="131"/>
      <c r="T57" s="131"/>
      <c r="U57" s="131"/>
      <c r="V57" s="131"/>
      <c r="W57" s="131"/>
      <c r="X57" s="131"/>
      <c r="Y57" s="131"/>
      <c r="Z57" s="131"/>
      <c r="AA57" s="131"/>
      <c r="AB57" s="131"/>
    </row>
    <row r="58" spans="1:28" x14ac:dyDescent="0.25">
      <c r="A58" s="103" t="s">
        <v>183</v>
      </c>
      <c r="B58" s="103"/>
      <c r="C58" s="103"/>
      <c r="D58" s="131"/>
      <c r="E58" s="131"/>
      <c r="F58" s="131"/>
      <c r="G58" s="131"/>
      <c r="H58" s="131"/>
      <c r="I58" s="131"/>
      <c r="J58" s="131"/>
      <c r="K58" s="131"/>
      <c r="L58" s="131"/>
      <c r="M58" s="131"/>
      <c r="N58" s="131"/>
      <c r="O58" s="131"/>
      <c r="P58" s="131"/>
      <c r="Q58" s="131"/>
      <c r="R58" s="131"/>
      <c r="S58" s="131"/>
      <c r="T58" s="131"/>
      <c r="U58" s="131"/>
      <c r="V58" s="131"/>
      <c r="W58" s="131"/>
      <c r="X58" s="131"/>
      <c r="Y58" s="131"/>
      <c r="Z58" s="131"/>
      <c r="AA58" s="131"/>
      <c r="AB58" s="131"/>
    </row>
    <row r="59" spans="1:28" x14ac:dyDescent="0.25">
      <c r="A59" s="103" t="s">
        <v>184</v>
      </c>
      <c r="B59" s="103" t="s">
        <v>51</v>
      </c>
      <c r="C59" s="103"/>
      <c r="D59" s="131"/>
      <c r="E59" s="131"/>
      <c r="F59" s="131"/>
      <c r="G59" s="131"/>
      <c r="H59" s="130">
        <f>H$56*D$51*100000</f>
        <v>299428.04553041229</v>
      </c>
      <c r="I59" s="130">
        <f>I$56*E$51*100000</f>
        <v>5911835.6561546186</v>
      </c>
      <c r="J59" s="130">
        <f t="shared" ref="J59:AB59" si="20">J$56*F$51*100000</f>
        <v>15564977.752385935</v>
      </c>
      <c r="K59" s="130">
        <f t="shared" si="20"/>
        <v>31681469.115325063</v>
      </c>
      <c r="L59" s="130">
        <f t="shared" si="20"/>
        <v>57183770.420568854</v>
      </c>
      <c r="M59" s="130">
        <f t="shared" si="20"/>
        <v>85048688.928702444</v>
      </c>
      <c r="N59" s="130">
        <f t="shared" si="20"/>
        <v>94786226.71816127</v>
      </c>
      <c r="O59" s="130">
        <f t="shared" si="20"/>
        <v>104005415.72648594</v>
      </c>
      <c r="P59" s="130">
        <f t="shared" si="20"/>
        <v>113316796.6248938</v>
      </c>
      <c r="Q59" s="130">
        <f t="shared" si="20"/>
        <v>122721291.33228575</v>
      </c>
      <c r="R59" s="130">
        <f t="shared" si="20"/>
        <v>132219830.98675169</v>
      </c>
      <c r="S59" s="130">
        <f t="shared" si="20"/>
        <v>141813356.03776225</v>
      </c>
      <c r="T59" s="130">
        <f t="shared" si="20"/>
        <v>151502816.33928299</v>
      </c>
      <c r="U59" s="130">
        <f t="shared" si="20"/>
        <v>161289171.24381885</v>
      </c>
      <c r="V59" s="130">
        <f t="shared" si="20"/>
        <v>171173389.69740012</v>
      </c>
      <c r="W59" s="130">
        <f t="shared" si="20"/>
        <v>181156450.3355172</v>
      </c>
      <c r="X59" s="130">
        <f t="shared" si="20"/>
        <v>191239341.58001545</v>
      </c>
      <c r="Y59" s="130">
        <f t="shared" si="20"/>
        <v>201423061.73695868</v>
      </c>
      <c r="Z59" s="130">
        <f t="shared" si="20"/>
        <v>211708619.09547129</v>
      </c>
      <c r="AA59" s="130">
        <f t="shared" si="20"/>
        <v>222097032.02756909</v>
      </c>
      <c r="AB59" s="130">
        <f t="shared" si="20"/>
        <v>232589329.08898786</v>
      </c>
    </row>
    <row r="60" spans="1:28" x14ac:dyDescent="0.25">
      <c r="A60" s="103" t="s">
        <v>185</v>
      </c>
      <c r="B60" s="103" t="s">
        <v>51</v>
      </c>
      <c r="C60" s="103"/>
      <c r="D60" s="131"/>
      <c r="E60" s="131"/>
      <c r="F60" s="131"/>
      <c r="G60" s="131"/>
      <c r="H60" s="130"/>
      <c r="I60" s="130">
        <f>H$56*D$51*100000</f>
        <v>299428.04553041229</v>
      </c>
      <c r="J60" s="130">
        <f t="shared" ref="J60:AB60" si="21">I$56*E$51*100000</f>
        <v>5911835.6561546186</v>
      </c>
      <c r="K60" s="130">
        <f t="shared" si="21"/>
        <v>15564977.752385935</v>
      </c>
      <c r="L60" s="130">
        <f t="shared" si="21"/>
        <v>31681469.115325063</v>
      </c>
      <c r="M60" s="130">
        <f t="shared" si="21"/>
        <v>57183770.420568854</v>
      </c>
      <c r="N60" s="130">
        <f t="shared" si="21"/>
        <v>85048688.928702444</v>
      </c>
      <c r="O60" s="130">
        <f t="shared" si="21"/>
        <v>94786226.71816127</v>
      </c>
      <c r="P60" s="130">
        <f t="shared" si="21"/>
        <v>104005415.72648594</v>
      </c>
      <c r="Q60" s="130">
        <f t="shared" si="21"/>
        <v>113316796.6248938</v>
      </c>
      <c r="R60" s="130">
        <f t="shared" si="21"/>
        <v>122721291.33228575</v>
      </c>
      <c r="S60" s="130">
        <f t="shared" si="21"/>
        <v>132219830.98675169</v>
      </c>
      <c r="T60" s="130">
        <f t="shared" si="21"/>
        <v>141813356.03776225</v>
      </c>
      <c r="U60" s="130">
        <f t="shared" si="21"/>
        <v>151502816.33928299</v>
      </c>
      <c r="V60" s="130">
        <f t="shared" si="21"/>
        <v>161289171.24381885</v>
      </c>
      <c r="W60" s="130">
        <f t="shared" si="21"/>
        <v>171173389.69740012</v>
      </c>
      <c r="X60" s="130">
        <f t="shared" si="21"/>
        <v>181156450.3355172</v>
      </c>
      <c r="Y60" s="130">
        <f t="shared" si="21"/>
        <v>191239341.58001545</v>
      </c>
      <c r="Z60" s="130">
        <f t="shared" si="21"/>
        <v>201423061.73695868</v>
      </c>
      <c r="AA60" s="130">
        <f t="shared" si="21"/>
        <v>211708619.09547129</v>
      </c>
      <c r="AB60" s="130">
        <f t="shared" si="21"/>
        <v>222097032.02756909</v>
      </c>
    </row>
    <row r="61" spans="1:28" x14ac:dyDescent="0.25">
      <c r="A61" s="103" t="s">
        <v>186</v>
      </c>
      <c r="B61" s="103" t="s">
        <v>51</v>
      </c>
      <c r="C61" s="103"/>
      <c r="D61" s="131"/>
      <c r="E61" s="131"/>
      <c r="F61" s="131"/>
      <c r="G61" s="131"/>
      <c r="H61" s="130"/>
      <c r="I61" s="130"/>
      <c r="J61" s="130">
        <f>H$56*D$51*100000</f>
        <v>299428.04553041229</v>
      </c>
      <c r="K61" s="130">
        <f t="shared" ref="K61:AB61" si="22">I$56*E$51*100000</f>
        <v>5911835.6561546186</v>
      </c>
      <c r="L61" s="130">
        <f t="shared" si="22"/>
        <v>15564977.752385935</v>
      </c>
      <c r="M61" s="130">
        <f t="shared" si="22"/>
        <v>31681469.115325063</v>
      </c>
      <c r="N61" s="130">
        <f t="shared" si="22"/>
        <v>57183770.420568854</v>
      </c>
      <c r="O61" s="130">
        <f t="shared" si="22"/>
        <v>85048688.928702444</v>
      </c>
      <c r="P61" s="130">
        <f t="shared" si="22"/>
        <v>94786226.71816127</v>
      </c>
      <c r="Q61" s="130">
        <f t="shared" si="22"/>
        <v>104005415.72648594</v>
      </c>
      <c r="R61" s="130">
        <f t="shared" si="22"/>
        <v>113316796.6248938</v>
      </c>
      <c r="S61" s="130">
        <f t="shared" si="22"/>
        <v>122721291.33228575</v>
      </c>
      <c r="T61" s="130">
        <f t="shared" si="22"/>
        <v>132219830.98675169</v>
      </c>
      <c r="U61" s="130">
        <f t="shared" si="22"/>
        <v>141813356.03776225</v>
      </c>
      <c r="V61" s="130">
        <f t="shared" si="22"/>
        <v>151502816.33928299</v>
      </c>
      <c r="W61" s="130">
        <f t="shared" si="22"/>
        <v>161289171.24381885</v>
      </c>
      <c r="X61" s="130">
        <f t="shared" si="22"/>
        <v>171173389.69740012</v>
      </c>
      <c r="Y61" s="130">
        <f t="shared" si="22"/>
        <v>181156450.3355172</v>
      </c>
      <c r="Z61" s="130">
        <f t="shared" si="22"/>
        <v>191239341.58001545</v>
      </c>
      <c r="AA61" s="130">
        <f t="shared" si="22"/>
        <v>201423061.73695868</v>
      </c>
      <c r="AB61" s="130">
        <f t="shared" si="22"/>
        <v>211708619.09547129</v>
      </c>
    </row>
    <row r="62" spans="1:28" x14ac:dyDescent="0.25">
      <c r="A62" s="103" t="s">
        <v>187</v>
      </c>
      <c r="B62" s="103" t="s">
        <v>51</v>
      </c>
      <c r="C62" s="103"/>
      <c r="D62" s="131"/>
      <c r="E62" s="131"/>
      <c r="F62" s="131"/>
      <c r="G62" s="131"/>
      <c r="H62" s="130"/>
      <c r="I62" s="130"/>
      <c r="J62" s="130"/>
      <c r="K62" s="130">
        <f>H$56*D$51*100000</f>
        <v>299428.04553041229</v>
      </c>
      <c r="L62" s="130">
        <f>I$56*E$51*100000</f>
        <v>5911835.6561546186</v>
      </c>
      <c r="M62" s="130">
        <f t="shared" ref="M62:AB62" si="23">J$56*F$51*100000</f>
        <v>15564977.752385935</v>
      </c>
      <c r="N62" s="130">
        <f t="shared" si="23"/>
        <v>31681469.115325063</v>
      </c>
      <c r="O62" s="130">
        <f t="shared" si="23"/>
        <v>57183770.420568854</v>
      </c>
      <c r="P62" s="130">
        <f t="shared" si="23"/>
        <v>85048688.928702444</v>
      </c>
      <c r="Q62" s="130">
        <f t="shared" si="23"/>
        <v>94786226.71816127</v>
      </c>
      <c r="R62" s="130">
        <f t="shared" si="23"/>
        <v>104005415.72648594</v>
      </c>
      <c r="S62" s="130">
        <f t="shared" si="23"/>
        <v>113316796.6248938</v>
      </c>
      <c r="T62" s="130">
        <f t="shared" si="23"/>
        <v>122721291.33228575</v>
      </c>
      <c r="U62" s="130">
        <f t="shared" si="23"/>
        <v>132219830.98675169</v>
      </c>
      <c r="V62" s="130">
        <f t="shared" si="23"/>
        <v>141813356.03776225</v>
      </c>
      <c r="W62" s="130">
        <f t="shared" si="23"/>
        <v>151502816.33928299</v>
      </c>
      <c r="X62" s="130">
        <f t="shared" si="23"/>
        <v>161289171.24381885</v>
      </c>
      <c r="Y62" s="130">
        <f t="shared" si="23"/>
        <v>171173389.69740012</v>
      </c>
      <c r="Z62" s="130">
        <f t="shared" si="23"/>
        <v>181156450.3355172</v>
      </c>
      <c r="AA62" s="130">
        <f t="shared" si="23"/>
        <v>191239341.58001545</v>
      </c>
      <c r="AB62" s="130">
        <f t="shared" si="23"/>
        <v>201423061.73695868</v>
      </c>
    </row>
    <row r="63" spans="1:28" x14ac:dyDescent="0.25">
      <c r="A63" s="103" t="s">
        <v>188</v>
      </c>
      <c r="B63" s="103" t="s">
        <v>51</v>
      </c>
      <c r="C63" s="103"/>
      <c r="D63" s="131"/>
      <c r="E63" s="131"/>
      <c r="F63" s="131"/>
      <c r="G63" s="131"/>
      <c r="H63" s="130"/>
      <c r="I63" s="130"/>
      <c r="J63" s="130"/>
      <c r="K63" s="130"/>
      <c r="L63" s="130">
        <f>H$56*D$51*100000</f>
        <v>299428.04553041229</v>
      </c>
      <c r="M63" s="130">
        <f t="shared" ref="M63:AB63" si="24">I$56*E$51*100000</f>
        <v>5911835.6561546186</v>
      </c>
      <c r="N63" s="130">
        <f t="shared" si="24"/>
        <v>15564977.752385935</v>
      </c>
      <c r="O63" s="130">
        <f t="shared" si="24"/>
        <v>31681469.115325063</v>
      </c>
      <c r="P63" s="130">
        <f t="shared" si="24"/>
        <v>57183770.420568854</v>
      </c>
      <c r="Q63" s="130">
        <f t="shared" si="24"/>
        <v>85048688.928702444</v>
      </c>
      <c r="R63" s="130">
        <f t="shared" si="24"/>
        <v>94786226.71816127</v>
      </c>
      <c r="S63" s="130">
        <f t="shared" si="24"/>
        <v>104005415.72648594</v>
      </c>
      <c r="T63" s="130">
        <f t="shared" si="24"/>
        <v>113316796.6248938</v>
      </c>
      <c r="U63" s="130">
        <f t="shared" si="24"/>
        <v>122721291.33228575</v>
      </c>
      <c r="V63" s="130">
        <f t="shared" si="24"/>
        <v>132219830.98675169</v>
      </c>
      <c r="W63" s="130">
        <f t="shared" si="24"/>
        <v>141813356.03776225</v>
      </c>
      <c r="X63" s="130">
        <f t="shared" si="24"/>
        <v>151502816.33928299</v>
      </c>
      <c r="Y63" s="130">
        <f t="shared" si="24"/>
        <v>161289171.24381885</v>
      </c>
      <c r="Z63" s="130">
        <f t="shared" si="24"/>
        <v>171173389.69740012</v>
      </c>
      <c r="AA63" s="130">
        <f t="shared" si="24"/>
        <v>181156450.3355172</v>
      </c>
      <c r="AB63" s="130">
        <f t="shared" si="24"/>
        <v>191239341.58001545</v>
      </c>
    </row>
    <row r="64" spans="1:28" x14ac:dyDescent="0.25">
      <c r="A64" s="104" t="s">
        <v>31</v>
      </c>
      <c r="B64" s="103" t="s">
        <v>51</v>
      </c>
      <c r="C64" s="103"/>
      <c r="D64" s="131"/>
      <c r="E64" s="131"/>
      <c r="F64" s="131"/>
      <c r="G64" s="131"/>
      <c r="H64" s="130">
        <f>SUM(H59:H63)</f>
        <v>299428.04553041229</v>
      </c>
      <c r="I64" s="130">
        <f t="shared" ref="I64:AB64" si="25">SUM(I59:I63)</f>
        <v>6211263.7016850309</v>
      </c>
      <c r="J64" s="130">
        <f t="shared" si="25"/>
        <v>21776241.454070967</v>
      </c>
      <c r="K64" s="130">
        <f t="shared" si="25"/>
        <v>53457710.569396026</v>
      </c>
      <c r="L64" s="130">
        <f t="shared" si="25"/>
        <v>110641480.98996487</v>
      </c>
      <c r="M64" s="130">
        <f t="shared" si="25"/>
        <v>195390741.87313694</v>
      </c>
      <c r="N64" s="130">
        <f t="shared" si="25"/>
        <v>284265132.93514353</v>
      </c>
      <c r="O64" s="130">
        <f t="shared" si="25"/>
        <v>372705570.90924358</v>
      </c>
      <c r="P64" s="130">
        <f t="shared" si="25"/>
        <v>454340898.41881227</v>
      </c>
      <c r="Q64" s="130">
        <f t="shared" si="25"/>
        <v>519878419.33052921</v>
      </c>
      <c r="R64" s="130">
        <f t="shared" si="25"/>
        <v>567049561.38857841</v>
      </c>
      <c r="S64" s="130">
        <f t="shared" si="25"/>
        <v>614076690.70817947</v>
      </c>
      <c r="T64" s="130">
        <f t="shared" si="25"/>
        <v>661574091.3209765</v>
      </c>
      <c r="U64" s="130">
        <f t="shared" si="25"/>
        <v>709546465.93990159</v>
      </c>
      <c r="V64" s="130">
        <f t="shared" si="25"/>
        <v>757998564.30501592</v>
      </c>
      <c r="W64" s="130">
        <f t="shared" si="25"/>
        <v>806935183.65378141</v>
      </c>
      <c r="X64" s="130">
        <f t="shared" si="25"/>
        <v>856361169.19603467</v>
      </c>
      <c r="Y64" s="130">
        <f t="shared" si="25"/>
        <v>906281414.5937103</v>
      </c>
      <c r="Z64" s="130">
        <f t="shared" si="25"/>
        <v>956700862.44536269</v>
      </c>
      <c r="AA64" s="130">
        <f t="shared" si="25"/>
        <v>1007624504.7755316</v>
      </c>
      <c r="AB64" s="130">
        <f t="shared" si="25"/>
        <v>1059057383.5290024</v>
      </c>
    </row>
    <row r="65" spans="1:29" x14ac:dyDescent="0.25">
      <c r="A65" s="103"/>
      <c r="B65" s="103"/>
      <c r="C65" s="103"/>
      <c r="D65" s="131"/>
      <c r="E65" s="131"/>
      <c r="F65" s="131"/>
      <c r="G65" s="131"/>
      <c r="H65" s="131"/>
      <c r="I65" s="131"/>
      <c r="J65" s="131"/>
      <c r="K65" s="131"/>
      <c r="L65" s="131"/>
      <c r="M65" s="131"/>
      <c r="N65" s="131"/>
      <c r="O65" s="131"/>
      <c r="P65" s="131"/>
      <c r="Q65" s="131"/>
      <c r="R65" s="131"/>
      <c r="S65" s="131"/>
      <c r="T65" s="131"/>
      <c r="U65" s="131"/>
      <c r="V65" s="131"/>
      <c r="W65" s="131"/>
      <c r="X65" s="131"/>
      <c r="Y65" s="131"/>
      <c r="Z65" s="131"/>
      <c r="AA65" s="131"/>
      <c r="AB65" s="131"/>
    </row>
    <row r="66" spans="1:29" ht="30" x14ac:dyDescent="0.25">
      <c r="A66" s="120" t="s">
        <v>159</v>
      </c>
      <c r="B66" s="140" t="s">
        <v>55</v>
      </c>
      <c r="C66" s="103"/>
      <c r="D66" s="131"/>
      <c r="E66" s="131"/>
      <c r="F66" s="131"/>
      <c r="G66" s="131"/>
      <c r="H66" s="131">
        <f>H64*(365/$D$42)*1.03/1000/1000</f>
        <v>0.29947206673564991</v>
      </c>
      <c r="I66" s="131">
        <f>((H64*($D$42-365)/$D$42)+(I64*(365/$D$42)))*1.03/1000/1000</f>
        <v>6.2211156871896955</v>
      </c>
      <c r="J66" s="131">
        <f>((I64*($D$42-365)/$D$42)+(J64*(365/$D$42)))*1.03/1000/1000</f>
        <v>21.96486769145028</v>
      </c>
      <c r="K66" s="131">
        <f t="shared" ref="K66:AB66" si="26">((J64*($D$42-365)/$D$42)+(K64*(365/$D$42)))*1.03/1000/1000</f>
        <v>54.115655547906293</v>
      </c>
      <c r="L66" s="131">
        <f t="shared" si="26"/>
        <v>112.25361933014135</v>
      </c>
      <c r="M66" s="131">
        <f t="shared" si="26"/>
        <v>198.72244593934212</v>
      </c>
      <c r="N66" s="131">
        <f t="shared" si="26"/>
        <v>290.13992129475616</v>
      </c>
      <c r="O66" s="131">
        <f t="shared" si="26"/>
        <v>381.24652720195661</v>
      </c>
      <c r="P66" s="131">
        <f t="shared" si="26"/>
        <v>465.53406737945357</v>
      </c>
      <c r="Q66" s="131">
        <f t="shared" si="26"/>
        <v>533.51828145488821</v>
      </c>
      <c r="R66" s="131">
        <f t="shared" si="26"/>
        <v>582.65284895857565</v>
      </c>
      <c r="S66" s="131">
        <f t="shared" si="26"/>
        <v>631.09509136750489</v>
      </c>
      <c r="T66" s="131">
        <f t="shared" si="26"/>
        <v>680.00337499806653</v>
      </c>
      <c r="U66" s="131">
        <f t="shared" si="26"/>
        <v>729.40074146493396</v>
      </c>
      <c r="V66" s="131">
        <f t="shared" si="26"/>
        <v>779.29208159647021</v>
      </c>
      <c r="W66" s="131">
        <f t="shared" si="26"/>
        <v>829.6823351293217</v>
      </c>
      <c r="X66" s="131">
        <f t="shared" si="26"/>
        <v>880.57649119750181</v>
      </c>
      <c r="Y66" s="131">
        <f t="shared" si="26"/>
        <v>931.97958882636362</v>
      </c>
      <c r="Z66" s="131">
        <f t="shared" si="26"/>
        <v>983.89671743151405</v>
      </c>
      <c r="AA66" s="131">
        <f t="shared" si="26"/>
        <v>1036.3330173227159</v>
      </c>
      <c r="AB66" s="131">
        <f t="shared" si="26"/>
        <v>1089.2936802128297</v>
      </c>
      <c r="AC66" s="131"/>
    </row>
    <row r="67" spans="1:29" x14ac:dyDescent="0.25">
      <c r="A67" s="103"/>
      <c r="B67" s="103"/>
      <c r="C67" s="103"/>
      <c r="D67" s="131"/>
      <c r="E67" s="131"/>
      <c r="F67" s="131"/>
      <c r="G67" s="131"/>
      <c r="H67" s="131"/>
      <c r="I67" s="131"/>
      <c r="J67" s="131"/>
      <c r="K67" s="131"/>
      <c r="L67" s="131"/>
      <c r="M67" s="131"/>
      <c r="N67" s="131"/>
      <c r="O67" s="131"/>
      <c r="P67" s="131"/>
      <c r="Q67" s="131"/>
      <c r="R67" s="131"/>
      <c r="S67" s="131"/>
      <c r="T67" s="131"/>
      <c r="U67" s="131"/>
      <c r="V67" s="131"/>
      <c r="W67" s="131"/>
      <c r="X67" s="131"/>
      <c r="Y67" s="131"/>
      <c r="Z67" s="131"/>
      <c r="AA67" s="131"/>
      <c r="AB67" s="131"/>
    </row>
    <row r="68" spans="1:29" x14ac:dyDescent="0.25">
      <c r="A68" s="120" t="s">
        <v>189</v>
      </c>
      <c r="B68" s="103" t="s">
        <v>56</v>
      </c>
      <c r="C68" s="103"/>
      <c r="D68" s="131"/>
      <c r="E68" s="131"/>
      <c r="F68" s="131"/>
      <c r="G68" s="131">
        <f>D52</f>
        <v>7.6811873564827771E-2</v>
      </c>
      <c r="H68" s="131">
        <f>SUM(D52:E52)</f>
        <v>1.3301633157338564</v>
      </c>
      <c r="I68" s="131">
        <f>SUM(D52:F52)</f>
        <v>4.1378862580454561</v>
      </c>
      <c r="J68" s="131">
        <f>SUM(D52:G52)</f>
        <v>9.1046407254383439</v>
      </c>
      <c r="K68" s="131">
        <f>SUM(D52:H52)</f>
        <v>17.022490724801337</v>
      </c>
      <c r="L68" s="131">
        <f t="shared" ref="L68:X68" si="27">SUM(E52:I52)</f>
        <v>27.479335329432693</v>
      </c>
      <c r="M68" s="131">
        <f t="shared" si="27"/>
        <v>36.835145476129107</v>
      </c>
      <c r="N68" s="131">
        <f t="shared" si="27"/>
        <v>44.636584122682947</v>
      </c>
      <c r="O68" s="131">
        <f t="shared" si="27"/>
        <v>50.278991244155499</v>
      </c>
      <c r="P68" s="131">
        <f t="shared" si="27"/>
        <v>52.970302833657946</v>
      </c>
      <c r="Q68" s="131">
        <f t="shared" si="27"/>
        <v>53.045807944327208</v>
      </c>
      <c r="R68" s="131">
        <f t="shared" si="27"/>
        <v>53.045807944327208</v>
      </c>
      <c r="S68" s="131">
        <f t="shared" si="27"/>
        <v>53.045807944327208</v>
      </c>
      <c r="T68" s="131">
        <f t="shared" si="27"/>
        <v>53.045807944327208</v>
      </c>
      <c r="U68" s="131">
        <f t="shared" si="27"/>
        <v>53.045807944327208</v>
      </c>
      <c r="V68" s="131">
        <f t="shared" si="27"/>
        <v>53.045807944327208</v>
      </c>
      <c r="W68" s="131">
        <f t="shared" si="27"/>
        <v>53.045807944327208</v>
      </c>
      <c r="X68" s="131">
        <f t="shared" si="27"/>
        <v>53.045807944327208</v>
      </c>
      <c r="Y68" s="131">
        <f>SUM(R52:V52)</f>
        <v>53.045807944327208</v>
      </c>
      <c r="Z68" s="131">
        <f>SUM(S52:W52)</f>
        <v>53.045807944327208</v>
      </c>
      <c r="AA68" s="131">
        <f>SUM(T52:X52)</f>
        <v>53.045807944327208</v>
      </c>
      <c r="AB68" s="131">
        <f>SUM(U52:Y52)</f>
        <v>53.045807944327208</v>
      </c>
    </row>
    <row r="69" spans="1:29" ht="30" x14ac:dyDescent="0.25">
      <c r="A69" s="120" t="s">
        <v>190</v>
      </c>
      <c r="B69" s="103" t="s">
        <v>51</v>
      </c>
      <c r="C69" s="103"/>
      <c r="D69" s="131"/>
      <c r="E69" s="131"/>
      <c r="F69" s="131"/>
      <c r="G69" s="131">
        <f>$D$14</f>
        <v>2507.1849999999999</v>
      </c>
      <c r="H69" s="131">
        <f t="shared" ref="H69:AB69" si="28">$D$14</f>
        <v>2507.1849999999999</v>
      </c>
      <c r="I69" s="131">
        <f t="shared" si="28"/>
        <v>2507.1849999999999</v>
      </c>
      <c r="J69" s="131">
        <f t="shared" si="28"/>
        <v>2507.1849999999999</v>
      </c>
      <c r="K69" s="131">
        <f t="shared" si="28"/>
        <v>2507.1849999999999</v>
      </c>
      <c r="L69" s="131">
        <f t="shared" si="28"/>
        <v>2507.1849999999999</v>
      </c>
      <c r="M69" s="131">
        <f t="shared" si="28"/>
        <v>2507.1849999999999</v>
      </c>
      <c r="N69" s="131">
        <f t="shared" si="28"/>
        <v>2507.1849999999999</v>
      </c>
      <c r="O69" s="131">
        <f t="shared" si="28"/>
        <v>2507.1849999999999</v>
      </c>
      <c r="P69" s="131">
        <f t="shared" si="28"/>
        <v>2507.1849999999999</v>
      </c>
      <c r="Q69" s="131">
        <f t="shared" si="28"/>
        <v>2507.1849999999999</v>
      </c>
      <c r="R69" s="131">
        <f t="shared" si="28"/>
        <v>2507.1849999999999</v>
      </c>
      <c r="S69" s="131">
        <f t="shared" si="28"/>
        <v>2507.1849999999999</v>
      </c>
      <c r="T69" s="131">
        <f t="shared" si="28"/>
        <v>2507.1849999999999</v>
      </c>
      <c r="U69" s="131">
        <f t="shared" si="28"/>
        <v>2507.1849999999999</v>
      </c>
      <c r="V69" s="131">
        <f t="shared" si="28"/>
        <v>2507.1849999999999</v>
      </c>
      <c r="W69" s="131">
        <f t="shared" si="28"/>
        <v>2507.1849999999999</v>
      </c>
      <c r="X69" s="131">
        <f t="shared" si="28"/>
        <v>2507.1849999999999</v>
      </c>
      <c r="Y69" s="131">
        <f t="shared" si="28"/>
        <v>2507.1849999999999</v>
      </c>
      <c r="Z69" s="131">
        <f t="shared" si="28"/>
        <v>2507.1849999999999</v>
      </c>
      <c r="AA69" s="131">
        <f t="shared" si="28"/>
        <v>2507.1849999999999</v>
      </c>
      <c r="AB69" s="131">
        <f t="shared" si="28"/>
        <v>2507.1849999999999</v>
      </c>
    </row>
    <row r="70" spans="1:29" ht="45" x14ac:dyDescent="0.25">
      <c r="A70" s="120" t="s">
        <v>191</v>
      </c>
      <c r="B70" s="103" t="s">
        <v>51</v>
      </c>
      <c r="C70" s="103"/>
      <c r="D70" s="131"/>
      <c r="E70" s="131"/>
      <c r="F70" s="131"/>
      <c r="G70" s="131">
        <f>G69-$C$14</f>
        <v>1727.5449999999998</v>
      </c>
      <c r="H70" s="131">
        <f t="shared" ref="H70:AB70" si="29">H69-$C$14</f>
        <v>1727.5449999999998</v>
      </c>
      <c r="I70" s="131">
        <f t="shared" si="29"/>
        <v>1727.5449999999998</v>
      </c>
      <c r="J70" s="131">
        <f t="shared" si="29"/>
        <v>1727.5449999999998</v>
      </c>
      <c r="K70" s="131">
        <f t="shared" si="29"/>
        <v>1727.5449999999998</v>
      </c>
      <c r="L70" s="131">
        <f t="shared" si="29"/>
        <v>1727.5449999999998</v>
      </c>
      <c r="M70" s="131">
        <f t="shared" si="29"/>
        <v>1727.5449999999998</v>
      </c>
      <c r="N70" s="131">
        <f t="shared" si="29"/>
        <v>1727.5449999999998</v>
      </c>
      <c r="O70" s="131">
        <f t="shared" si="29"/>
        <v>1727.5449999999998</v>
      </c>
      <c r="P70" s="131">
        <f t="shared" si="29"/>
        <v>1727.5449999999998</v>
      </c>
      <c r="Q70" s="131">
        <f t="shared" si="29"/>
        <v>1727.5449999999998</v>
      </c>
      <c r="R70" s="131">
        <f t="shared" si="29"/>
        <v>1727.5449999999998</v>
      </c>
      <c r="S70" s="131">
        <f t="shared" si="29"/>
        <v>1727.5449999999998</v>
      </c>
      <c r="T70" s="131">
        <f t="shared" si="29"/>
        <v>1727.5449999999998</v>
      </c>
      <c r="U70" s="131">
        <f t="shared" si="29"/>
        <v>1727.5449999999998</v>
      </c>
      <c r="V70" s="131">
        <f t="shared" si="29"/>
        <v>1727.5449999999998</v>
      </c>
      <c r="W70" s="131">
        <f t="shared" si="29"/>
        <v>1727.5449999999998</v>
      </c>
      <c r="X70" s="131">
        <f t="shared" si="29"/>
        <v>1727.5449999999998</v>
      </c>
      <c r="Y70" s="131">
        <f t="shared" si="29"/>
        <v>1727.5449999999998</v>
      </c>
      <c r="Z70" s="131">
        <f t="shared" si="29"/>
        <v>1727.5449999999998</v>
      </c>
      <c r="AA70" s="131">
        <f t="shared" si="29"/>
        <v>1727.5449999999998</v>
      </c>
      <c r="AB70" s="131">
        <f t="shared" si="29"/>
        <v>1727.5449999999998</v>
      </c>
    </row>
    <row r="71" spans="1:29" x14ac:dyDescent="0.25">
      <c r="A71" s="103"/>
      <c r="B71" s="103"/>
      <c r="C71" s="103"/>
      <c r="D71" s="131"/>
      <c r="E71" s="131"/>
      <c r="F71" s="131"/>
      <c r="G71" s="131"/>
      <c r="H71" s="131"/>
      <c r="I71" s="131"/>
      <c r="J71" s="131"/>
      <c r="K71" s="131"/>
      <c r="L71" s="131"/>
      <c r="M71" s="131"/>
      <c r="N71" s="131"/>
      <c r="O71" s="131"/>
      <c r="P71" s="131"/>
      <c r="Q71" s="131"/>
      <c r="R71" s="131"/>
      <c r="S71" s="131"/>
      <c r="T71" s="131"/>
      <c r="U71" s="131"/>
      <c r="V71" s="131"/>
      <c r="W71" s="131"/>
      <c r="X71" s="131"/>
      <c r="Y71" s="131"/>
      <c r="Z71" s="131"/>
      <c r="AA71" s="131"/>
      <c r="AB71" s="131"/>
    </row>
    <row r="72" spans="1:29" x14ac:dyDescent="0.25">
      <c r="A72" s="103" t="s">
        <v>183</v>
      </c>
      <c r="B72" s="103"/>
      <c r="C72" s="103"/>
      <c r="D72" s="131"/>
      <c r="E72" s="131"/>
      <c r="F72" s="131"/>
      <c r="G72" s="131"/>
      <c r="H72" s="131"/>
      <c r="I72" s="131"/>
      <c r="J72" s="131"/>
      <c r="K72" s="131"/>
      <c r="L72" s="131"/>
      <c r="M72" s="131"/>
      <c r="N72" s="131"/>
      <c r="O72" s="131"/>
      <c r="P72" s="131"/>
      <c r="Q72" s="131"/>
      <c r="R72" s="131"/>
      <c r="S72" s="131"/>
      <c r="T72" s="131"/>
      <c r="U72" s="131"/>
      <c r="V72" s="131"/>
      <c r="W72" s="131"/>
      <c r="X72" s="131"/>
      <c r="Y72" s="131"/>
      <c r="Z72" s="131"/>
      <c r="AA72" s="131"/>
      <c r="AB72" s="131"/>
    </row>
    <row r="73" spans="1:29" x14ac:dyDescent="0.25">
      <c r="A73" s="103" t="s">
        <v>184</v>
      </c>
      <c r="B73" s="103" t="s">
        <v>51</v>
      </c>
      <c r="C73" s="103"/>
      <c r="D73" s="131"/>
      <c r="E73" s="131"/>
      <c r="F73" s="131"/>
      <c r="G73" s="130">
        <f t="shared" ref="G73:AB73" si="30">D52*G70*100000</f>
        <v>13269596.811755039</v>
      </c>
      <c r="H73" s="130">
        <f t="shared" si="30"/>
        <v>216522101.71618944</v>
      </c>
      <c r="I73" s="130">
        <f t="shared" si="30"/>
        <v>485046773.03756928</v>
      </c>
      <c r="J73" s="130">
        <f t="shared" si="30"/>
        <v>858029184.63722432</v>
      </c>
      <c r="K73" s="130">
        <f t="shared" si="30"/>
        <v>1367844217.7149544</v>
      </c>
      <c r="L73" s="130">
        <f t="shared" si="30"/>
        <v>1819736558.0625424</v>
      </c>
      <c r="M73" s="130">
        <f t="shared" si="30"/>
        <v>1832780405.7036548</v>
      </c>
      <c r="N73" s="130">
        <f t="shared" si="30"/>
        <v>1832780405.7036548</v>
      </c>
      <c r="O73" s="130">
        <f t="shared" si="30"/>
        <v>1832780405.7036548</v>
      </c>
      <c r="P73" s="130">
        <f t="shared" si="30"/>
        <v>1832780405.7036548</v>
      </c>
      <c r="Q73" s="130">
        <f t="shared" si="30"/>
        <v>1832780405.7036548</v>
      </c>
      <c r="R73" s="130">
        <f t="shared" si="30"/>
        <v>1832780405.7036548</v>
      </c>
      <c r="S73" s="130">
        <f t="shared" si="30"/>
        <v>1832780405.7036548</v>
      </c>
      <c r="T73" s="130">
        <f t="shared" si="30"/>
        <v>1832780405.7036548</v>
      </c>
      <c r="U73" s="130">
        <f t="shared" si="30"/>
        <v>1832780405.7036548</v>
      </c>
      <c r="V73" s="130">
        <f t="shared" si="30"/>
        <v>1832780405.7036548</v>
      </c>
      <c r="W73" s="130">
        <f t="shared" si="30"/>
        <v>1832780405.7036548</v>
      </c>
      <c r="X73" s="130">
        <f t="shared" si="30"/>
        <v>1832780405.7036548</v>
      </c>
      <c r="Y73" s="130">
        <f t="shared" si="30"/>
        <v>1832780405.7036548</v>
      </c>
      <c r="Z73" s="130">
        <f t="shared" si="30"/>
        <v>1832780405.7036548</v>
      </c>
      <c r="AA73" s="130">
        <f t="shared" si="30"/>
        <v>1832780405.7036548</v>
      </c>
      <c r="AB73" s="130">
        <f t="shared" si="30"/>
        <v>1832780405.7036548</v>
      </c>
    </row>
    <row r="74" spans="1:29" x14ac:dyDescent="0.25">
      <c r="A74" s="103" t="s">
        <v>185</v>
      </c>
      <c r="B74" s="103" t="s">
        <v>51</v>
      </c>
      <c r="C74" s="103"/>
      <c r="D74" s="131"/>
      <c r="E74" s="131"/>
      <c r="F74" s="131"/>
      <c r="G74" s="130"/>
      <c r="H74" s="130">
        <f t="shared" ref="H74:AB74" si="31">D52*G70*100000</f>
        <v>13269596.811755039</v>
      </c>
      <c r="I74" s="130">
        <f t="shared" si="31"/>
        <v>216522101.71618944</v>
      </c>
      <c r="J74" s="130">
        <f t="shared" si="31"/>
        <v>485046773.03756928</v>
      </c>
      <c r="K74" s="130">
        <f t="shared" si="31"/>
        <v>858029184.63722432</v>
      </c>
      <c r="L74" s="130">
        <f t="shared" si="31"/>
        <v>1367844217.7149544</v>
      </c>
      <c r="M74" s="130">
        <f t="shared" si="31"/>
        <v>1819736558.0625424</v>
      </c>
      <c r="N74" s="130">
        <f t="shared" si="31"/>
        <v>1832780405.7036548</v>
      </c>
      <c r="O74" s="130">
        <f t="shared" si="31"/>
        <v>1832780405.7036548</v>
      </c>
      <c r="P74" s="130">
        <f t="shared" si="31"/>
        <v>1832780405.7036548</v>
      </c>
      <c r="Q74" s="130">
        <f t="shared" si="31"/>
        <v>1832780405.7036548</v>
      </c>
      <c r="R74" s="130">
        <f t="shared" si="31"/>
        <v>1832780405.7036548</v>
      </c>
      <c r="S74" s="130">
        <f t="shared" si="31"/>
        <v>1832780405.7036548</v>
      </c>
      <c r="T74" s="130">
        <f t="shared" si="31"/>
        <v>1832780405.7036548</v>
      </c>
      <c r="U74" s="130">
        <f t="shared" si="31"/>
        <v>1832780405.7036548</v>
      </c>
      <c r="V74" s="130">
        <f t="shared" si="31"/>
        <v>1832780405.7036548</v>
      </c>
      <c r="W74" s="130">
        <f t="shared" si="31"/>
        <v>1832780405.7036548</v>
      </c>
      <c r="X74" s="130">
        <f t="shared" si="31"/>
        <v>1832780405.7036548</v>
      </c>
      <c r="Y74" s="130">
        <f t="shared" si="31"/>
        <v>1832780405.7036548</v>
      </c>
      <c r="Z74" s="130">
        <f t="shared" si="31"/>
        <v>1832780405.7036548</v>
      </c>
      <c r="AA74" s="130">
        <f t="shared" si="31"/>
        <v>1832780405.7036548</v>
      </c>
      <c r="AB74" s="130">
        <f t="shared" si="31"/>
        <v>1832780405.7036548</v>
      </c>
    </row>
    <row r="75" spans="1:29" x14ac:dyDescent="0.25">
      <c r="A75" s="103" t="s">
        <v>186</v>
      </c>
      <c r="B75" s="103" t="s">
        <v>51</v>
      </c>
      <c r="C75" s="103"/>
      <c r="D75" s="131"/>
      <c r="E75" s="131"/>
      <c r="F75" s="131"/>
      <c r="G75" s="130"/>
      <c r="H75" s="130"/>
      <c r="I75" s="130">
        <f t="shared" ref="I75:AB75" si="32">D52*G70*100000</f>
        <v>13269596.811755039</v>
      </c>
      <c r="J75" s="130">
        <f t="shared" si="32"/>
        <v>216522101.71618944</v>
      </c>
      <c r="K75" s="130">
        <f t="shared" si="32"/>
        <v>485046773.03756928</v>
      </c>
      <c r="L75" s="130">
        <f t="shared" si="32"/>
        <v>858029184.63722432</v>
      </c>
      <c r="M75" s="130">
        <f t="shared" si="32"/>
        <v>1367844217.7149544</v>
      </c>
      <c r="N75" s="130">
        <f t="shared" si="32"/>
        <v>1819736558.0625424</v>
      </c>
      <c r="O75" s="130">
        <f t="shared" si="32"/>
        <v>1832780405.7036548</v>
      </c>
      <c r="P75" s="130">
        <f t="shared" si="32"/>
        <v>1832780405.7036548</v>
      </c>
      <c r="Q75" s="130">
        <f t="shared" si="32"/>
        <v>1832780405.7036548</v>
      </c>
      <c r="R75" s="130">
        <f t="shared" si="32"/>
        <v>1832780405.7036548</v>
      </c>
      <c r="S75" s="130">
        <f t="shared" si="32"/>
        <v>1832780405.7036548</v>
      </c>
      <c r="T75" s="130">
        <f t="shared" si="32"/>
        <v>1832780405.7036548</v>
      </c>
      <c r="U75" s="130">
        <f t="shared" si="32"/>
        <v>1832780405.7036548</v>
      </c>
      <c r="V75" s="130">
        <f t="shared" si="32"/>
        <v>1832780405.7036548</v>
      </c>
      <c r="W75" s="130">
        <f t="shared" si="32"/>
        <v>1832780405.7036548</v>
      </c>
      <c r="X75" s="130">
        <f t="shared" si="32"/>
        <v>1832780405.7036548</v>
      </c>
      <c r="Y75" s="130">
        <f t="shared" si="32"/>
        <v>1832780405.7036548</v>
      </c>
      <c r="Z75" s="130">
        <f t="shared" si="32"/>
        <v>1832780405.7036548</v>
      </c>
      <c r="AA75" s="130">
        <f t="shared" si="32"/>
        <v>1832780405.7036548</v>
      </c>
      <c r="AB75" s="130">
        <f t="shared" si="32"/>
        <v>1832780405.7036548</v>
      </c>
    </row>
    <row r="76" spans="1:29" x14ac:dyDescent="0.25">
      <c r="A76" s="103" t="s">
        <v>187</v>
      </c>
      <c r="B76" s="103" t="s">
        <v>51</v>
      </c>
      <c r="C76" s="103"/>
      <c r="D76" s="131"/>
      <c r="E76" s="131"/>
      <c r="F76" s="131"/>
      <c r="G76" s="130"/>
      <c r="H76" s="130"/>
      <c r="I76" s="130"/>
      <c r="J76" s="130">
        <f t="shared" ref="J76:AB76" si="33">D52*G70*100000</f>
        <v>13269596.811755039</v>
      </c>
      <c r="K76" s="130">
        <f t="shared" si="33"/>
        <v>216522101.71618944</v>
      </c>
      <c r="L76" s="130">
        <f t="shared" si="33"/>
        <v>485046773.03756928</v>
      </c>
      <c r="M76" s="130">
        <f t="shared" si="33"/>
        <v>858029184.63722432</v>
      </c>
      <c r="N76" s="130">
        <f t="shared" si="33"/>
        <v>1367844217.7149544</v>
      </c>
      <c r="O76" s="130">
        <f t="shared" si="33"/>
        <v>1819736558.0625424</v>
      </c>
      <c r="P76" s="130">
        <f t="shared" si="33"/>
        <v>1832780405.7036548</v>
      </c>
      <c r="Q76" s="130">
        <f t="shared" si="33"/>
        <v>1832780405.7036548</v>
      </c>
      <c r="R76" s="130">
        <f t="shared" si="33"/>
        <v>1832780405.7036548</v>
      </c>
      <c r="S76" s="130">
        <f t="shared" si="33"/>
        <v>1832780405.7036548</v>
      </c>
      <c r="T76" s="130">
        <f t="shared" si="33"/>
        <v>1832780405.7036548</v>
      </c>
      <c r="U76" s="130">
        <f t="shared" si="33"/>
        <v>1832780405.7036548</v>
      </c>
      <c r="V76" s="130">
        <f t="shared" si="33"/>
        <v>1832780405.7036548</v>
      </c>
      <c r="W76" s="130">
        <f t="shared" si="33"/>
        <v>1832780405.7036548</v>
      </c>
      <c r="X76" s="130">
        <f t="shared" si="33"/>
        <v>1832780405.7036548</v>
      </c>
      <c r="Y76" s="130">
        <f t="shared" si="33"/>
        <v>1832780405.7036548</v>
      </c>
      <c r="Z76" s="130">
        <f t="shared" si="33"/>
        <v>1832780405.7036548</v>
      </c>
      <c r="AA76" s="130">
        <f t="shared" si="33"/>
        <v>1832780405.7036548</v>
      </c>
      <c r="AB76" s="130">
        <f t="shared" si="33"/>
        <v>1832780405.7036548</v>
      </c>
    </row>
    <row r="77" spans="1:29" x14ac:dyDescent="0.25">
      <c r="A77" s="103" t="s">
        <v>188</v>
      </c>
      <c r="B77" s="103" t="s">
        <v>51</v>
      </c>
      <c r="C77" s="103"/>
      <c r="D77" s="131"/>
      <c r="E77" s="131"/>
      <c r="F77" s="131"/>
      <c r="G77" s="130"/>
      <c r="H77" s="130"/>
      <c r="I77" s="130"/>
      <c r="J77" s="130"/>
      <c r="K77" s="130">
        <f t="shared" ref="K77:AB77" si="34">D52*G70*100000</f>
        <v>13269596.811755039</v>
      </c>
      <c r="L77" s="130">
        <f t="shared" si="34"/>
        <v>216522101.71618944</v>
      </c>
      <c r="M77" s="130">
        <f t="shared" si="34"/>
        <v>485046773.03756928</v>
      </c>
      <c r="N77" s="130">
        <f t="shared" si="34"/>
        <v>858029184.63722432</v>
      </c>
      <c r="O77" s="130">
        <f t="shared" si="34"/>
        <v>1367844217.7149544</v>
      </c>
      <c r="P77" s="130">
        <f t="shared" si="34"/>
        <v>1819736558.0625424</v>
      </c>
      <c r="Q77" s="130">
        <f t="shared" si="34"/>
        <v>1832780405.7036548</v>
      </c>
      <c r="R77" s="130">
        <f t="shared" si="34"/>
        <v>1832780405.7036548</v>
      </c>
      <c r="S77" s="130">
        <f t="shared" si="34"/>
        <v>1832780405.7036548</v>
      </c>
      <c r="T77" s="130">
        <f t="shared" si="34"/>
        <v>1832780405.7036548</v>
      </c>
      <c r="U77" s="130">
        <f t="shared" si="34"/>
        <v>1832780405.7036548</v>
      </c>
      <c r="V77" s="130">
        <f t="shared" si="34"/>
        <v>1832780405.7036548</v>
      </c>
      <c r="W77" s="130">
        <f t="shared" si="34"/>
        <v>1832780405.7036548</v>
      </c>
      <c r="X77" s="130">
        <f t="shared" si="34"/>
        <v>1832780405.7036548</v>
      </c>
      <c r="Y77" s="130">
        <f t="shared" si="34"/>
        <v>1832780405.7036548</v>
      </c>
      <c r="Z77" s="130">
        <f t="shared" si="34"/>
        <v>1832780405.7036548</v>
      </c>
      <c r="AA77" s="130">
        <f t="shared" si="34"/>
        <v>1832780405.7036548</v>
      </c>
      <c r="AB77" s="130">
        <f t="shared" si="34"/>
        <v>1832780405.7036548</v>
      </c>
    </row>
    <row r="78" spans="1:29" x14ac:dyDescent="0.25">
      <c r="A78" s="104" t="s">
        <v>31</v>
      </c>
      <c r="B78" s="103" t="s">
        <v>51</v>
      </c>
      <c r="C78" s="103"/>
      <c r="D78" s="131"/>
      <c r="E78" s="131"/>
      <c r="F78" s="131"/>
      <c r="G78" s="141">
        <f>SUM(G73:G77)</f>
        <v>13269596.811755039</v>
      </c>
      <c r="H78" s="141">
        <f t="shared" ref="H78:AB78" si="35">SUM(H73:H77)</f>
        <v>229791698.52794448</v>
      </c>
      <c r="I78" s="141">
        <f t="shared" si="35"/>
        <v>714838471.56551373</v>
      </c>
      <c r="J78" s="141">
        <f t="shared" si="35"/>
        <v>1572867656.202738</v>
      </c>
      <c r="K78" s="141">
        <f t="shared" si="35"/>
        <v>2940711873.9176922</v>
      </c>
      <c r="L78" s="141">
        <f t="shared" si="35"/>
        <v>4747178835.1684799</v>
      </c>
      <c r="M78" s="141">
        <f t="shared" si="35"/>
        <v>6363437139.1559448</v>
      </c>
      <c r="N78" s="141">
        <f t="shared" si="35"/>
        <v>7711170771.822031</v>
      </c>
      <c r="O78" s="141">
        <f t="shared" si="35"/>
        <v>8685921992.8884602</v>
      </c>
      <c r="P78" s="141">
        <f t="shared" si="35"/>
        <v>9150858180.877161</v>
      </c>
      <c r="Q78" s="141">
        <f t="shared" si="35"/>
        <v>9163902028.5182743</v>
      </c>
      <c r="R78" s="141">
        <f t="shared" si="35"/>
        <v>9163902028.5182743</v>
      </c>
      <c r="S78" s="141">
        <f t="shared" si="35"/>
        <v>9163902028.5182743</v>
      </c>
      <c r="T78" s="141">
        <f t="shared" si="35"/>
        <v>9163902028.5182743</v>
      </c>
      <c r="U78" s="141">
        <f t="shared" si="35"/>
        <v>9163902028.5182743</v>
      </c>
      <c r="V78" s="141">
        <f t="shared" si="35"/>
        <v>9163902028.5182743</v>
      </c>
      <c r="W78" s="141">
        <f t="shared" si="35"/>
        <v>9163902028.5182743</v>
      </c>
      <c r="X78" s="141">
        <f t="shared" si="35"/>
        <v>9163902028.5182743</v>
      </c>
      <c r="Y78" s="141">
        <f t="shared" si="35"/>
        <v>9163902028.5182743</v>
      </c>
      <c r="Z78" s="141">
        <f t="shared" si="35"/>
        <v>9163902028.5182743</v>
      </c>
      <c r="AA78" s="141">
        <f t="shared" si="35"/>
        <v>9163902028.5182743</v>
      </c>
      <c r="AB78" s="141">
        <f t="shared" si="35"/>
        <v>9163902028.5182743</v>
      </c>
    </row>
    <row r="79" spans="1:29" x14ac:dyDescent="0.25">
      <c r="A79" s="120"/>
      <c r="B79" s="103"/>
      <c r="C79" s="103"/>
      <c r="D79" s="131"/>
      <c r="E79" s="131"/>
      <c r="F79" s="131"/>
      <c r="G79" s="131"/>
      <c r="H79" s="131"/>
      <c r="I79" s="131"/>
      <c r="J79" s="131"/>
      <c r="K79" s="131"/>
      <c r="L79" s="131"/>
      <c r="M79" s="131"/>
      <c r="N79" s="131"/>
      <c r="O79" s="131"/>
      <c r="P79" s="131"/>
      <c r="Q79" s="131"/>
      <c r="R79" s="131"/>
      <c r="S79" s="131"/>
      <c r="T79" s="131"/>
      <c r="U79" s="131"/>
      <c r="V79" s="131"/>
      <c r="W79" s="131"/>
      <c r="X79" s="131"/>
      <c r="Y79" s="131"/>
      <c r="Z79" s="131"/>
      <c r="AA79" s="131"/>
      <c r="AB79" s="131"/>
    </row>
    <row r="80" spans="1:29" ht="30" x14ac:dyDescent="0.25">
      <c r="A80" s="120" t="s">
        <v>160</v>
      </c>
      <c r="B80" s="140" t="s">
        <v>55</v>
      </c>
      <c r="C80" s="103"/>
      <c r="D80" s="131"/>
      <c r="E80" s="131"/>
      <c r="F80" s="131"/>
      <c r="G80" s="131">
        <f>G78*(365/$D$42)*1.03/1000/1000</f>
        <v>13.271547676590146</v>
      </c>
      <c r="H80" s="131">
        <f>((G78*($D$42 -365)/$D$42)+(H78*365/$D$42))*1.03/1000/1000</f>
        <v>230.22161900115771</v>
      </c>
      <c r="I80" s="131">
        <f t="shared" ref="I80:AB80" si="36">((H78*($D$42 -365)/$D$42)+(I78*365/$D$42))*1.03/1000/1000</f>
        <v>721.8035329542405</v>
      </c>
      <c r="J80" s="131">
        <f t="shared" si="36"/>
        <v>1594.4389557772965</v>
      </c>
      <c r="K80" s="131">
        <f t="shared" si="36"/>
        <v>2988.0990008354461</v>
      </c>
      <c r="L80" s="131">
        <f t="shared" si="36"/>
        <v>4835.6657738992153</v>
      </c>
      <c r="M80" s="131">
        <f t="shared" si="36"/>
        <v>6506.090122695904</v>
      </c>
      <c r="N80" s="131">
        <f t="shared" si="36"/>
        <v>7902.2720266175857</v>
      </c>
      <c r="O80" s="131">
        <f t="shared" si="36"/>
        <v>8917.4004216692956</v>
      </c>
      <c r="P80" s="131">
        <f t="shared" si="36"/>
        <v>9411.5041944859076</v>
      </c>
      <c r="Q80" s="131">
        <f t="shared" si="36"/>
        <v>9438.429691620313</v>
      </c>
      <c r="R80" s="131">
        <f t="shared" si="36"/>
        <v>9438.819089373821</v>
      </c>
      <c r="S80" s="131">
        <f t="shared" si="36"/>
        <v>9438.819089373821</v>
      </c>
      <c r="T80" s="131">
        <f t="shared" si="36"/>
        <v>9438.819089373821</v>
      </c>
      <c r="U80" s="131">
        <f t="shared" si="36"/>
        <v>9438.819089373821</v>
      </c>
      <c r="V80" s="131">
        <f t="shared" si="36"/>
        <v>9438.819089373821</v>
      </c>
      <c r="W80" s="131">
        <f t="shared" si="36"/>
        <v>9438.819089373821</v>
      </c>
      <c r="X80" s="131">
        <f t="shared" si="36"/>
        <v>9438.819089373821</v>
      </c>
      <c r="Y80" s="131">
        <f t="shared" si="36"/>
        <v>9438.819089373821</v>
      </c>
      <c r="Z80" s="131">
        <f t="shared" si="36"/>
        <v>9438.819089373821</v>
      </c>
      <c r="AA80" s="131">
        <f t="shared" si="36"/>
        <v>9438.819089373821</v>
      </c>
      <c r="AB80" s="131">
        <f t="shared" si="36"/>
        <v>9438.819089373821</v>
      </c>
      <c r="AC80" s="131"/>
    </row>
    <row r="81" spans="1:28" x14ac:dyDescent="0.25">
      <c r="A81" s="103"/>
      <c r="B81" s="103"/>
      <c r="C81" s="103"/>
      <c r="D81" s="131"/>
      <c r="E81" s="131"/>
      <c r="F81" s="131"/>
      <c r="G81" s="131"/>
      <c r="H81" s="131"/>
      <c r="I81" s="131"/>
      <c r="J81" s="131"/>
      <c r="K81" s="131"/>
      <c r="L81" s="131"/>
      <c r="M81" s="131"/>
      <c r="N81" s="131"/>
      <c r="O81" s="131"/>
      <c r="P81" s="131"/>
      <c r="Q81" s="131"/>
      <c r="R81" s="131"/>
      <c r="S81" s="131"/>
      <c r="T81" s="131"/>
      <c r="U81" s="131"/>
      <c r="V81" s="131"/>
      <c r="W81" s="131"/>
      <c r="X81" s="131"/>
      <c r="Y81" s="131"/>
      <c r="Z81" s="131"/>
      <c r="AA81" s="131"/>
      <c r="AB81" s="131"/>
    </row>
    <row r="82" spans="1:28" s="107" customFormat="1" ht="25.5" x14ac:dyDescent="0.25">
      <c r="A82" s="215" t="s">
        <v>161</v>
      </c>
      <c r="B82" s="216" t="s">
        <v>55</v>
      </c>
      <c r="C82" s="217"/>
      <c r="D82" s="218"/>
      <c r="E82" s="218"/>
      <c r="F82" s="218"/>
      <c r="G82" s="218">
        <f t="shared" ref="G82:AB82" si="37">G80+G66</f>
        <v>13.271547676590146</v>
      </c>
      <c r="H82" s="218">
        <f t="shared" si="37"/>
        <v>230.52109106789337</v>
      </c>
      <c r="I82" s="218">
        <f t="shared" si="37"/>
        <v>728.02464864143019</v>
      </c>
      <c r="J82" s="218">
        <f t="shared" si="37"/>
        <v>1616.4038234687469</v>
      </c>
      <c r="K82" s="218">
        <f t="shared" si="37"/>
        <v>3042.2146563833526</v>
      </c>
      <c r="L82" s="218">
        <f t="shared" si="37"/>
        <v>4947.9193932293565</v>
      </c>
      <c r="M82" s="218">
        <f t="shared" si="37"/>
        <v>6704.812568635246</v>
      </c>
      <c r="N82" s="218">
        <f t="shared" si="37"/>
        <v>8192.4119479123419</v>
      </c>
      <c r="O82" s="218">
        <f t="shared" si="37"/>
        <v>9298.6469488712519</v>
      </c>
      <c r="P82" s="218">
        <f t="shared" si="37"/>
        <v>9877.0382618653621</v>
      </c>
      <c r="Q82" s="218">
        <f t="shared" si="37"/>
        <v>9971.9479730752009</v>
      </c>
      <c r="R82" s="218">
        <f t="shared" si="37"/>
        <v>10021.471938332397</v>
      </c>
      <c r="S82" s="218">
        <f t="shared" si="37"/>
        <v>10069.914180741325</v>
      </c>
      <c r="T82" s="218">
        <f t="shared" si="37"/>
        <v>10118.822464371888</v>
      </c>
      <c r="U82" s="218">
        <f t="shared" si="37"/>
        <v>10168.219830838754</v>
      </c>
      <c r="V82" s="218">
        <f t="shared" si="37"/>
        <v>10218.111170970291</v>
      </c>
      <c r="W82" s="218">
        <f t="shared" si="37"/>
        <v>10268.501424503143</v>
      </c>
      <c r="X82" s="218">
        <f t="shared" si="37"/>
        <v>10319.395580571323</v>
      </c>
      <c r="Y82" s="218">
        <f t="shared" si="37"/>
        <v>10370.798678200184</v>
      </c>
      <c r="Z82" s="218">
        <f t="shared" si="37"/>
        <v>10422.715806805336</v>
      </c>
      <c r="AA82" s="218">
        <f t="shared" si="37"/>
        <v>10475.152106696536</v>
      </c>
      <c r="AB82" s="218">
        <f t="shared" si="37"/>
        <v>10528.112769586651</v>
      </c>
    </row>
    <row r="83" spans="1:28" x14ac:dyDescent="0.25">
      <c r="A83" s="103"/>
      <c r="B83" s="103"/>
      <c r="C83" s="103"/>
      <c r="D83" s="131"/>
      <c r="E83" s="131"/>
      <c r="F83" s="131"/>
      <c r="G83" s="131"/>
      <c r="H83" s="131"/>
      <c r="I83" s="131"/>
      <c r="J83" s="131"/>
      <c r="K83" s="131"/>
      <c r="L83" s="131"/>
      <c r="M83" s="131"/>
      <c r="N83" s="131"/>
      <c r="O83" s="131"/>
      <c r="P83" s="131"/>
      <c r="Q83" s="131"/>
      <c r="R83" s="131"/>
      <c r="S83" s="131"/>
      <c r="T83" s="131"/>
      <c r="U83" s="131"/>
      <c r="V83" s="131"/>
      <c r="W83" s="131"/>
      <c r="X83" s="131"/>
      <c r="Y83" s="131"/>
      <c r="Z83" s="131"/>
      <c r="AA83" s="131"/>
      <c r="AB83" s="131"/>
    </row>
    <row r="84" spans="1:28" s="146" customFormat="1" ht="38.25" x14ac:dyDescent="0.25">
      <c r="A84" s="142" t="s">
        <v>207</v>
      </c>
      <c r="B84" s="143" t="s">
        <v>55</v>
      </c>
      <c r="C84" s="156">
        <f t="shared" ref="C84:AB84" si="38">C82+C48</f>
        <v>0</v>
      </c>
      <c r="D84" s="156">
        <f t="shared" si="38"/>
        <v>0.44603571300179473</v>
      </c>
      <c r="E84" s="156">
        <f t="shared" si="38"/>
        <v>7.2780349990795568</v>
      </c>
      <c r="F84" s="156">
        <f t="shared" si="38"/>
        <v>16.304051006235333</v>
      </c>
      <c r="G84" s="156">
        <f t="shared" si="38"/>
        <v>42.112790148025525</v>
      </c>
      <c r="H84" s="156">
        <f t="shared" si="38"/>
        <v>276.49892894638873</v>
      </c>
      <c r="I84" s="156">
        <f t="shared" si="38"/>
        <v>789.19210569874122</v>
      </c>
      <c r="J84" s="156">
        <f t="shared" si="38"/>
        <v>1678.0097280512862</v>
      </c>
      <c r="K84" s="156">
        <f t="shared" si="38"/>
        <v>3103.8205609658917</v>
      </c>
      <c r="L84" s="156">
        <f t="shared" si="38"/>
        <v>5009.5252978118961</v>
      </c>
      <c r="M84" s="156">
        <f t="shared" si="38"/>
        <v>6766.4184732177855</v>
      </c>
      <c r="N84" s="156">
        <f t="shared" si="38"/>
        <v>8254.0178524948806</v>
      </c>
      <c r="O84" s="156">
        <f t="shared" si="38"/>
        <v>9360.2528534537905</v>
      </c>
      <c r="P84" s="156">
        <f t="shared" si="38"/>
        <v>9938.6441664479007</v>
      </c>
      <c r="Q84" s="156">
        <f t="shared" si="38"/>
        <v>10033.55387765774</v>
      </c>
      <c r="R84" s="156">
        <f t="shared" si="38"/>
        <v>10083.077842914936</v>
      </c>
      <c r="S84" s="156">
        <f t="shared" si="38"/>
        <v>10131.520085323864</v>
      </c>
      <c r="T84" s="156">
        <f t="shared" si="38"/>
        <v>10180.428368954426</v>
      </c>
      <c r="U84" s="156">
        <f t="shared" si="38"/>
        <v>10229.825735421293</v>
      </c>
      <c r="V84" s="156">
        <f t="shared" si="38"/>
        <v>10279.71707555283</v>
      </c>
      <c r="W84" s="156">
        <f t="shared" si="38"/>
        <v>10330.107329085682</v>
      </c>
      <c r="X84" s="156">
        <f t="shared" si="38"/>
        <v>10381.001485153862</v>
      </c>
      <c r="Y84" s="156">
        <f t="shared" si="38"/>
        <v>10432.404582782723</v>
      </c>
      <c r="Z84" s="156">
        <f t="shared" si="38"/>
        <v>10484.321711387875</v>
      </c>
      <c r="AA84" s="156">
        <f t="shared" si="38"/>
        <v>10536.758011279075</v>
      </c>
      <c r="AB84" s="156">
        <f t="shared" si="38"/>
        <v>10589.718674169189</v>
      </c>
    </row>
    <row r="87" spans="1:28" x14ac:dyDescent="0.25">
      <c r="A87" s="219" t="s">
        <v>142</v>
      </c>
      <c r="B87" s="103"/>
      <c r="C87" s="127"/>
      <c r="D87" s="104"/>
      <c r="E87" s="104"/>
      <c r="F87" s="130"/>
      <c r="G87" s="130"/>
      <c r="H87" s="130"/>
      <c r="I87" s="132"/>
      <c r="J87" s="103"/>
      <c r="K87" s="103"/>
      <c r="L87" s="103"/>
      <c r="M87" s="103"/>
      <c r="N87" s="103"/>
      <c r="O87" s="103"/>
      <c r="P87" s="103"/>
      <c r="Q87" s="103"/>
      <c r="R87" s="103"/>
    </row>
    <row r="88" spans="1:28" x14ac:dyDescent="0.25">
      <c r="A88" s="133" t="s">
        <v>138</v>
      </c>
      <c r="B88" s="103" t="s">
        <v>128</v>
      </c>
      <c r="C88" s="120">
        <f>C37*$D$20</f>
        <v>256999.99999999988</v>
      </c>
      <c r="D88" s="120">
        <f t="shared" ref="D88:AB88" si="39">D37*$D$20</f>
        <v>4185838.4</v>
      </c>
      <c r="E88" s="120">
        <f t="shared" si="39"/>
        <v>9269241.6000000015</v>
      </c>
      <c r="F88" s="120">
        <f t="shared" si="39"/>
        <v>16341276.479999997</v>
      </c>
      <c r="G88" s="120">
        <f t="shared" si="39"/>
        <v>26004070.471999999</v>
      </c>
      <c r="H88" s="120">
        <f t="shared" si="39"/>
        <v>34467711.4648</v>
      </c>
      <c r="I88" s="120">
        <f t="shared" si="39"/>
        <v>34467711.4648</v>
      </c>
      <c r="J88" s="120">
        <f t="shared" si="39"/>
        <v>34467711.4648</v>
      </c>
      <c r="K88" s="120">
        <f t="shared" si="39"/>
        <v>34467711.4648</v>
      </c>
      <c r="L88" s="120">
        <f t="shared" si="39"/>
        <v>34467711.4648</v>
      </c>
      <c r="M88" s="120">
        <f t="shared" si="39"/>
        <v>34467711.4648</v>
      </c>
      <c r="N88" s="120">
        <f t="shared" si="39"/>
        <v>34467711.4648</v>
      </c>
      <c r="O88" s="120">
        <f t="shared" si="39"/>
        <v>34467711.4648</v>
      </c>
      <c r="P88" s="120">
        <f t="shared" si="39"/>
        <v>34467711.4648</v>
      </c>
      <c r="Q88" s="120">
        <f t="shared" si="39"/>
        <v>34467711.4648</v>
      </c>
      <c r="R88" s="120">
        <f t="shared" si="39"/>
        <v>34467711.4648</v>
      </c>
      <c r="S88" s="120">
        <f t="shared" si="39"/>
        <v>34467711.4648</v>
      </c>
      <c r="T88" s="120">
        <f t="shared" si="39"/>
        <v>34467711.4648</v>
      </c>
      <c r="U88" s="120">
        <f t="shared" si="39"/>
        <v>34467711.4648</v>
      </c>
      <c r="V88" s="120">
        <f t="shared" si="39"/>
        <v>34467711.4648</v>
      </c>
      <c r="W88" s="120">
        <f t="shared" si="39"/>
        <v>34467711.4648</v>
      </c>
      <c r="X88" s="120">
        <f t="shared" si="39"/>
        <v>34467711.4648</v>
      </c>
      <c r="Y88" s="120">
        <f t="shared" si="39"/>
        <v>34467711.4648</v>
      </c>
      <c r="Z88" s="120">
        <f t="shared" si="39"/>
        <v>34467711.4648</v>
      </c>
      <c r="AA88" s="120">
        <f t="shared" si="39"/>
        <v>34467711.4648</v>
      </c>
      <c r="AB88" s="120">
        <f t="shared" si="39"/>
        <v>34467711.4648</v>
      </c>
    </row>
    <row r="89" spans="1:28" x14ac:dyDescent="0.25">
      <c r="A89" s="103" t="s">
        <v>44</v>
      </c>
      <c r="B89" s="129"/>
      <c r="C89" s="135">
        <f>280+60+((1/C23)-1)*22</f>
        <v>380.85714285714289</v>
      </c>
      <c r="D89" s="135">
        <f>280+60+((1/D23)-1)*22</f>
        <v>375.89473684210526</v>
      </c>
      <c r="E89" s="135">
        <f>C89-D89</f>
        <v>4.9624060150376295</v>
      </c>
      <c r="F89" s="130"/>
      <c r="G89" s="130"/>
      <c r="H89" s="130"/>
      <c r="I89" s="132"/>
      <c r="J89" s="103"/>
      <c r="K89" s="103"/>
      <c r="L89" s="103"/>
      <c r="M89" s="103"/>
      <c r="N89" s="103"/>
      <c r="O89" s="103"/>
      <c r="P89" s="103"/>
      <c r="Q89" s="103"/>
      <c r="R89" s="103"/>
    </row>
    <row r="90" spans="1:28" x14ac:dyDescent="0.25">
      <c r="A90" s="103"/>
      <c r="B90" s="129"/>
      <c r="C90" s="133"/>
      <c r="D90" s="130"/>
      <c r="E90" s="130"/>
      <c r="F90" s="130"/>
      <c r="G90" s="130"/>
      <c r="H90" s="130"/>
      <c r="I90" s="130"/>
      <c r="J90" s="130"/>
      <c r="K90" s="130"/>
      <c r="L90" s="130"/>
      <c r="M90" s="130"/>
      <c r="N90" s="130"/>
      <c r="O90" s="130"/>
      <c r="P90" s="130"/>
      <c r="Q90" s="130"/>
      <c r="R90" s="130"/>
    </row>
    <row r="91" spans="1:28" x14ac:dyDescent="0.25">
      <c r="A91" s="220" t="s">
        <v>139</v>
      </c>
      <c r="B91" s="129"/>
      <c r="C91" s="133"/>
      <c r="D91" s="135"/>
      <c r="E91" s="135"/>
      <c r="F91" s="130"/>
      <c r="G91" s="130"/>
      <c r="H91" s="130"/>
      <c r="I91" s="132"/>
      <c r="J91" s="103"/>
      <c r="K91" s="103"/>
      <c r="L91" s="103"/>
      <c r="M91" s="103"/>
      <c r="N91" s="103"/>
      <c r="O91" s="103"/>
      <c r="P91" s="103"/>
      <c r="Q91" s="103"/>
      <c r="R91" s="103"/>
    </row>
    <row r="92" spans="1:28" x14ac:dyDescent="0.25">
      <c r="A92" s="123" t="s">
        <v>198</v>
      </c>
      <c r="B92" s="103" t="s">
        <v>51</v>
      </c>
      <c r="C92" s="103">
        <f>D14/D24</f>
        <v>8.2202786885245906</v>
      </c>
      <c r="D92" s="103"/>
      <c r="E92" s="103"/>
      <c r="F92" s="103"/>
      <c r="G92" s="103"/>
      <c r="H92" s="103"/>
      <c r="I92" s="103"/>
      <c r="J92" s="103"/>
      <c r="K92" s="103"/>
      <c r="L92" s="103"/>
      <c r="M92" s="103"/>
      <c r="N92" s="103"/>
      <c r="O92" s="103"/>
      <c r="P92" s="103"/>
      <c r="Q92" s="103"/>
      <c r="R92" s="103"/>
    </row>
    <row r="93" spans="1:28" ht="31.5" customHeight="1" x14ac:dyDescent="0.25">
      <c r="A93" s="123" t="s">
        <v>199</v>
      </c>
      <c r="B93" s="103" t="s">
        <v>51</v>
      </c>
      <c r="C93" s="103">
        <f>C92*E89</f>
        <v>40.792360409220066</v>
      </c>
      <c r="D93" s="103"/>
      <c r="E93" s="103"/>
      <c r="F93" s="103"/>
      <c r="G93" s="103"/>
      <c r="H93" s="103"/>
      <c r="I93" s="103"/>
      <c r="J93" s="103"/>
      <c r="K93" s="103"/>
      <c r="L93" s="103"/>
      <c r="M93" s="103"/>
      <c r="N93" s="103"/>
      <c r="O93" s="103"/>
      <c r="P93" s="103"/>
      <c r="Q93" s="103"/>
      <c r="R93" s="103"/>
    </row>
    <row r="94" spans="1:28" x14ac:dyDescent="0.25">
      <c r="A94" s="120" t="s">
        <v>80</v>
      </c>
      <c r="B94" s="103" t="s">
        <v>54</v>
      </c>
      <c r="C94" s="103"/>
      <c r="D94" s="130">
        <f>C88*$D$23*$D$18*365/$D$89</f>
        <v>85346.526183141934</v>
      </c>
      <c r="E94" s="130">
        <f t="shared" ref="E94:AB94" si="40">(D88*$D$23*$D$18*(365/$D$89))+(C88*$D$23*$D$18*($D$89-365)/$D$89)</f>
        <v>1392612.7135211423</v>
      </c>
      <c r="F94" s="130">
        <f t="shared" si="40"/>
        <v>3119692.1581239994</v>
      </c>
      <c r="G94" s="130">
        <f t="shared" si="40"/>
        <v>5518616.0748809846</v>
      </c>
      <c r="H94" s="130">
        <f t="shared" si="40"/>
        <v>8797611.1104033273</v>
      </c>
      <c r="I94" s="130">
        <f t="shared" si="40"/>
        <v>11704062.753551312</v>
      </c>
      <c r="J94" s="130">
        <f t="shared" si="40"/>
        <v>11787957.3209616</v>
      </c>
      <c r="K94" s="130">
        <f t="shared" si="40"/>
        <v>11787957.3209616</v>
      </c>
      <c r="L94" s="130">
        <f t="shared" si="40"/>
        <v>11787957.3209616</v>
      </c>
      <c r="M94" s="130">
        <f t="shared" si="40"/>
        <v>11787957.3209616</v>
      </c>
      <c r="N94" s="130">
        <f t="shared" si="40"/>
        <v>11787957.3209616</v>
      </c>
      <c r="O94" s="130">
        <f t="shared" si="40"/>
        <v>11787957.3209616</v>
      </c>
      <c r="P94" s="130">
        <f t="shared" si="40"/>
        <v>11787957.3209616</v>
      </c>
      <c r="Q94" s="130">
        <f t="shared" si="40"/>
        <v>11787957.3209616</v>
      </c>
      <c r="R94" s="130">
        <f t="shared" si="40"/>
        <v>11787957.3209616</v>
      </c>
      <c r="S94" s="130">
        <f t="shared" si="40"/>
        <v>11787957.3209616</v>
      </c>
      <c r="T94" s="130">
        <f t="shared" si="40"/>
        <v>11787957.3209616</v>
      </c>
      <c r="U94" s="130">
        <f t="shared" si="40"/>
        <v>11787957.3209616</v>
      </c>
      <c r="V94" s="130">
        <f t="shared" si="40"/>
        <v>11787957.3209616</v>
      </c>
      <c r="W94" s="130">
        <f t="shared" si="40"/>
        <v>11787957.3209616</v>
      </c>
      <c r="X94" s="130">
        <f t="shared" si="40"/>
        <v>11787957.3209616</v>
      </c>
      <c r="Y94" s="130">
        <f t="shared" si="40"/>
        <v>11787957.3209616</v>
      </c>
      <c r="Z94" s="130">
        <f t="shared" si="40"/>
        <v>11787957.3209616</v>
      </c>
      <c r="AA94" s="130">
        <f t="shared" si="40"/>
        <v>11787957.3209616</v>
      </c>
      <c r="AB94" s="130">
        <f t="shared" si="40"/>
        <v>11787957.3209616</v>
      </c>
    </row>
    <row r="95" spans="1:28" ht="25.5" x14ac:dyDescent="0.25">
      <c r="A95" s="136" t="s">
        <v>208</v>
      </c>
      <c r="B95" s="137" t="s">
        <v>201</v>
      </c>
      <c r="C95" s="104"/>
      <c r="D95" s="138">
        <f>D94*$C$93*1.03/1000/1000</f>
        <v>3.585930843409793</v>
      </c>
      <c r="E95" s="138">
        <f t="shared" ref="E95:AB95" si="41">E94*$C$93*1.03/1000/1000</f>
        <v>58.51219851202886</v>
      </c>
      <c r="F95" s="138">
        <f t="shared" si="41"/>
        <v>131.07739508641208</v>
      </c>
      <c r="G95" s="138">
        <f t="shared" si="41"/>
        <v>231.87089716326034</v>
      </c>
      <c r="H95" s="138">
        <f t="shared" si="41"/>
        <v>369.64158285040321</v>
      </c>
      <c r="I95" s="138">
        <f t="shared" si="41"/>
        <v>491.75943647784351</v>
      </c>
      <c r="J95" s="138">
        <f t="shared" si="41"/>
        <v>495.28436163092488</v>
      </c>
      <c r="K95" s="138">
        <f t="shared" si="41"/>
        <v>495.28436163092488</v>
      </c>
      <c r="L95" s="138">
        <f t="shared" si="41"/>
        <v>495.28436163092488</v>
      </c>
      <c r="M95" s="138">
        <f t="shared" si="41"/>
        <v>495.28436163092488</v>
      </c>
      <c r="N95" s="138">
        <f t="shared" si="41"/>
        <v>495.28436163092488</v>
      </c>
      <c r="O95" s="138">
        <f t="shared" si="41"/>
        <v>495.28436163092488</v>
      </c>
      <c r="P95" s="138">
        <f t="shared" si="41"/>
        <v>495.28436163092488</v>
      </c>
      <c r="Q95" s="138">
        <f t="shared" si="41"/>
        <v>495.28436163092488</v>
      </c>
      <c r="R95" s="138">
        <f t="shared" si="41"/>
        <v>495.28436163092488</v>
      </c>
      <c r="S95" s="138">
        <f t="shared" si="41"/>
        <v>495.28436163092488</v>
      </c>
      <c r="T95" s="138">
        <f t="shared" si="41"/>
        <v>495.28436163092488</v>
      </c>
      <c r="U95" s="138">
        <f t="shared" si="41"/>
        <v>495.28436163092488</v>
      </c>
      <c r="V95" s="138">
        <f t="shared" si="41"/>
        <v>495.28436163092488</v>
      </c>
      <c r="W95" s="138">
        <f t="shared" si="41"/>
        <v>495.28436163092488</v>
      </c>
      <c r="X95" s="138">
        <f t="shared" si="41"/>
        <v>495.28436163092488</v>
      </c>
      <c r="Y95" s="138">
        <f t="shared" si="41"/>
        <v>495.28436163092488</v>
      </c>
      <c r="Z95" s="138">
        <f t="shared" si="41"/>
        <v>495.28436163092488</v>
      </c>
      <c r="AA95" s="138">
        <f t="shared" si="41"/>
        <v>495.28436163092488</v>
      </c>
      <c r="AB95" s="138">
        <f t="shared" si="41"/>
        <v>495.28436163092488</v>
      </c>
    </row>
    <row r="96" spans="1:28" x14ac:dyDescent="0.25">
      <c r="A96" s="120"/>
      <c r="B96" s="103"/>
      <c r="C96" s="103"/>
      <c r="D96" s="103"/>
      <c r="E96" s="103"/>
      <c r="F96" s="103"/>
      <c r="G96" s="103"/>
      <c r="H96" s="103"/>
      <c r="I96" s="103"/>
      <c r="J96" s="103"/>
      <c r="K96" s="103"/>
      <c r="L96" s="103"/>
      <c r="M96" s="103"/>
      <c r="N96" s="103"/>
      <c r="O96" s="103"/>
      <c r="P96" s="103"/>
      <c r="Q96" s="103"/>
      <c r="R96" s="103"/>
    </row>
    <row r="97" spans="1:29" x14ac:dyDescent="0.25">
      <c r="A97" s="221" t="s">
        <v>140</v>
      </c>
      <c r="B97" s="103"/>
      <c r="C97" s="103"/>
      <c r="D97" s="103"/>
      <c r="E97" s="103"/>
      <c r="F97" s="103"/>
      <c r="G97" s="131"/>
      <c r="H97" s="131"/>
      <c r="I97" s="131"/>
      <c r="J97" s="131"/>
      <c r="K97" s="131"/>
      <c r="L97" s="131"/>
      <c r="M97" s="131"/>
      <c r="N97" s="131"/>
      <c r="O97" s="131"/>
      <c r="P97" s="131"/>
      <c r="Q97" s="131"/>
      <c r="R97" s="131"/>
      <c r="S97" s="131"/>
      <c r="T97" s="131"/>
      <c r="U97" s="131"/>
      <c r="V97" s="131"/>
      <c r="W97" s="131"/>
      <c r="X97" s="131"/>
    </row>
    <row r="98" spans="1:29" x14ac:dyDescent="0.25">
      <c r="A98" s="120" t="s">
        <v>120</v>
      </c>
      <c r="B98" s="103" t="s">
        <v>56</v>
      </c>
      <c r="C98" s="103"/>
      <c r="D98" s="131">
        <f>D94/2/100000*$D$19</f>
        <v>0.38405936782413874</v>
      </c>
      <c r="E98" s="131">
        <f t="shared" ref="E98:AB98" si="42">E94/2/100000*$D$19</f>
        <v>6.2667572108451397</v>
      </c>
      <c r="F98" s="131">
        <f t="shared" si="42"/>
        <v>14.038614711557997</v>
      </c>
      <c r="G98" s="131">
        <f t="shared" si="42"/>
        <v>24.833772336964433</v>
      </c>
      <c r="H98" s="131">
        <f t="shared" si="42"/>
        <v>39.589249996814978</v>
      </c>
      <c r="I98" s="131">
        <f t="shared" si="42"/>
        <v>52.668282390980906</v>
      </c>
      <c r="J98" s="131">
        <f t="shared" si="42"/>
        <v>53.045807944327201</v>
      </c>
      <c r="K98" s="131">
        <f t="shared" si="42"/>
        <v>53.045807944327201</v>
      </c>
      <c r="L98" s="131">
        <f t="shared" si="42"/>
        <v>53.045807944327201</v>
      </c>
      <c r="M98" s="131">
        <f t="shared" si="42"/>
        <v>53.045807944327201</v>
      </c>
      <c r="N98" s="131">
        <f t="shared" si="42"/>
        <v>53.045807944327201</v>
      </c>
      <c r="O98" s="131">
        <f t="shared" si="42"/>
        <v>53.045807944327201</v>
      </c>
      <c r="P98" s="131">
        <f t="shared" si="42"/>
        <v>53.045807944327201</v>
      </c>
      <c r="Q98" s="131">
        <f t="shared" si="42"/>
        <v>53.045807944327201</v>
      </c>
      <c r="R98" s="131">
        <f t="shared" si="42"/>
        <v>53.045807944327201</v>
      </c>
      <c r="S98" s="131">
        <f t="shared" si="42"/>
        <v>53.045807944327201</v>
      </c>
      <c r="T98" s="131">
        <f t="shared" si="42"/>
        <v>53.045807944327201</v>
      </c>
      <c r="U98" s="131">
        <f t="shared" si="42"/>
        <v>53.045807944327201</v>
      </c>
      <c r="V98" s="131">
        <f t="shared" si="42"/>
        <v>53.045807944327201</v>
      </c>
      <c r="W98" s="131">
        <f t="shared" si="42"/>
        <v>53.045807944327201</v>
      </c>
      <c r="X98" s="131">
        <f t="shared" si="42"/>
        <v>53.045807944327201</v>
      </c>
      <c r="Y98" s="131">
        <f t="shared" si="42"/>
        <v>53.045807944327201</v>
      </c>
      <c r="Z98" s="131">
        <f t="shared" si="42"/>
        <v>53.045807944327201</v>
      </c>
      <c r="AA98" s="131">
        <f t="shared" si="42"/>
        <v>53.045807944327201</v>
      </c>
      <c r="AB98" s="131">
        <f t="shared" si="42"/>
        <v>53.045807944327201</v>
      </c>
    </row>
    <row r="99" spans="1:29" x14ac:dyDescent="0.25">
      <c r="A99" s="120" t="s">
        <v>192</v>
      </c>
      <c r="B99" s="103" t="s">
        <v>56</v>
      </c>
      <c r="C99" s="103"/>
      <c r="D99" s="131"/>
      <c r="E99" s="131"/>
      <c r="F99" s="131"/>
      <c r="G99" s="131">
        <f>D98</f>
        <v>0.38405936782413874</v>
      </c>
      <c r="H99" s="131">
        <f>SUM(D98:E98)</f>
        <v>6.6508165786692786</v>
      </c>
      <c r="I99" s="131">
        <f>SUM(D98:F98)</f>
        <v>20.689431290227276</v>
      </c>
      <c r="J99" s="131">
        <f>SUM(D98:G98)</f>
        <v>45.523203627191705</v>
      </c>
      <c r="K99" s="131">
        <f>SUM(D98:H98)</f>
        <v>85.11245362400669</v>
      </c>
      <c r="L99" s="131">
        <f t="shared" ref="L99:V99" si="43">SUM(E98:I98)</f>
        <v>137.39667664716347</v>
      </c>
      <c r="M99" s="131">
        <f t="shared" si="43"/>
        <v>184.1757273806455</v>
      </c>
      <c r="N99" s="131">
        <f t="shared" si="43"/>
        <v>223.18292061341472</v>
      </c>
      <c r="O99" s="131">
        <f t="shared" si="43"/>
        <v>251.39495622077752</v>
      </c>
      <c r="P99" s="131">
        <f t="shared" si="43"/>
        <v>264.85151416828973</v>
      </c>
      <c r="Q99" s="131">
        <f t="shared" si="43"/>
        <v>265.22903972163601</v>
      </c>
      <c r="R99" s="131">
        <f t="shared" si="43"/>
        <v>265.22903972163601</v>
      </c>
      <c r="S99" s="131">
        <f t="shared" si="43"/>
        <v>265.22903972163601</v>
      </c>
      <c r="T99" s="131">
        <f t="shared" si="43"/>
        <v>265.22903972163601</v>
      </c>
      <c r="U99" s="131">
        <f t="shared" si="43"/>
        <v>265.22903972163601</v>
      </c>
      <c r="V99" s="131">
        <f t="shared" si="43"/>
        <v>265.22903972163601</v>
      </c>
      <c r="W99" s="131">
        <f t="shared" ref="W99:AB99" si="44">SUM(P98:T98)</f>
        <v>265.22903972163601</v>
      </c>
      <c r="X99" s="131">
        <f t="shared" si="44"/>
        <v>265.22903972163601</v>
      </c>
      <c r="Y99" s="131">
        <f t="shared" si="44"/>
        <v>265.22903972163601</v>
      </c>
      <c r="Z99" s="131">
        <f t="shared" si="44"/>
        <v>265.22903972163601</v>
      </c>
      <c r="AA99" s="131">
        <f t="shared" si="44"/>
        <v>265.22903972163601</v>
      </c>
      <c r="AB99" s="131">
        <f t="shared" si="44"/>
        <v>265.22903972163601</v>
      </c>
    </row>
    <row r="100" spans="1:29" ht="30" x14ac:dyDescent="0.25">
      <c r="A100" s="120" t="s">
        <v>190</v>
      </c>
      <c r="B100" s="103" t="s">
        <v>51</v>
      </c>
      <c r="C100" s="103"/>
      <c r="D100" s="131"/>
      <c r="E100" s="131"/>
      <c r="F100" s="131"/>
      <c r="G100" s="131">
        <f>(1+$D$17*5)*D14</f>
        <v>2632.5442499999999</v>
      </c>
      <c r="H100" s="131">
        <f>(1+$D$17)*G100</f>
        <v>2658.8696924999999</v>
      </c>
      <c r="I100" s="131">
        <f t="shared" ref="I100:AB100" si="45">(1+$D$17)*H100</f>
        <v>2685.458389425</v>
      </c>
      <c r="J100" s="131">
        <f t="shared" si="45"/>
        <v>2712.31297331925</v>
      </c>
      <c r="K100" s="131">
        <f t="shared" si="45"/>
        <v>2739.4361030524424</v>
      </c>
      <c r="L100" s="131">
        <f t="shared" si="45"/>
        <v>2766.830464082967</v>
      </c>
      <c r="M100" s="131">
        <f t="shared" si="45"/>
        <v>2794.4987687237967</v>
      </c>
      <c r="N100" s="131">
        <f t="shared" si="45"/>
        <v>2822.4437564110349</v>
      </c>
      <c r="O100" s="131">
        <f t="shared" si="45"/>
        <v>2850.6681939751452</v>
      </c>
      <c r="P100" s="131">
        <f t="shared" si="45"/>
        <v>2879.1748759148968</v>
      </c>
      <c r="Q100" s="131">
        <f t="shared" si="45"/>
        <v>2907.9666246740458</v>
      </c>
      <c r="R100" s="131">
        <f t="shared" si="45"/>
        <v>2937.0462909207863</v>
      </c>
      <c r="S100" s="131">
        <f t="shared" si="45"/>
        <v>2966.4167538299944</v>
      </c>
      <c r="T100" s="131">
        <f t="shared" si="45"/>
        <v>2996.0809213682942</v>
      </c>
      <c r="U100" s="131">
        <f t="shared" si="45"/>
        <v>3026.0417305819769</v>
      </c>
      <c r="V100" s="131">
        <f t="shared" si="45"/>
        <v>3056.3021478877968</v>
      </c>
      <c r="W100" s="131">
        <f t="shared" si="45"/>
        <v>3086.8651693666748</v>
      </c>
      <c r="X100" s="131">
        <f t="shared" si="45"/>
        <v>3117.7338210603416</v>
      </c>
      <c r="Y100" s="131">
        <f t="shared" si="45"/>
        <v>3148.9111592709451</v>
      </c>
      <c r="Z100" s="131">
        <f t="shared" si="45"/>
        <v>3180.4002708636544</v>
      </c>
      <c r="AA100" s="131">
        <f t="shared" si="45"/>
        <v>3212.2042735722912</v>
      </c>
      <c r="AB100" s="131">
        <f t="shared" si="45"/>
        <v>3244.3263163080142</v>
      </c>
    </row>
    <row r="101" spans="1:29" ht="45" x14ac:dyDescent="0.25">
      <c r="A101" s="120" t="s">
        <v>191</v>
      </c>
      <c r="B101" s="103" t="s">
        <v>51</v>
      </c>
      <c r="C101" s="103"/>
      <c r="D101" s="131"/>
      <c r="E101" s="131"/>
      <c r="F101" s="131"/>
      <c r="G101" s="131">
        <f>G100-$D$14</f>
        <v>125.35924999999997</v>
      </c>
      <c r="H101" s="131">
        <f t="shared" ref="H101:AB101" si="46">H100-$D$14</f>
        <v>151.68469249999998</v>
      </c>
      <c r="I101" s="131">
        <f t="shared" si="46"/>
        <v>178.273389425</v>
      </c>
      <c r="J101" s="131">
        <f t="shared" si="46"/>
        <v>205.12797331925003</v>
      </c>
      <c r="K101" s="131">
        <f t="shared" si="46"/>
        <v>232.25110305244243</v>
      </c>
      <c r="L101" s="131">
        <f t="shared" si="46"/>
        <v>259.64546408296701</v>
      </c>
      <c r="M101" s="131">
        <f t="shared" si="46"/>
        <v>287.31376872379678</v>
      </c>
      <c r="N101" s="131">
        <f t="shared" si="46"/>
        <v>315.25875641103494</v>
      </c>
      <c r="O101" s="131">
        <f t="shared" si="46"/>
        <v>343.48319397514524</v>
      </c>
      <c r="P101" s="131">
        <f t="shared" si="46"/>
        <v>371.98987591489686</v>
      </c>
      <c r="Q101" s="131">
        <f t="shared" si="46"/>
        <v>400.78162467404582</v>
      </c>
      <c r="R101" s="131">
        <f t="shared" si="46"/>
        <v>429.86129092078636</v>
      </c>
      <c r="S101" s="131">
        <f t="shared" si="46"/>
        <v>459.23175382999443</v>
      </c>
      <c r="T101" s="131">
        <f t="shared" si="46"/>
        <v>488.89592136829424</v>
      </c>
      <c r="U101" s="131">
        <f t="shared" si="46"/>
        <v>518.85673058197699</v>
      </c>
      <c r="V101" s="131">
        <f t="shared" si="46"/>
        <v>549.11714788779682</v>
      </c>
      <c r="W101" s="131">
        <f t="shared" si="46"/>
        <v>579.68016936667482</v>
      </c>
      <c r="X101" s="131">
        <f t="shared" si="46"/>
        <v>610.54882106034165</v>
      </c>
      <c r="Y101" s="131">
        <f t="shared" si="46"/>
        <v>641.72615927094512</v>
      </c>
      <c r="Z101" s="131">
        <f t="shared" si="46"/>
        <v>673.2152708636545</v>
      </c>
      <c r="AA101" s="131">
        <f t="shared" si="46"/>
        <v>705.01927357229124</v>
      </c>
      <c r="AB101" s="131">
        <f t="shared" si="46"/>
        <v>737.14131630801421</v>
      </c>
    </row>
    <row r="102" spans="1:29" x14ac:dyDescent="0.25">
      <c r="A102" s="103"/>
      <c r="B102" s="103"/>
      <c r="C102" s="103"/>
      <c r="D102" s="131"/>
      <c r="E102" s="131"/>
      <c r="F102" s="131"/>
      <c r="G102" s="131"/>
      <c r="H102" s="131"/>
      <c r="I102" s="131"/>
      <c r="J102" s="131"/>
      <c r="K102" s="131"/>
      <c r="L102" s="131"/>
      <c r="M102" s="131"/>
      <c r="N102" s="131"/>
      <c r="O102" s="131"/>
      <c r="P102" s="131"/>
      <c r="Q102" s="131"/>
      <c r="R102" s="131"/>
      <c r="S102" s="131"/>
      <c r="T102" s="131"/>
      <c r="U102" s="131"/>
      <c r="V102" s="131"/>
      <c r="W102" s="131"/>
      <c r="X102" s="131"/>
      <c r="Y102" s="131"/>
      <c r="Z102" s="131"/>
      <c r="AA102" s="131"/>
      <c r="AB102" s="131"/>
    </row>
    <row r="103" spans="1:29" x14ac:dyDescent="0.25">
      <c r="A103" s="103" t="s">
        <v>183</v>
      </c>
      <c r="B103" s="103"/>
      <c r="C103" s="103"/>
      <c r="D103" s="131"/>
      <c r="E103" s="131"/>
      <c r="F103" s="131"/>
      <c r="G103" s="131"/>
      <c r="H103" s="131"/>
      <c r="I103" s="131"/>
      <c r="J103" s="131"/>
      <c r="K103" s="131"/>
      <c r="L103" s="131"/>
      <c r="M103" s="131"/>
      <c r="N103" s="131"/>
      <c r="O103" s="131"/>
      <c r="P103" s="131"/>
      <c r="Q103" s="131"/>
      <c r="R103" s="131"/>
      <c r="S103" s="131"/>
      <c r="T103" s="131"/>
      <c r="U103" s="131"/>
      <c r="V103" s="131"/>
      <c r="W103" s="131"/>
      <c r="X103" s="131"/>
      <c r="Y103" s="131"/>
      <c r="Z103" s="131"/>
      <c r="AA103" s="131"/>
      <c r="AB103" s="131"/>
    </row>
    <row r="104" spans="1:29" x14ac:dyDescent="0.25">
      <c r="A104" s="103" t="s">
        <v>184</v>
      </c>
      <c r="B104" s="103" t="s">
        <v>51</v>
      </c>
      <c r="C104" s="103"/>
      <c r="D104" s="131"/>
      <c r="E104" s="131"/>
      <c r="F104" s="131"/>
      <c r="G104" s="130">
        <f>G101*D98*100000</f>
        <v>4814539.4305908158</v>
      </c>
      <c r="H104" s="130">
        <f t="shared" ref="H104:AB104" si="47">H101*E98*100000</f>
        <v>95057114.049920261</v>
      </c>
      <c r="I104" s="130">
        <f t="shared" si="47"/>
        <v>250271142.7461113</v>
      </c>
      <c r="J104" s="130">
        <f t="shared" si="47"/>
        <v>509410138.93531698</v>
      </c>
      <c r="K104" s="130">
        <f t="shared" si="47"/>
        <v>919464698.07791817</v>
      </c>
      <c r="L104" s="130">
        <f t="shared" si="47"/>
        <v>1367508062.3858995</v>
      </c>
      <c r="M104" s="130">
        <f t="shared" si="47"/>
        <v>1524079099.5483367</v>
      </c>
      <c r="N104" s="130">
        <f t="shared" si="47"/>
        <v>1672315544.534719</v>
      </c>
      <c r="O104" s="130">
        <f t="shared" si="47"/>
        <v>1822034353.970964</v>
      </c>
      <c r="P104" s="130">
        <f t="shared" si="47"/>
        <v>1973250351.5015724</v>
      </c>
      <c r="Q104" s="130">
        <f t="shared" si="47"/>
        <v>2125978509.0074863</v>
      </c>
      <c r="R104" s="130">
        <f t="shared" si="47"/>
        <v>2280233948.0884595</v>
      </c>
      <c r="S104" s="130">
        <f t="shared" si="47"/>
        <v>2436031941.5602431</v>
      </c>
      <c r="T104" s="130">
        <f t="shared" si="47"/>
        <v>2593387914.966743</v>
      </c>
      <c r="U104" s="130">
        <f t="shared" si="47"/>
        <v>2752317448.1073074</v>
      </c>
      <c r="V104" s="130">
        <f t="shared" si="47"/>
        <v>2912836276.5792785</v>
      </c>
      <c r="W104" s="130">
        <f t="shared" si="47"/>
        <v>3074960293.3359694</v>
      </c>
      <c r="X104" s="130">
        <f t="shared" si="47"/>
        <v>3238705550.2602277</v>
      </c>
      <c r="Y104" s="130">
        <f t="shared" si="47"/>
        <v>3404088259.7537284</v>
      </c>
      <c r="Z104" s="130">
        <f t="shared" si="47"/>
        <v>3571124796.3421631</v>
      </c>
      <c r="AA104" s="130">
        <f t="shared" si="47"/>
        <v>3739831698.296484</v>
      </c>
      <c r="AB104" s="130">
        <f t="shared" si="47"/>
        <v>3910225669.2703471</v>
      </c>
    </row>
    <row r="105" spans="1:29" x14ac:dyDescent="0.25">
      <c r="A105" s="103" t="s">
        <v>185</v>
      </c>
      <c r="B105" s="103" t="s">
        <v>51</v>
      </c>
      <c r="C105" s="103"/>
      <c r="D105" s="131"/>
      <c r="E105" s="131"/>
      <c r="F105" s="131"/>
      <c r="G105" s="130"/>
      <c r="H105" s="130">
        <f>G101*D98*100000</f>
        <v>4814539.4305908158</v>
      </c>
      <c r="I105" s="130">
        <f t="shared" ref="I105:AB105" si="48">H101*E98*100000</f>
        <v>95057114.049920261</v>
      </c>
      <c r="J105" s="130">
        <f t="shared" si="48"/>
        <v>250271142.7461113</v>
      </c>
      <c r="K105" s="130">
        <f t="shared" si="48"/>
        <v>509410138.93531698</v>
      </c>
      <c r="L105" s="130">
        <f t="shared" si="48"/>
        <v>919464698.07791817</v>
      </c>
      <c r="M105" s="130">
        <f t="shared" si="48"/>
        <v>1367508062.3858995</v>
      </c>
      <c r="N105" s="130">
        <f t="shared" si="48"/>
        <v>1524079099.5483367</v>
      </c>
      <c r="O105" s="130">
        <f t="shared" si="48"/>
        <v>1672315544.534719</v>
      </c>
      <c r="P105" s="130">
        <f t="shared" si="48"/>
        <v>1822034353.970964</v>
      </c>
      <c r="Q105" s="130">
        <f t="shared" si="48"/>
        <v>1973250351.5015724</v>
      </c>
      <c r="R105" s="130">
        <f t="shared" si="48"/>
        <v>2125978509.0074863</v>
      </c>
      <c r="S105" s="130">
        <f t="shared" si="48"/>
        <v>2280233948.0884595</v>
      </c>
      <c r="T105" s="130">
        <f t="shared" si="48"/>
        <v>2436031941.5602431</v>
      </c>
      <c r="U105" s="130">
        <f t="shared" si="48"/>
        <v>2593387914.966743</v>
      </c>
      <c r="V105" s="130">
        <f t="shared" si="48"/>
        <v>2752317448.1073074</v>
      </c>
      <c r="W105" s="130">
        <f t="shared" si="48"/>
        <v>2912836276.5792785</v>
      </c>
      <c r="X105" s="130">
        <f t="shared" si="48"/>
        <v>3074960293.3359694</v>
      </c>
      <c r="Y105" s="130">
        <f t="shared" si="48"/>
        <v>3238705550.2602277</v>
      </c>
      <c r="Z105" s="130">
        <f t="shared" si="48"/>
        <v>3404088259.7537284</v>
      </c>
      <c r="AA105" s="130">
        <f t="shared" si="48"/>
        <v>3571124796.3421631</v>
      </c>
      <c r="AB105" s="130">
        <f t="shared" si="48"/>
        <v>3739831698.296484</v>
      </c>
    </row>
    <row r="106" spans="1:29" x14ac:dyDescent="0.25">
      <c r="A106" s="103" t="s">
        <v>186</v>
      </c>
      <c r="B106" s="103" t="s">
        <v>51</v>
      </c>
      <c r="C106" s="103"/>
      <c r="D106" s="131"/>
      <c r="E106" s="131"/>
      <c r="F106" s="131"/>
      <c r="G106" s="130"/>
      <c r="H106" s="130"/>
      <c r="I106" s="130">
        <f>G101*D98*100000</f>
        <v>4814539.4305908158</v>
      </c>
      <c r="J106" s="130">
        <f t="shared" ref="J106:AB106" si="49">H101*E98*100000</f>
        <v>95057114.049920261</v>
      </c>
      <c r="K106" s="130">
        <f t="shared" si="49"/>
        <v>250271142.7461113</v>
      </c>
      <c r="L106" s="130">
        <f t="shared" si="49"/>
        <v>509410138.93531698</v>
      </c>
      <c r="M106" s="130">
        <f t="shared" si="49"/>
        <v>919464698.07791817</v>
      </c>
      <c r="N106" s="130">
        <f t="shared" si="49"/>
        <v>1367508062.3858995</v>
      </c>
      <c r="O106" s="130">
        <f t="shared" si="49"/>
        <v>1524079099.5483367</v>
      </c>
      <c r="P106" s="130">
        <f t="shared" si="49"/>
        <v>1672315544.534719</v>
      </c>
      <c r="Q106" s="130">
        <f t="shared" si="49"/>
        <v>1822034353.970964</v>
      </c>
      <c r="R106" s="130">
        <f t="shared" si="49"/>
        <v>1973250351.5015724</v>
      </c>
      <c r="S106" s="130">
        <f t="shared" si="49"/>
        <v>2125978509.0074863</v>
      </c>
      <c r="T106" s="130">
        <f t="shared" si="49"/>
        <v>2280233948.0884595</v>
      </c>
      <c r="U106" s="130">
        <f t="shared" si="49"/>
        <v>2436031941.5602431</v>
      </c>
      <c r="V106" s="130">
        <f t="shared" si="49"/>
        <v>2593387914.966743</v>
      </c>
      <c r="W106" s="130">
        <f t="shared" si="49"/>
        <v>2752317448.1073074</v>
      </c>
      <c r="X106" s="130">
        <f t="shared" si="49"/>
        <v>2912836276.5792785</v>
      </c>
      <c r="Y106" s="130">
        <f t="shared" si="49"/>
        <v>3074960293.3359694</v>
      </c>
      <c r="Z106" s="130">
        <f t="shared" si="49"/>
        <v>3238705550.2602277</v>
      </c>
      <c r="AA106" s="130">
        <f t="shared" si="49"/>
        <v>3404088259.7537284</v>
      </c>
      <c r="AB106" s="130">
        <f t="shared" si="49"/>
        <v>3571124796.3421631</v>
      </c>
    </row>
    <row r="107" spans="1:29" x14ac:dyDescent="0.25">
      <c r="A107" s="103" t="s">
        <v>187</v>
      </c>
      <c r="B107" s="103" t="s">
        <v>51</v>
      </c>
      <c r="C107" s="103"/>
      <c r="D107" s="131"/>
      <c r="E107" s="131"/>
      <c r="F107" s="131"/>
      <c r="G107" s="130"/>
      <c r="H107" s="130"/>
      <c r="I107" s="130"/>
      <c r="J107" s="130">
        <f>G101*D98*100000</f>
        <v>4814539.4305908158</v>
      </c>
      <c r="K107" s="130">
        <f t="shared" ref="K107:AB107" si="50">H101*E98*100000</f>
        <v>95057114.049920261</v>
      </c>
      <c r="L107" s="130">
        <f t="shared" si="50"/>
        <v>250271142.7461113</v>
      </c>
      <c r="M107" s="130">
        <f t="shared" si="50"/>
        <v>509410138.93531698</v>
      </c>
      <c r="N107" s="130">
        <f t="shared" si="50"/>
        <v>919464698.07791817</v>
      </c>
      <c r="O107" s="130">
        <f t="shared" si="50"/>
        <v>1367508062.3858995</v>
      </c>
      <c r="P107" s="130">
        <f t="shared" si="50"/>
        <v>1524079099.5483367</v>
      </c>
      <c r="Q107" s="130">
        <f t="shared" si="50"/>
        <v>1672315544.534719</v>
      </c>
      <c r="R107" s="130">
        <f t="shared" si="50"/>
        <v>1822034353.970964</v>
      </c>
      <c r="S107" s="130">
        <f t="shared" si="50"/>
        <v>1973250351.5015724</v>
      </c>
      <c r="T107" s="130">
        <f t="shared" si="50"/>
        <v>2125978509.0074863</v>
      </c>
      <c r="U107" s="130">
        <f t="shared" si="50"/>
        <v>2280233948.0884595</v>
      </c>
      <c r="V107" s="130">
        <f t="shared" si="50"/>
        <v>2436031941.5602431</v>
      </c>
      <c r="W107" s="130">
        <f t="shared" si="50"/>
        <v>2593387914.966743</v>
      </c>
      <c r="X107" s="130">
        <f t="shared" si="50"/>
        <v>2752317448.1073074</v>
      </c>
      <c r="Y107" s="130">
        <f t="shared" si="50"/>
        <v>2912836276.5792785</v>
      </c>
      <c r="Z107" s="130">
        <f t="shared" si="50"/>
        <v>3074960293.3359694</v>
      </c>
      <c r="AA107" s="130">
        <f t="shared" si="50"/>
        <v>3238705550.2602277</v>
      </c>
      <c r="AB107" s="130">
        <f t="shared" si="50"/>
        <v>3404088259.7537284</v>
      </c>
    </row>
    <row r="108" spans="1:29" x14ac:dyDescent="0.25">
      <c r="A108" s="103" t="s">
        <v>188</v>
      </c>
      <c r="B108" s="103" t="s">
        <v>51</v>
      </c>
      <c r="C108" s="103"/>
      <c r="D108" s="131"/>
      <c r="E108" s="131"/>
      <c r="F108" s="131"/>
      <c r="G108" s="130"/>
      <c r="H108" s="130"/>
      <c r="I108" s="130"/>
      <c r="J108" s="130"/>
      <c r="K108" s="130">
        <f>G101*D98*100000</f>
        <v>4814539.4305908158</v>
      </c>
      <c r="L108" s="130">
        <f t="shared" ref="L108:AB108" si="51">H101*E98*100000</f>
        <v>95057114.049920261</v>
      </c>
      <c r="M108" s="130">
        <f t="shared" si="51"/>
        <v>250271142.7461113</v>
      </c>
      <c r="N108" s="130">
        <f t="shared" si="51"/>
        <v>509410138.93531698</v>
      </c>
      <c r="O108" s="130">
        <f t="shared" si="51"/>
        <v>919464698.07791817</v>
      </c>
      <c r="P108" s="130">
        <f t="shared" si="51"/>
        <v>1367508062.3858995</v>
      </c>
      <c r="Q108" s="130">
        <f t="shared" si="51"/>
        <v>1524079099.5483367</v>
      </c>
      <c r="R108" s="130">
        <f t="shared" si="51"/>
        <v>1672315544.534719</v>
      </c>
      <c r="S108" s="130">
        <f t="shared" si="51"/>
        <v>1822034353.970964</v>
      </c>
      <c r="T108" s="130">
        <f t="shared" si="51"/>
        <v>1973250351.5015724</v>
      </c>
      <c r="U108" s="130">
        <f t="shared" si="51"/>
        <v>2125978509.0074863</v>
      </c>
      <c r="V108" s="130">
        <f t="shared" si="51"/>
        <v>2280233948.0884595</v>
      </c>
      <c r="W108" s="130">
        <f t="shared" si="51"/>
        <v>2436031941.5602431</v>
      </c>
      <c r="X108" s="130">
        <f t="shared" si="51"/>
        <v>2593387914.966743</v>
      </c>
      <c r="Y108" s="130">
        <f t="shared" si="51"/>
        <v>2752317448.1073074</v>
      </c>
      <c r="Z108" s="130">
        <f t="shared" si="51"/>
        <v>2912836276.5792785</v>
      </c>
      <c r="AA108" s="130">
        <f t="shared" si="51"/>
        <v>3074960293.3359694</v>
      </c>
      <c r="AB108" s="130">
        <f t="shared" si="51"/>
        <v>3238705550.2602277</v>
      </c>
    </row>
    <row r="109" spans="1:29" x14ac:dyDescent="0.25">
      <c r="A109" s="104" t="s">
        <v>31</v>
      </c>
      <c r="B109" s="104" t="s">
        <v>51</v>
      </c>
      <c r="C109" s="103"/>
      <c r="D109" s="131"/>
      <c r="E109" s="131"/>
      <c r="F109" s="131"/>
      <c r="G109" s="141">
        <f>SUM(G104:G108)</f>
        <v>4814539.4305908158</v>
      </c>
      <c r="H109" s="141">
        <f t="shared" ref="H109:AB109" si="52">SUM(H104:H108)</f>
        <v>99871653.480511069</v>
      </c>
      <c r="I109" s="141">
        <f t="shared" si="52"/>
        <v>350142796.2266224</v>
      </c>
      <c r="J109" s="141">
        <f t="shared" si="52"/>
        <v>859552935.16193938</v>
      </c>
      <c r="K109" s="141">
        <f t="shared" si="52"/>
        <v>1779017633.2398577</v>
      </c>
      <c r="L109" s="141">
        <f t="shared" si="52"/>
        <v>3141711156.1951661</v>
      </c>
      <c r="M109" s="141">
        <f t="shared" si="52"/>
        <v>4570733141.6935825</v>
      </c>
      <c r="N109" s="141">
        <f t="shared" si="52"/>
        <v>5992777543.4821901</v>
      </c>
      <c r="O109" s="141">
        <f t="shared" si="52"/>
        <v>7305401758.5178375</v>
      </c>
      <c r="P109" s="141">
        <f t="shared" si="52"/>
        <v>8359187411.9414921</v>
      </c>
      <c r="Q109" s="141">
        <f t="shared" si="52"/>
        <v>9117657858.5630779</v>
      </c>
      <c r="R109" s="141">
        <f t="shared" si="52"/>
        <v>9873812707.1032009</v>
      </c>
      <c r="S109" s="141">
        <f t="shared" si="52"/>
        <v>10637529104.128725</v>
      </c>
      <c r="T109" s="141">
        <f t="shared" si="52"/>
        <v>11408882665.124504</v>
      </c>
      <c r="U109" s="141">
        <f t="shared" si="52"/>
        <v>12187949761.73024</v>
      </c>
      <c r="V109" s="141">
        <f t="shared" si="52"/>
        <v>12974807529.302032</v>
      </c>
      <c r="W109" s="141">
        <f t="shared" si="52"/>
        <v>13769533874.549543</v>
      </c>
      <c r="X109" s="141">
        <f t="shared" si="52"/>
        <v>14572207483.249527</v>
      </c>
      <c r="Y109" s="141">
        <f t="shared" si="52"/>
        <v>15382907828.036512</v>
      </c>
      <c r="Z109" s="141">
        <f t="shared" si="52"/>
        <v>16201715176.271368</v>
      </c>
      <c r="AA109" s="141">
        <f t="shared" si="52"/>
        <v>17028710597.988573</v>
      </c>
      <c r="AB109" s="141">
        <f t="shared" si="52"/>
        <v>17863975973.922951</v>
      </c>
    </row>
    <row r="110" spans="1:29" x14ac:dyDescent="0.25">
      <c r="A110" s="120"/>
      <c r="B110" s="103"/>
      <c r="C110" s="103"/>
      <c r="D110" s="131"/>
      <c r="E110" s="131"/>
      <c r="F110" s="131"/>
      <c r="G110" s="131"/>
      <c r="H110" s="131"/>
      <c r="I110" s="131"/>
      <c r="J110" s="131"/>
      <c r="K110" s="131"/>
      <c r="L110" s="131"/>
      <c r="M110" s="131"/>
      <c r="N110" s="131"/>
      <c r="O110" s="131"/>
      <c r="P110" s="131"/>
      <c r="Q110" s="131"/>
      <c r="R110" s="131"/>
      <c r="S110" s="131"/>
      <c r="T110" s="131"/>
      <c r="U110" s="131"/>
      <c r="V110" s="131"/>
      <c r="W110" s="131"/>
      <c r="X110" s="131"/>
      <c r="Y110" s="131"/>
      <c r="Z110" s="131"/>
      <c r="AA110" s="131"/>
      <c r="AB110" s="131"/>
    </row>
    <row r="111" spans="1:29" s="107" customFormat="1" ht="51" customHeight="1" x14ac:dyDescent="0.25">
      <c r="A111" s="215" t="s">
        <v>57</v>
      </c>
      <c r="B111" s="216" t="s">
        <v>55</v>
      </c>
      <c r="C111" s="217"/>
      <c r="D111" s="218"/>
      <c r="E111" s="218"/>
      <c r="F111" s="218"/>
      <c r="G111" s="218">
        <f>G109*(365/$D$89)*1.03/1000/1000</f>
        <v>4.8152472528257801</v>
      </c>
      <c r="H111" s="218">
        <f t="shared" ref="H111:AB111" si="53">((G109*($D$89-365)/$D$89)+(H109*365/$D$89))*1.03/1000/1000</f>
        <v>100.03006473620289</v>
      </c>
      <c r="I111" s="218">
        <f t="shared" si="53"/>
        <v>353.17574010433424</v>
      </c>
      <c r="J111" s="218">
        <f t="shared" si="53"/>
        <v>870.13211132623474</v>
      </c>
      <c r="K111" s="218">
        <f t="shared" si="53"/>
        <v>1804.9393988266372</v>
      </c>
      <c r="L111" s="218">
        <f t="shared" si="53"/>
        <v>3195.2820251810349</v>
      </c>
      <c r="M111" s="218">
        <f t="shared" si="53"/>
        <v>4665.1945678222792</v>
      </c>
      <c r="N111" s="218">
        <f t="shared" si="53"/>
        <v>6130.1086033479351</v>
      </c>
      <c r="O111" s="218">
        <f t="shared" si="53"/>
        <v>7485.3780637393838</v>
      </c>
      <c r="P111" s="218">
        <f t="shared" si="53"/>
        <v>8578.5043897790893</v>
      </c>
      <c r="Q111" s="218">
        <f t="shared" si="53"/>
        <v>9368.5449894579997</v>
      </c>
      <c r="R111" s="218">
        <f t="shared" si="53"/>
        <v>10147.453610963003</v>
      </c>
      <c r="S111" s="218">
        <f t="shared" si="53"/>
        <v>10933.85576512576</v>
      </c>
      <c r="T111" s="218">
        <f t="shared" si="53"/>
        <v>11728.121940830144</v>
      </c>
      <c r="U111" s="218">
        <f t="shared" si="53"/>
        <v>12530.330778291569</v>
      </c>
      <c r="V111" s="218">
        <f t="shared" si="53"/>
        <v>13340.561704127609</v>
      </c>
      <c r="W111" s="218">
        <f t="shared" si="53"/>
        <v>14158.894939222009</v>
      </c>
      <c r="X111" s="218">
        <f t="shared" si="53"/>
        <v>14985.411506667353</v>
      </c>
      <c r="Y111" s="218">
        <f t="shared" si="53"/>
        <v>15820.193239787153</v>
      </c>
      <c r="Z111" s="218">
        <f t="shared" si="53"/>
        <v>16663.322790238148</v>
      </c>
      <c r="AA111" s="218">
        <f t="shared" si="53"/>
        <v>17514.883636193656</v>
      </c>
      <c r="AB111" s="218">
        <f t="shared" si="53"/>
        <v>18374.960090608722</v>
      </c>
      <c r="AC111" s="138"/>
    </row>
    <row r="112" spans="1:29" x14ac:dyDescent="0.25">
      <c r="A112" s="103"/>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row>
    <row r="113" spans="1:28" ht="63" customHeight="1" x14ac:dyDescent="0.25">
      <c r="A113" s="142" t="s">
        <v>209</v>
      </c>
      <c r="B113" s="143" t="s">
        <v>55</v>
      </c>
      <c r="C113" s="145">
        <f t="shared" ref="C113:AB113" si="54">C111+C95</f>
        <v>0</v>
      </c>
      <c r="D113" s="145">
        <f t="shared" si="54"/>
        <v>3.585930843409793</v>
      </c>
      <c r="E113" s="145">
        <f t="shared" si="54"/>
        <v>58.51219851202886</v>
      </c>
      <c r="F113" s="145">
        <f t="shared" si="54"/>
        <v>131.07739508641208</v>
      </c>
      <c r="G113" s="145">
        <f t="shared" si="54"/>
        <v>236.68614441608611</v>
      </c>
      <c r="H113" s="145">
        <f t="shared" si="54"/>
        <v>469.67164758660613</v>
      </c>
      <c r="I113" s="145">
        <f t="shared" si="54"/>
        <v>844.93517658217775</v>
      </c>
      <c r="J113" s="145">
        <f t="shared" si="54"/>
        <v>1365.4164729571596</v>
      </c>
      <c r="K113" s="145">
        <f t="shared" si="54"/>
        <v>2300.2237604575621</v>
      </c>
      <c r="L113" s="145">
        <f t="shared" si="54"/>
        <v>3690.56638681196</v>
      </c>
      <c r="M113" s="145">
        <f t="shared" si="54"/>
        <v>5160.4789294532038</v>
      </c>
      <c r="N113" s="145">
        <f t="shared" si="54"/>
        <v>6625.3929649788597</v>
      </c>
      <c r="O113" s="145">
        <f t="shared" si="54"/>
        <v>7980.6624253703085</v>
      </c>
      <c r="P113" s="145">
        <f t="shared" si="54"/>
        <v>9073.7887514100148</v>
      </c>
      <c r="Q113" s="145">
        <f t="shared" si="54"/>
        <v>9863.8293510889253</v>
      </c>
      <c r="R113" s="145">
        <f t="shared" si="54"/>
        <v>10642.737972593928</v>
      </c>
      <c r="S113" s="145">
        <f t="shared" si="54"/>
        <v>11429.140126756685</v>
      </c>
      <c r="T113" s="145">
        <f t="shared" si="54"/>
        <v>12223.40630246107</v>
      </c>
      <c r="U113" s="145">
        <f t="shared" si="54"/>
        <v>13025.615139922495</v>
      </c>
      <c r="V113" s="145">
        <f t="shared" si="54"/>
        <v>13835.846065758535</v>
      </c>
      <c r="W113" s="145">
        <f t="shared" si="54"/>
        <v>14654.179300852935</v>
      </c>
      <c r="X113" s="145">
        <f t="shared" si="54"/>
        <v>15480.695868298279</v>
      </c>
      <c r="Y113" s="145">
        <f t="shared" si="54"/>
        <v>16315.477601418079</v>
      </c>
      <c r="Z113" s="145">
        <f t="shared" si="54"/>
        <v>17158.607151869073</v>
      </c>
      <c r="AA113" s="145">
        <f t="shared" si="54"/>
        <v>18010.167997824581</v>
      </c>
      <c r="AB113" s="145">
        <f t="shared" si="54"/>
        <v>18870.244452239647</v>
      </c>
    </row>
    <row r="114" spans="1:28" x14ac:dyDescent="0.25">
      <c r="A114" s="125"/>
      <c r="B114" s="117"/>
    </row>
    <row r="116" spans="1:28" x14ac:dyDescent="0.25">
      <c r="A116" s="219" t="s">
        <v>143</v>
      </c>
      <c r="B116" s="103"/>
      <c r="C116" s="127"/>
      <c r="D116" s="104"/>
      <c r="E116" s="104"/>
      <c r="F116" s="130"/>
      <c r="G116" s="130"/>
      <c r="H116" s="130"/>
      <c r="I116" s="132"/>
      <c r="J116" s="103"/>
      <c r="K116" s="103"/>
      <c r="L116" s="103"/>
      <c r="M116" s="103"/>
      <c r="N116" s="103"/>
      <c r="O116" s="103"/>
      <c r="P116" s="103"/>
      <c r="Q116" s="103"/>
      <c r="R116" s="103"/>
    </row>
    <row r="117" spans="1:28" x14ac:dyDescent="0.25">
      <c r="A117" s="133" t="s">
        <v>138</v>
      </c>
      <c r="B117" s="103" t="s">
        <v>128</v>
      </c>
      <c r="C117" s="120">
        <f>C37*$E$20</f>
        <v>154199.99999999991</v>
      </c>
      <c r="D117" s="120">
        <f t="shared" ref="D117:AB117" si="55">D37*$E$20</f>
        <v>2511503.04</v>
      </c>
      <c r="E117" s="120">
        <f t="shared" si="55"/>
        <v>5561544.9600000009</v>
      </c>
      <c r="F117" s="120">
        <f t="shared" si="55"/>
        <v>9804765.8879999984</v>
      </c>
      <c r="G117" s="120">
        <f t="shared" si="55"/>
        <v>15602442.283199999</v>
      </c>
      <c r="H117" s="120">
        <f t="shared" si="55"/>
        <v>20680626.878879998</v>
      </c>
      <c r="I117" s="120">
        <f t="shared" si="55"/>
        <v>20680626.878879998</v>
      </c>
      <c r="J117" s="120">
        <f t="shared" si="55"/>
        <v>20680626.878879998</v>
      </c>
      <c r="K117" s="120">
        <f t="shared" si="55"/>
        <v>20680626.878879998</v>
      </c>
      <c r="L117" s="120">
        <f t="shared" si="55"/>
        <v>20680626.878879998</v>
      </c>
      <c r="M117" s="120">
        <f t="shared" si="55"/>
        <v>20680626.878879998</v>
      </c>
      <c r="N117" s="120">
        <f t="shared" si="55"/>
        <v>20680626.878879998</v>
      </c>
      <c r="O117" s="120">
        <f t="shared" si="55"/>
        <v>20680626.878879998</v>
      </c>
      <c r="P117" s="120">
        <f t="shared" si="55"/>
        <v>20680626.878879998</v>
      </c>
      <c r="Q117" s="120">
        <f t="shared" si="55"/>
        <v>20680626.878879998</v>
      </c>
      <c r="R117" s="120">
        <f t="shared" si="55"/>
        <v>20680626.878879998</v>
      </c>
      <c r="S117" s="120">
        <f t="shared" si="55"/>
        <v>20680626.878879998</v>
      </c>
      <c r="T117" s="120">
        <f t="shared" si="55"/>
        <v>20680626.878879998</v>
      </c>
      <c r="U117" s="120">
        <f t="shared" si="55"/>
        <v>20680626.878879998</v>
      </c>
      <c r="V117" s="120">
        <f t="shared" si="55"/>
        <v>20680626.878879998</v>
      </c>
      <c r="W117" s="120">
        <f t="shared" si="55"/>
        <v>20680626.878879998</v>
      </c>
      <c r="X117" s="120">
        <f t="shared" si="55"/>
        <v>20680626.878879998</v>
      </c>
      <c r="Y117" s="120">
        <f t="shared" si="55"/>
        <v>20680626.878879998</v>
      </c>
      <c r="Z117" s="120">
        <f t="shared" si="55"/>
        <v>20680626.878879998</v>
      </c>
      <c r="AA117" s="120">
        <f t="shared" si="55"/>
        <v>20680626.878879998</v>
      </c>
      <c r="AB117" s="120">
        <f t="shared" si="55"/>
        <v>20680626.878879998</v>
      </c>
    </row>
    <row r="118" spans="1:28" x14ac:dyDescent="0.25">
      <c r="A118" s="103" t="s">
        <v>44</v>
      </c>
      <c r="B118" s="147"/>
      <c r="C118" s="135">
        <f>310+60+((1/C23)-1)*22</f>
        <v>410.85714285714289</v>
      </c>
      <c r="D118" s="135">
        <f>310+60+((1/D23)-1)*22</f>
        <v>405.89473684210526</v>
      </c>
      <c r="E118" s="135">
        <f>C118-D118</f>
        <v>4.9624060150376295</v>
      </c>
      <c r="F118" s="130"/>
      <c r="G118" s="130"/>
      <c r="H118" s="130"/>
      <c r="I118" s="132"/>
      <c r="J118" s="103"/>
      <c r="K118" s="103"/>
      <c r="L118" s="103"/>
      <c r="M118" s="103"/>
      <c r="N118" s="103"/>
      <c r="O118" s="103"/>
      <c r="P118" s="103"/>
      <c r="Q118" s="103"/>
      <c r="R118" s="103"/>
    </row>
    <row r="119" spans="1:28" x14ac:dyDescent="0.25">
      <c r="A119" s="103"/>
      <c r="B119" s="147"/>
      <c r="C119" s="133"/>
      <c r="D119" s="135"/>
      <c r="E119" s="135"/>
      <c r="F119" s="130"/>
      <c r="G119" s="130"/>
      <c r="H119" s="130"/>
      <c r="I119" s="132"/>
      <c r="J119" s="103"/>
      <c r="K119" s="103"/>
      <c r="L119" s="103"/>
      <c r="M119" s="103"/>
      <c r="N119" s="103"/>
      <c r="O119" s="103"/>
      <c r="P119" s="103"/>
      <c r="Q119" s="103"/>
      <c r="R119" s="103"/>
    </row>
    <row r="120" spans="1:28" x14ac:dyDescent="0.25">
      <c r="A120" s="220" t="s">
        <v>139</v>
      </c>
      <c r="B120" s="147"/>
      <c r="C120" s="133"/>
      <c r="D120" s="130"/>
      <c r="E120" s="130"/>
      <c r="F120" s="130"/>
      <c r="G120" s="130"/>
      <c r="H120" s="130"/>
      <c r="I120" s="130"/>
      <c r="J120" s="130"/>
      <c r="K120" s="130"/>
      <c r="L120" s="130"/>
      <c r="M120" s="130"/>
      <c r="N120" s="130"/>
      <c r="O120" s="130"/>
      <c r="P120" s="130"/>
      <c r="Q120" s="130"/>
      <c r="R120" s="130"/>
    </row>
    <row r="121" spans="1:28" x14ac:dyDescent="0.25">
      <c r="A121" s="123" t="s">
        <v>198</v>
      </c>
      <c r="B121" s="103" t="s">
        <v>51</v>
      </c>
      <c r="C121" s="103">
        <f>E14/E24</f>
        <v>5.470213114754098</v>
      </c>
      <c r="D121" s="103"/>
      <c r="E121" s="103"/>
      <c r="F121" s="103"/>
      <c r="G121" s="103"/>
      <c r="H121" s="103"/>
      <c r="I121" s="103"/>
      <c r="J121" s="103"/>
      <c r="K121" s="103"/>
      <c r="L121" s="103"/>
      <c r="M121" s="103"/>
      <c r="N121" s="103"/>
      <c r="O121" s="103"/>
      <c r="P121" s="103"/>
      <c r="Q121" s="103"/>
      <c r="R121" s="103"/>
    </row>
    <row r="122" spans="1:28" ht="47.25" customHeight="1" x14ac:dyDescent="0.25">
      <c r="A122" s="123" t="s">
        <v>199</v>
      </c>
      <c r="B122" s="103" t="s">
        <v>51</v>
      </c>
      <c r="C122" s="103">
        <f>C121*E118</f>
        <v>27.145418464193462</v>
      </c>
      <c r="D122" s="103"/>
      <c r="E122" s="103"/>
      <c r="F122" s="103"/>
      <c r="G122" s="103"/>
      <c r="H122" s="103"/>
      <c r="I122" s="103"/>
      <c r="J122" s="103"/>
      <c r="K122" s="103"/>
      <c r="L122" s="103"/>
      <c r="M122" s="103"/>
      <c r="N122" s="103"/>
      <c r="O122" s="103"/>
      <c r="P122" s="103"/>
      <c r="Q122" s="103"/>
      <c r="R122" s="103"/>
    </row>
    <row r="123" spans="1:28" x14ac:dyDescent="0.25">
      <c r="A123" s="120" t="s">
        <v>80</v>
      </c>
      <c r="B123" s="103" t="s">
        <v>54</v>
      </c>
      <c r="C123" s="103"/>
      <c r="D123" s="130">
        <f>C117*$D$23*$E$18*365/$D$118</f>
        <v>47423.098288381712</v>
      </c>
      <c r="E123" s="130">
        <f t="shared" ref="E123:AB123" si="56">((D117*$D$23*$E$18*(365/$D$118))+(C117*$D$23*$E$18*($D$118-365)/$D$118))</f>
        <v>777707.95487302903</v>
      </c>
      <c r="F123" s="130">
        <f t="shared" si="56"/>
        <v>1796952.4427658925</v>
      </c>
      <c r="G123" s="130">
        <f t="shared" si="56"/>
        <v>3207020.381040249</v>
      </c>
      <c r="H123" s="130">
        <f t="shared" si="56"/>
        <v>5136263.5104391929</v>
      </c>
      <c r="I123" s="130">
        <f t="shared" si="56"/>
        <v>6897794.3218626929</v>
      </c>
      <c r="J123" s="130">
        <f t="shared" si="56"/>
        <v>7072774.3925769599</v>
      </c>
      <c r="K123" s="130">
        <f t="shared" si="56"/>
        <v>7072774.3925769599</v>
      </c>
      <c r="L123" s="130">
        <f t="shared" si="56"/>
        <v>7072774.3925769599</v>
      </c>
      <c r="M123" s="130">
        <f t="shared" si="56"/>
        <v>7072774.3925769599</v>
      </c>
      <c r="N123" s="130">
        <f t="shared" si="56"/>
        <v>7072774.3925769599</v>
      </c>
      <c r="O123" s="130">
        <f t="shared" si="56"/>
        <v>7072774.3925769599</v>
      </c>
      <c r="P123" s="130">
        <f t="shared" si="56"/>
        <v>7072774.3925769599</v>
      </c>
      <c r="Q123" s="130">
        <f t="shared" si="56"/>
        <v>7072774.3925769599</v>
      </c>
      <c r="R123" s="130">
        <f t="shared" si="56"/>
        <v>7072774.3925769599</v>
      </c>
      <c r="S123" s="130">
        <f t="shared" si="56"/>
        <v>7072774.3925769599</v>
      </c>
      <c r="T123" s="130">
        <f t="shared" si="56"/>
        <v>7072774.3925769599</v>
      </c>
      <c r="U123" s="130">
        <f t="shared" si="56"/>
        <v>7072774.3925769599</v>
      </c>
      <c r="V123" s="130">
        <f t="shared" si="56"/>
        <v>7072774.3925769599</v>
      </c>
      <c r="W123" s="130">
        <f t="shared" si="56"/>
        <v>7072774.3925769599</v>
      </c>
      <c r="X123" s="130">
        <f t="shared" si="56"/>
        <v>7072774.3925769599</v>
      </c>
      <c r="Y123" s="130">
        <f t="shared" si="56"/>
        <v>7072774.3925769599</v>
      </c>
      <c r="Z123" s="130">
        <f t="shared" si="56"/>
        <v>7072774.3925769599</v>
      </c>
      <c r="AA123" s="130">
        <f t="shared" si="56"/>
        <v>7072774.3925769599</v>
      </c>
      <c r="AB123" s="130">
        <f t="shared" si="56"/>
        <v>7072774.3925769599</v>
      </c>
    </row>
    <row r="124" spans="1:28" ht="25.5" x14ac:dyDescent="0.25">
      <c r="A124" s="136" t="s">
        <v>200</v>
      </c>
      <c r="B124" s="137" t="s">
        <v>201</v>
      </c>
      <c r="C124" s="104"/>
      <c r="D124" s="138">
        <f>D123*$C$122*1.03/1000/1000</f>
        <v>1.3259394433438993</v>
      </c>
      <c r="E124" s="138">
        <f t="shared" ref="E124:AB124" si="57">E123*$C$122*1.03/1000/1000</f>
        <v>21.74454411429927</v>
      </c>
      <c r="F124" s="138">
        <f t="shared" si="57"/>
        <v>50.24239679970885</v>
      </c>
      <c r="G124" s="138">
        <f t="shared" si="57"/>
        <v>89.667587574530785</v>
      </c>
      <c r="H124" s="138">
        <f t="shared" si="57"/>
        <v>143.6088030032364</v>
      </c>
      <c r="I124" s="138">
        <f t="shared" si="57"/>
        <v>192.86081874730738</v>
      </c>
      <c r="J124" s="138">
        <f t="shared" si="57"/>
        <v>197.75322320701329</v>
      </c>
      <c r="K124" s="138">
        <f t="shared" si="57"/>
        <v>197.75322320701329</v>
      </c>
      <c r="L124" s="138">
        <f t="shared" si="57"/>
        <v>197.75322320701329</v>
      </c>
      <c r="M124" s="138">
        <f t="shared" si="57"/>
        <v>197.75322320701329</v>
      </c>
      <c r="N124" s="138">
        <f t="shared" si="57"/>
        <v>197.75322320701329</v>
      </c>
      <c r="O124" s="138">
        <f t="shared" si="57"/>
        <v>197.75322320701329</v>
      </c>
      <c r="P124" s="138">
        <f t="shared" si="57"/>
        <v>197.75322320701329</v>
      </c>
      <c r="Q124" s="138">
        <f t="shared" si="57"/>
        <v>197.75322320701329</v>
      </c>
      <c r="R124" s="138">
        <f t="shared" si="57"/>
        <v>197.75322320701329</v>
      </c>
      <c r="S124" s="138">
        <f t="shared" si="57"/>
        <v>197.75322320701329</v>
      </c>
      <c r="T124" s="138">
        <f t="shared" si="57"/>
        <v>197.75322320701329</v>
      </c>
      <c r="U124" s="138">
        <f t="shared" si="57"/>
        <v>197.75322320701329</v>
      </c>
      <c r="V124" s="138">
        <f t="shared" si="57"/>
        <v>197.75322320701329</v>
      </c>
      <c r="W124" s="138">
        <f t="shared" si="57"/>
        <v>197.75322320701329</v>
      </c>
      <c r="X124" s="138">
        <f t="shared" si="57"/>
        <v>197.75322320701329</v>
      </c>
      <c r="Y124" s="138">
        <f t="shared" si="57"/>
        <v>197.75322320701329</v>
      </c>
      <c r="Z124" s="138">
        <f t="shared" si="57"/>
        <v>197.75322320701329</v>
      </c>
      <c r="AA124" s="138">
        <f t="shared" si="57"/>
        <v>197.75322320701329</v>
      </c>
      <c r="AB124" s="138">
        <f t="shared" si="57"/>
        <v>197.75322320701329</v>
      </c>
    </row>
    <row r="125" spans="1:28" x14ac:dyDescent="0.25">
      <c r="A125" s="120"/>
      <c r="B125" s="103"/>
      <c r="C125" s="103"/>
      <c r="D125" s="103"/>
      <c r="E125" s="103"/>
      <c r="F125" s="103"/>
      <c r="G125" s="103"/>
      <c r="H125" s="103"/>
      <c r="I125" s="103"/>
      <c r="J125" s="103"/>
      <c r="K125" s="103"/>
      <c r="L125" s="103"/>
      <c r="M125" s="103"/>
      <c r="N125" s="103"/>
      <c r="O125" s="103"/>
      <c r="P125" s="103"/>
      <c r="Q125" s="103"/>
      <c r="R125" s="103"/>
    </row>
    <row r="126" spans="1:28" x14ac:dyDescent="0.25">
      <c r="A126" s="221" t="s">
        <v>140</v>
      </c>
      <c r="B126" s="103"/>
      <c r="C126" s="103"/>
      <c r="D126" s="103"/>
      <c r="E126" s="103"/>
      <c r="F126" s="103"/>
      <c r="G126" s="103"/>
      <c r="H126" s="131"/>
      <c r="I126" s="131"/>
      <c r="J126" s="131"/>
      <c r="K126" s="131"/>
      <c r="L126" s="131"/>
      <c r="M126" s="131"/>
      <c r="N126" s="131"/>
      <c r="O126" s="131"/>
      <c r="P126" s="131"/>
      <c r="Q126" s="131"/>
      <c r="R126" s="131"/>
      <c r="S126" s="131"/>
      <c r="T126" s="131"/>
      <c r="U126" s="131"/>
      <c r="V126" s="131"/>
      <c r="W126" s="131"/>
      <c r="X126" s="131"/>
    </row>
    <row r="127" spans="1:28" x14ac:dyDescent="0.25">
      <c r="A127" s="120" t="s">
        <v>120</v>
      </c>
      <c r="B127" s="103" t="s">
        <v>56</v>
      </c>
      <c r="C127" s="103"/>
      <c r="D127" s="131">
        <f>D123/2/100000*$E$19</f>
        <v>0.2134039422977177</v>
      </c>
      <c r="E127" s="131">
        <f t="shared" ref="E127:AB127" si="58">E123/2/100000*$E$19</f>
        <v>3.4996857969286306</v>
      </c>
      <c r="F127" s="131">
        <f t="shared" si="58"/>
        <v>8.0862859924465162</v>
      </c>
      <c r="G127" s="131">
        <f t="shared" si="58"/>
        <v>14.431591714681121</v>
      </c>
      <c r="H127" s="131">
        <f t="shared" si="58"/>
        <v>23.113185796976367</v>
      </c>
      <c r="I127" s="131">
        <f t="shared" si="58"/>
        <v>31.040074448382121</v>
      </c>
      <c r="J127" s="131">
        <f t="shared" si="58"/>
        <v>31.827484766596321</v>
      </c>
      <c r="K127" s="131">
        <f t="shared" si="58"/>
        <v>31.827484766596321</v>
      </c>
      <c r="L127" s="131">
        <f t="shared" si="58"/>
        <v>31.827484766596321</v>
      </c>
      <c r="M127" s="131">
        <f t="shared" si="58"/>
        <v>31.827484766596321</v>
      </c>
      <c r="N127" s="131">
        <f t="shared" si="58"/>
        <v>31.827484766596321</v>
      </c>
      <c r="O127" s="131">
        <f t="shared" si="58"/>
        <v>31.827484766596321</v>
      </c>
      <c r="P127" s="131">
        <f t="shared" si="58"/>
        <v>31.827484766596321</v>
      </c>
      <c r="Q127" s="131">
        <f t="shared" si="58"/>
        <v>31.827484766596321</v>
      </c>
      <c r="R127" s="131">
        <f t="shared" si="58"/>
        <v>31.827484766596321</v>
      </c>
      <c r="S127" s="131">
        <f t="shared" si="58"/>
        <v>31.827484766596321</v>
      </c>
      <c r="T127" s="131">
        <f t="shared" si="58"/>
        <v>31.827484766596321</v>
      </c>
      <c r="U127" s="131">
        <f t="shared" si="58"/>
        <v>31.827484766596321</v>
      </c>
      <c r="V127" s="131">
        <f t="shared" si="58"/>
        <v>31.827484766596321</v>
      </c>
      <c r="W127" s="131">
        <f t="shared" si="58"/>
        <v>31.827484766596321</v>
      </c>
      <c r="X127" s="131">
        <f t="shared" si="58"/>
        <v>31.827484766596321</v>
      </c>
      <c r="Y127" s="131">
        <f t="shared" si="58"/>
        <v>31.827484766596321</v>
      </c>
      <c r="Z127" s="131">
        <f t="shared" si="58"/>
        <v>31.827484766596321</v>
      </c>
      <c r="AA127" s="131">
        <f t="shared" si="58"/>
        <v>31.827484766596321</v>
      </c>
      <c r="AB127" s="131">
        <f t="shared" si="58"/>
        <v>31.827484766596321</v>
      </c>
    </row>
    <row r="128" spans="1:28" x14ac:dyDescent="0.25">
      <c r="A128" s="120" t="s">
        <v>193</v>
      </c>
      <c r="B128" s="103" t="s">
        <v>56</v>
      </c>
      <c r="C128" s="103"/>
      <c r="D128" s="131"/>
      <c r="E128" s="131"/>
      <c r="F128" s="131"/>
      <c r="G128" s="131"/>
      <c r="H128" s="131">
        <f>D127</f>
        <v>0.2134039422977177</v>
      </c>
      <c r="I128" s="131">
        <f>SUM(D127:E127)</f>
        <v>3.7130897392263482</v>
      </c>
      <c r="J128" s="131">
        <f>SUM(D127:F127)</f>
        <v>11.799375731672864</v>
      </c>
      <c r="K128" s="131">
        <f>SUM(D127:G127)</f>
        <v>26.230967446353986</v>
      </c>
      <c r="L128" s="131">
        <f>SUM(D127:H127)</f>
        <v>49.344153243330354</v>
      </c>
      <c r="M128" s="131">
        <f>SUM(E127:I127)</f>
        <v>80.170823749414751</v>
      </c>
      <c r="N128" s="131">
        <f t="shared" ref="N128:AB128" si="59">SUM(F127:J127)</f>
        <v>108.49862271908245</v>
      </c>
      <c r="O128" s="131">
        <f t="shared" si="59"/>
        <v>132.23982149323223</v>
      </c>
      <c r="P128" s="131">
        <f t="shared" si="59"/>
        <v>149.63571454514744</v>
      </c>
      <c r="Q128" s="131">
        <f t="shared" si="59"/>
        <v>158.3500135147674</v>
      </c>
      <c r="R128" s="131">
        <f t="shared" si="59"/>
        <v>159.1374238329816</v>
      </c>
      <c r="S128" s="131">
        <f t="shared" si="59"/>
        <v>159.1374238329816</v>
      </c>
      <c r="T128" s="131">
        <f t="shared" si="59"/>
        <v>159.1374238329816</v>
      </c>
      <c r="U128" s="131">
        <f t="shared" si="59"/>
        <v>159.1374238329816</v>
      </c>
      <c r="V128" s="131">
        <f t="shared" si="59"/>
        <v>159.1374238329816</v>
      </c>
      <c r="W128" s="131">
        <f t="shared" si="59"/>
        <v>159.1374238329816</v>
      </c>
      <c r="X128" s="131">
        <f t="shared" si="59"/>
        <v>159.1374238329816</v>
      </c>
      <c r="Y128" s="131">
        <f t="shared" si="59"/>
        <v>159.1374238329816</v>
      </c>
      <c r="Z128" s="131">
        <f t="shared" si="59"/>
        <v>159.1374238329816</v>
      </c>
      <c r="AA128" s="131">
        <f t="shared" si="59"/>
        <v>159.1374238329816</v>
      </c>
      <c r="AB128" s="131">
        <f t="shared" si="59"/>
        <v>159.1374238329816</v>
      </c>
    </row>
    <row r="129" spans="1:28" x14ac:dyDescent="0.25">
      <c r="A129" s="120"/>
      <c r="B129" s="103"/>
      <c r="C129" s="103"/>
      <c r="D129" s="131"/>
      <c r="E129" s="131"/>
      <c r="F129" s="131"/>
      <c r="G129" s="131"/>
      <c r="H129" s="131"/>
      <c r="I129" s="131"/>
      <c r="J129" s="131"/>
      <c r="K129" s="131"/>
      <c r="L129" s="131"/>
      <c r="M129" s="131"/>
      <c r="N129" s="131"/>
      <c r="O129" s="131"/>
      <c r="P129" s="131"/>
      <c r="Q129" s="131"/>
      <c r="R129" s="131"/>
      <c r="S129" s="131"/>
      <c r="T129" s="131"/>
      <c r="U129" s="131"/>
      <c r="V129" s="131"/>
      <c r="W129" s="131"/>
      <c r="X129" s="131"/>
      <c r="Y129" s="131"/>
      <c r="Z129" s="131"/>
      <c r="AA129" s="131"/>
      <c r="AB129" s="131"/>
    </row>
    <row r="130" spans="1:28" ht="30" x14ac:dyDescent="0.25">
      <c r="A130" s="120" t="s">
        <v>190</v>
      </c>
      <c r="B130" s="103" t="s">
        <v>51</v>
      </c>
      <c r="C130" s="103"/>
      <c r="D130" s="131"/>
      <c r="E130" s="131"/>
      <c r="F130" s="131"/>
      <c r="G130" s="131"/>
      <c r="H130" s="131">
        <f>(1+$E$17*5)*E14</f>
        <v>1751.83575</v>
      </c>
      <c r="I130" s="131">
        <f>(1+$E$17)*H130</f>
        <v>1769.3541075000001</v>
      </c>
      <c r="J130" s="131">
        <f t="shared" ref="J130:AB130" si="60">(1+$E$17)*I130</f>
        <v>1787.047648575</v>
      </c>
      <c r="K130" s="131">
        <f t="shared" si="60"/>
        <v>1804.9181250607501</v>
      </c>
      <c r="L130" s="131">
        <f t="shared" si="60"/>
        <v>1822.9673063113576</v>
      </c>
      <c r="M130" s="131">
        <f t="shared" si="60"/>
        <v>1841.1969793744711</v>
      </c>
      <c r="N130" s="131">
        <f t="shared" si="60"/>
        <v>1859.6089491682158</v>
      </c>
      <c r="O130" s="131">
        <f t="shared" si="60"/>
        <v>1878.205038659898</v>
      </c>
      <c r="P130" s="131">
        <f t="shared" si="60"/>
        <v>1896.987089046497</v>
      </c>
      <c r="Q130" s="131">
        <f t="shared" si="60"/>
        <v>1915.956959936962</v>
      </c>
      <c r="R130" s="131">
        <f t="shared" si="60"/>
        <v>1935.1165295363317</v>
      </c>
      <c r="S130" s="131">
        <f t="shared" si="60"/>
        <v>1954.4676948316951</v>
      </c>
      <c r="T130" s="131">
        <f t="shared" si="60"/>
        <v>1974.012371780012</v>
      </c>
      <c r="U130" s="131">
        <f t="shared" si="60"/>
        <v>1993.7524954978121</v>
      </c>
      <c r="V130" s="131">
        <f t="shared" si="60"/>
        <v>2013.6900204527903</v>
      </c>
      <c r="W130" s="131">
        <f t="shared" si="60"/>
        <v>2033.8269206573182</v>
      </c>
      <c r="X130" s="131">
        <f t="shared" si="60"/>
        <v>2054.1651898638916</v>
      </c>
      <c r="Y130" s="131">
        <f t="shared" si="60"/>
        <v>2074.7068417625305</v>
      </c>
      <c r="Z130" s="131">
        <f t="shared" si="60"/>
        <v>2095.4539101801561</v>
      </c>
      <c r="AA130" s="131">
        <f t="shared" si="60"/>
        <v>2116.4084492819575</v>
      </c>
      <c r="AB130" s="131">
        <f t="shared" si="60"/>
        <v>2137.5725337747772</v>
      </c>
    </row>
    <row r="131" spans="1:28" ht="45" x14ac:dyDescent="0.25">
      <c r="A131" s="120" t="s">
        <v>191</v>
      </c>
      <c r="B131" s="103" t="s">
        <v>51</v>
      </c>
      <c r="C131" s="103"/>
      <c r="D131" s="131"/>
      <c r="E131" s="131"/>
      <c r="F131" s="131"/>
      <c r="G131" s="131"/>
      <c r="H131" s="131">
        <f>H130-$E$14</f>
        <v>83.420749999999998</v>
      </c>
      <c r="I131" s="131">
        <f>I130-$E$14</f>
        <v>100.93910750000009</v>
      </c>
      <c r="J131" s="131">
        <f t="shared" ref="J131:AB131" si="61">J130-$E$14</f>
        <v>118.63264857500008</v>
      </c>
      <c r="K131" s="131">
        <f t="shared" si="61"/>
        <v>136.50312506075011</v>
      </c>
      <c r="L131" s="131">
        <f t="shared" si="61"/>
        <v>154.5523063113576</v>
      </c>
      <c r="M131" s="131">
        <f t="shared" si="61"/>
        <v>172.78197937447112</v>
      </c>
      <c r="N131" s="131">
        <f t="shared" si="61"/>
        <v>191.19394916821579</v>
      </c>
      <c r="O131" s="131">
        <f t="shared" si="61"/>
        <v>209.79003865989807</v>
      </c>
      <c r="P131" s="131">
        <f t="shared" si="61"/>
        <v>228.57208904649701</v>
      </c>
      <c r="Q131" s="131">
        <f t="shared" si="61"/>
        <v>247.54195993696203</v>
      </c>
      <c r="R131" s="131">
        <f t="shared" si="61"/>
        <v>266.70152953633169</v>
      </c>
      <c r="S131" s="131">
        <f t="shared" si="61"/>
        <v>286.05269483169513</v>
      </c>
      <c r="T131" s="131">
        <f t="shared" si="61"/>
        <v>305.59737178001205</v>
      </c>
      <c r="U131" s="131">
        <f t="shared" si="61"/>
        <v>325.33749549781214</v>
      </c>
      <c r="V131" s="131">
        <f t="shared" si="61"/>
        <v>345.27502045279039</v>
      </c>
      <c r="W131" s="131">
        <f t="shared" si="61"/>
        <v>365.41192065731821</v>
      </c>
      <c r="X131" s="131">
        <f t="shared" si="61"/>
        <v>385.75018986389159</v>
      </c>
      <c r="Y131" s="131">
        <f t="shared" si="61"/>
        <v>406.29184176253057</v>
      </c>
      <c r="Z131" s="131">
        <f t="shared" si="61"/>
        <v>427.03891018015611</v>
      </c>
      <c r="AA131" s="131">
        <f t="shared" si="61"/>
        <v>447.99344928195751</v>
      </c>
      <c r="AB131" s="131">
        <f t="shared" si="61"/>
        <v>469.15753377477722</v>
      </c>
    </row>
    <row r="132" spans="1:28" x14ac:dyDescent="0.25">
      <c r="A132" s="103"/>
      <c r="B132" s="103"/>
      <c r="C132" s="103"/>
      <c r="D132" s="131"/>
      <c r="E132" s="131"/>
      <c r="F132" s="131"/>
      <c r="G132" s="131"/>
      <c r="H132" s="131"/>
      <c r="I132" s="131"/>
      <c r="J132" s="131"/>
      <c r="K132" s="131"/>
      <c r="L132" s="131"/>
      <c r="M132" s="131"/>
      <c r="N132" s="131"/>
      <c r="O132" s="131"/>
      <c r="P132" s="131"/>
      <c r="Q132" s="131"/>
      <c r="R132" s="131"/>
      <c r="S132" s="131"/>
      <c r="T132" s="131"/>
      <c r="U132" s="131"/>
      <c r="V132" s="131"/>
      <c r="W132" s="131"/>
      <c r="X132" s="131"/>
      <c r="Y132" s="131"/>
      <c r="Z132" s="131"/>
      <c r="AA132" s="131"/>
      <c r="AB132" s="131"/>
    </row>
    <row r="133" spans="1:28" x14ac:dyDescent="0.25">
      <c r="A133" s="103" t="s">
        <v>183</v>
      </c>
      <c r="B133" s="103"/>
      <c r="C133" s="103"/>
      <c r="D133" s="131"/>
      <c r="E133" s="131"/>
      <c r="F133" s="131"/>
      <c r="G133" s="131"/>
      <c r="H133" s="131"/>
      <c r="I133" s="131"/>
      <c r="J133" s="131"/>
      <c r="K133" s="131"/>
      <c r="L133" s="131"/>
      <c r="M133" s="131"/>
      <c r="N133" s="131"/>
      <c r="O133" s="131"/>
      <c r="P133" s="131"/>
      <c r="Q133" s="131"/>
      <c r="R133" s="131"/>
      <c r="S133" s="131"/>
      <c r="T133" s="131"/>
      <c r="U133" s="131"/>
      <c r="V133" s="131"/>
      <c r="W133" s="131"/>
      <c r="X133" s="131"/>
      <c r="Y133" s="131"/>
      <c r="Z133" s="131"/>
      <c r="AA133" s="131"/>
      <c r="AB133" s="131"/>
    </row>
    <row r="134" spans="1:28" x14ac:dyDescent="0.25">
      <c r="A134" s="103" t="s">
        <v>184</v>
      </c>
      <c r="B134" s="103" t="s">
        <v>51</v>
      </c>
      <c r="C134" s="103"/>
      <c r="D134" s="131"/>
      <c r="E134" s="131"/>
      <c r="F134" s="131"/>
      <c r="G134" s="131"/>
      <c r="H134" s="130">
        <f>H131*D127*100000</f>
        <v>1780231.6919432331</v>
      </c>
      <c r="I134" s="130">
        <f t="shared" ref="I134:AB134" si="62">I131*E127*100000</f>
        <v>35325516.087240256</v>
      </c>
      <c r="J134" s="130">
        <f t="shared" si="62"/>
        <v>95929752.441885337</v>
      </c>
      <c r="K134" s="130">
        <f t="shared" si="62"/>
        <v>196995736.86548021</v>
      </c>
      <c r="L134" s="130">
        <f t="shared" si="62"/>
        <v>357219617.11256111</v>
      </c>
      <c r="M134" s="130">
        <f t="shared" si="62"/>
        <v>536316550.31224084</v>
      </c>
      <c r="N134" s="130">
        <f t="shared" si="62"/>
        <v>608522250.46167791</v>
      </c>
      <c r="O134" s="130">
        <f t="shared" si="62"/>
        <v>667708925.96315587</v>
      </c>
      <c r="P134" s="130">
        <f t="shared" si="62"/>
        <v>727487468.21964812</v>
      </c>
      <c r="Q134" s="130">
        <f t="shared" si="62"/>
        <v>787863795.8987056</v>
      </c>
      <c r="R134" s="130">
        <f t="shared" si="62"/>
        <v>848843886.85455358</v>
      </c>
      <c r="S134" s="130">
        <f t="shared" si="62"/>
        <v>910433778.71996033</v>
      </c>
      <c r="T134" s="130">
        <f t="shared" si="62"/>
        <v>972639569.50402057</v>
      </c>
      <c r="U134" s="130">
        <f t="shared" si="62"/>
        <v>1035467418.1959215</v>
      </c>
      <c r="V134" s="130">
        <f t="shared" si="62"/>
        <v>1098923545.3747418</v>
      </c>
      <c r="W134" s="130">
        <f t="shared" si="62"/>
        <v>1163014233.82535</v>
      </c>
      <c r="X134" s="130">
        <f t="shared" si="62"/>
        <v>1227745829.1604648</v>
      </c>
      <c r="Y134" s="130">
        <f t="shared" si="62"/>
        <v>1293124740.4489305</v>
      </c>
      <c r="Z134" s="130">
        <f t="shared" si="62"/>
        <v>1359157440.8502812</v>
      </c>
      <c r="AA134" s="130">
        <f t="shared" si="62"/>
        <v>1425850468.2556443</v>
      </c>
      <c r="AB134" s="130">
        <f t="shared" si="62"/>
        <v>1493210425.9350622</v>
      </c>
    </row>
    <row r="135" spans="1:28" x14ac:dyDescent="0.25">
      <c r="A135" s="103" t="s">
        <v>185</v>
      </c>
      <c r="B135" s="103" t="s">
        <v>51</v>
      </c>
      <c r="C135" s="103"/>
      <c r="D135" s="131"/>
      <c r="E135" s="131"/>
      <c r="F135" s="131"/>
      <c r="G135" s="131"/>
      <c r="H135" s="130"/>
      <c r="I135" s="130">
        <f>H131*D127*100000</f>
        <v>1780231.6919432331</v>
      </c>
      <c r="J135" s="130">
        <f t="shared" ref="J135:AB135" si="63">I131*E127*100000</f>
        <v>35325516.087240256</v>
      </c>
      <c r="K135" s="130">
        <f t="shared" si="63"/>
        <v>95929752.441885337</v>
      </c>
      <c r="L135" s="130">
        <f t="shared" si="63"/>
        <v>196995736.86548021</v>
      </c>
      <c r="M135" s="130">
        <f t="shared" si="63"/>
        <v>357219617.11256111</v>
      </c>
      <c r="N135" s="130">
        <f t="shared" si="63"/>
        <v>536316550.31224084</v>
      </c>
      <c r="O135" s="130">
        <f t="shared" si="63"/>
        <v>608522250.46167791</v>
      </c>
      <c r="P135" s="130">
        <f t="shared" si="63"/>
        <v>667708925.96315587</v>
      </c>
      <c r="Q135" s="130">
        <f t="shared" si="63"/>
        <v>727487468.21964812</v>
      </c>
      <c r="R135" s="130">
        <f t="shared" si="63"/>
        <v>787863795.8987056</v>
      </c>
      <c r="S135" s="130">
        <f t="shared" si="63"/>
        <v>848843886.85455358</v>
      </c>
      <c r="T135" s="130">
        <f t="shared" si="63"/>
        <v>910433778.71996033</v>
      </c>
      <c r="U135" s="130">
        <f t="shared" si="63"/>
        <v>972639569.50402057</v>
      </c>
      <c r="V135" s="130">
        <f t="shared" si="63"/>
        <v>1035467418.1959215</v>
      </c>
      <c r="W135" s="130">
        <f t="shared" si="63"/>
        <v>1098923545.3747418</v>
      </c>
      <c r="X135" s="130">
        <f t="shared" si="63"/>
        <v>1163014233.82535</v>
      </c>
      <c r="Y135" s="130">
        <f t="shared" si="63"/>
        <v>1227745829.1604648</v>
      </c>
      <c r="Z135" s="130">
        <f t="shared" si="63"/>
        <v>1293124740.4489305</v>
      </c>
      <c r="AA135" s="130">
        <f t="shared" si="63"/>
        <v>1359157440.8502812</v>
      </c>
      <c r="AB135" s="130">
        <f t="shared" si="63"/>
        <v>1425850468.2556443</v>
      </c>
    </row>
    <row r="136" spans="1:28" x14ac:dyDescent="0.25">
      <c r="A136" s="103" t="s">
        <v>186</v>
      </c>
      <c r="B136" s="103" t="s">
        <v>51</v>
      </c>
      <c r="C136" s="103"/>
      <c r="D136" s="131"/>
      <c r="E136" s="131"/>
      <c r="F136" s="131"/>
      <c r="G136" s="131"/>
      <c r="H136" s="130"/>
      <c r="I136" s="130"/>
      <c r="J136" s="130">
        <f>H131*D127*100000</f>
        <v>1780231.6919432331</v>
      </c>
      <c r="K136" s="130">
        <f t="shared" ref="K136:AB136" si="64">I131*E127*100000</f>
        <v>35325516.087240256</v>
      </c>
      <c r="L136" s="130">
        <f t="shared" si="64"/>
        <v>95929752.441885337</v>
      </c>
      <c r="M136" s="130">
        <f t="shared" si="64"/>
        <v>196995736.86548021</v>
      </c>
      <c r="N136" s="130">
        <f t="shared" si="64"/>
        <v>357219617.11256111</v>
      </c>
      <c r="O136" s="130">
        <f t="shared" si="64"/>
        <v>536316550.31224084</v>
      </c>
      <c r="P136" s="130">
        <f t="shared" si="64"/>
        <v>608522250.46167791</v>
      </c>
      <c r="Q136" s="130">
        <f t="shared" si="64"/>
        <v>667708925.96315587</v>
      </c>
      <c r="R136" s="130">
        <f t="shared" si="64"/>
        <v>727487468.21964812</v>
      </c>
      <c r="S136" s="130">
        <f t="shared" si="64"/>
        <v>787863795.8987056</v>
      </c>
      <c r="T136" s="130">
        <f t="shared" si="64"/>
        <v>848843886.85455358</v>
      </c>
      <c r="U136" s="130">
        <f t="shared" si="64"/>
        <v>910433778.71996033</v>
      </c>
      <c r="V136" s="130">
        <f t="shared" si="64"/>
        <v>972639569.50402057</v>
      </c>
      <c r="W136" s="130">
        <f t="shared" si="64"/>
        <v>1035467418.1959215</v>
      </c>
      <c r="X136" s="130">
        <f t="shared" si="64"/>
        <v>1098923545.3747418</v>
      </c>
      <c r="Y136" s="130">
        <f t="shared" si="64"/>
        <v>1163014233.82535</v>
      </c>
      <c r="Z136" s="130">
        <f t="shared" si="64"/>
        <v>1227745829.1604648</v>
      </c>
      <c r="AA136" s="130">
        <f t="shared" si="64"/>
        <v>1293124740.4489305</v>
      </c>
      <c r="AB136" s="130">
        <f t="shared" si="64"/>
        <v>1359157440.8502812</v>
      </c>
    </row>
    <row r="137" spans="1:28" x14ac:dyDescent="0.25">
      <c r="A137" s="103" t="s">
        <v>187</v>
      </c>
      <c r="B137" s="103" t="s">
        <v>51</v>
      </c>
      <c r="C137" s="103"/>
      <c r="D137" s="131"/>
      <c r="E137" s="131"/>
      <c r="F137" s="131"/>
      <c r="G137" s="131"/>
      <c r="H137" s="130"/>
      <c r="I137" s="130"/>
      <c r="J137" s="130"/>
      <c r="K137" s="130">
        <f>H131*D127*100000</f>
        <v>1780231.6919432331</v>
      </c>
      <c r="L137" s="130">
        <f t="shared" ref="L137:AB137" si="65">I131*E127*100000</f>
        <v>35325516.087240256</v>
      </c>
      <c r="M137" s="130">
        <f t="shared" si="65"/>
        <v>95929752.441885337</v>
      </c>
      <c r="N137" s="130">
        <f t="shared" si="65"/>
        <v>196995736.86548021</v>
      </c>
      <c r="O137" s="130">
        <f t="shared" si="65"/>
        <v>357219617.11256111</v>
      </c>
      <c r="P137" s="130">
        <f t="shared" si="65"/>
        <v>536316550.31224084</v>
      </c>
      <c r="Q137" s="130">
        <f t="shared" si="65"/>
        <v>608522250.46167791</v>
      </c>
      <c r="R137" s="130">
        <f t="shared" si="65"/>
        <v>667708925.96315587</v>
      </c>
      <c r="S137" s="130">
        <f t="shared" si="65"/>
        <v>727487468.21964812</v>
      </c>
      <c r="T137" s="130">
        <f t="shared" si="65"/>
        <v>787863795.8987056</v>
      </c>
      <c r="U137" s="130">
        <f t="shared" si="65"/>
        <v>848843886.85455358</v>
      </c>
      <c r="V137" s="130">
        <f t="shared" si="65"/>
        <v>910433778.71996033</v>
      </c>
      <c r="W137" s="130">
        <f t="shared" si="65"/>
        <v>972639569.50402057</v>
      </c>
      <c r="X137" s="130">
        <f t="shared" si="65"/>
        <v>1035467418.1959215</v>
      </c>
      <c r="Y137" s="130">
        <f t="shared" si="65"/>
        <v>1098923545.3747418</v>
      </c>
      <c r="Z137" s="130">
        <f t="shared" si="65"/>
        <v>1163014233.82535</v>
      </c>
      <c r="AA137" s="130">
        <f t="shared" si="65"/>
        <v>1227745829.1604648</v>
      </c>
      <c r="AB137" s="130">
        <f t="shared" si="65"/>
        <v>1293124740.4489305</v>
      </c>
    </row>
    <row r="138" spans="1:28" x14ac:dyDescent="0.25">
      <c r="A138" s="103" t="s">
        <v>188</v>
      </c>
      <c r="B138" s="103" t="s">
        <v>51</v>
      </c>
      <c r="C138" s="103"/>
      <c r="D138" s="131"/>
      <c r="E138" s="131"/>
      <c r="F138" s="131"/>
      <c r="G138" s="131"/>
      <c r="H138" s="130"/>
      <c r="I138" s="130"/>
      <c r="J138" s="130"/>
      <c r="K138" s="130"/>
      <c r="L138" s="130">
        <f>H131*D127*100000</f>
        <v>1780231.6919432331</v>
      </c>
      <c r="M138" s="130">
        <f>I131*E127*100000</f>
        <v>35325516.087240256</v>
      </c>
      <c r="N138" s="130">
        <f t="shared" ref="N138:AB138" si="66">J131*F127*100000</f>
        <v>95929752.441885337</v>
      </c>
      <c r="O138" s="130">
        <f t="shared" si="66"/>
        <v>196995736.86548021</v>
      </c>
      <c r="P138" s="130">
        <f t="shared" si="66"/>
        <v>357219617.11256111</v>
      </c>
      <c r="Q138" s="130">
        <f t="shared" si="66"/>
        <v>536316550.31224084</v>
      </c>
      <c r="R138" s="130">
        <f t="shared" si="66"/>
        <v>608522250.46167791</v>
      </c>
      <c r="S138" s="130">
        <f t="shared" si="66"/>
        <v>667708925.96315587</v>
      </c>
      <c r="T138" s="130">
        <f t="shared" si="66"/>
        <v>727487468.21964812</v>
      </c>
      <c r="U138" s="130">
        <f t="shared" si="66"/>
        <v>787863795.8987056</v>
      </c>
      <c r="V138" s="130">
        <f t="shared" si="66"/>
        <v>848843886.85455358</v>
      </c>
      <c r="W138" s="130">
        <f t="shared" si="66"/>
        <v>910433778.71996033</v>
      </c>
      <c r="X138" s="130">
        <f t="shared" si="66"/>
        <v>972639569.50402057</v>
      </c>
      <c r="Y138" s="130">
        <f t="shared" si="66"/>
        <v>1035467418.1959215</v>
      </c>
      <c r="Z138" s="130">
        <f t="shared" si="66"/>
        <v>1098923545.3747418</v>
      </c>
      <c r="AA138" s="130">
        <f t="shared" si="66"/>
        <v>1163014233.82535</v>
      </c>
      <c r="AB138" s="130">
        <f t="shared" si="66"/>
        <v>1227745829.1604648</v>
      </c>
    </row>
    <row r="139" spans="1:28" x14ac:dyDescent="0.25">
      <c r="A139" s="104" t="s">
        <v>31</v>
      </c>
      <c r="B139" s="104" t="s">
        <v>51</v>
      </c>
      <c r="C139" s="103"/>
      <c r="D139" s="131"/>
      <c r="E139" s="131"/>
      <c r="F139" s="131"/>
      <c r="G139" s="131"/>
      <c r="H139" s="141">
        <f>SUM(H134:H138)</f>
        <v>1780231.6919432331</v>
      </c>
      <c r="I139" s="141">
        <f t="shared" ref="I139:AB139" si="67">SUM(I134:I138)</f>
        <v>37105747.779183492</v>
      </c>
      <c r="J139" s="141">
        <f t="shared" si="67"/>
        <v>133035500.22106883</v>
      </c>
      <c r="K139" s="141">
        <f t="shared" si="67"/>
        <v>330031237.08654904</v>
      </c>
      <c r="L139" s="141">
        <f t="shared" si="67"/>
        <v>687250854.19911015</v>
      </c>
      <c r="M139" s="141">
        <f t="shared" si="67"/>
        <v>1221787172.8194077</v>
      </c>
      <c r="N139" s="141">
        <f t="shared" si="67"/>
        <v>1794983907.1938453</v>
      </c>
      <c r="O139" s="141">
        <f t="shared" si="67"/>
        <v>2366763080.715116</v>
      </c>
      <c r="P139" s="141">
        <f t="shared" si="67"/>
        <v>2897254812.0692844</v>
      </c>
      <c r="Q139" s="141">
        <f t="shared" si="67"/>
        <v>3327898990.8554287</v>
      </c>
      <c r="R139" s="141">
        <f t="shared" si="67"/>
        <v>3640426327.3977408</v>
      </c>
      <c r="S139" s="141">
        <f t="shared" si="67"/>
        <v>3942337855.656023</v>
      </c>
      <c r="T139" s="141">
        <f t="shared" si="67"/>
        <v>4247268499.196888</v>
      </c>
      <c r="U139" s="141">
        <f t="shared" si="67"/>
        <v>4555248449.1731615</v>
      </c>
      <c r="V139" s="141">
        <f t="shared" si="67"/>
        <v>4866308198.6491976</v>
      </c>
      <c r="W139" s="141">
        <f t="shared" si="67"/>
        <v>5180478545.6199942</v>
      </c>
      <c r="X139" s="141">
        <f t="shared" si="67"/>
        <v>5497790596.0604992</v>
      </c>
      <c r="Y139" s="141">
        <f t="shared" si="67"/>
        <v>5818275767.0054083</v>
      </c>
      <c r="Z139" s="141">
        <f t="shared" si="67"/>
        <v>6141965789.6597681</v>
      </c>
      <c r="AA139" s="141">
        <f t="shared" si="67"/>
        <v>6468892712.5406704</v>
      </c>
      <c r="AB139" s="141">
        <f t="shared" si="67"/>
        <v>6799088904.650383</v>
      </c>
    </row>
    <row r="140" spans="1:28" x14ac:dyDescent="0.25">
      <c r="A140" s="120"/>
      <c r="B140" s="103"/>
      <c r="C140" s="103"/>
      <c r="D140" s="131"/>
      <c r="E140" s="131"/>
      <c r="F140" s="131"/>
      <c r="G140" s="131"/>
      <c r="H140" s="131"/>
      <c r="I140" s="131"/>
      <c r="J140" s="131"/>
      <c r="K140" s="131"/>
      <c r="L140" s="131"/>
      <c r="M140" s="131"/>
      <c r="N140" s="131"/>
      <c r="O140" s="131"/>
      <c r="P140" s="131"/>
      <c r="Q140" s="131"/>
      <c r="R140" s="131"/>
      <c r="S140" s="131"/>
      <c r="T140" s="131"/>
      <c r="U140" s="131"/>
      <c r="V140" s="131"/>
      <c r="W140" s="131"/>
      <c r="X140" s="131"/>
      <c r="Y140" s="131"/>
      <c r="Z140" s="131"/>
      <c r="AA140" s="131"/>
      <c r="AB140" s="131"/>
    </row>
    <row r="141" spans="1:28" s="107" customFormat="1" ht="51" customHeight="1" x14ac:dyDescent="0.25">
      <c r="A141" s="215" t="s">
        <v>57</v>
      </c>
      <c r="B141" s="216" t="s">
        <v>55</v>
      </c>
      <c r="C141" s="217"/>
      <c r="D141" s="218"/>
      <c r="E141" s="218"/>
      <c r="F141" s="218"/>
      <c r="G141" s="218"/>
      <c r="H141" s="218">
        <f>(H139*365/$D$118)*1.03/1000/1000</f>
        <v>1.6488957452198014</v>
      </c>
      <c r="I141" s="218">
        <f>((H139*($D$118-365)/$D$118)+(I139*365/$D$118))*1.03/1000/1000</f>
        <v>34.553027606259818</v>
      </c>
      <c r="J141" s="218">
        <f t="shared" ref="J141:AB141" si="68">((I139*($D$118-365)/$D$118)+(J139*365/$D$118))*1.03/1000/1000</f>
        <v>127.07148999731122</v>
      </c>
      <c r="K141" s="218">
        <f t="shared" si="68"/>
        <v>319.48901312927876</v>
      </c>
      <c r="L141" s="218">
        <f t="shared" si="68"/>
        <v>670.79804375514652</v>
      </c>
      <c r="M141" s="218">
        <f t="shared" si="68"/>
        <v>1202.9694756135582</v>
      </c>
      <c r="N141" s="218">
        <f t="shared" si="68"/>
        <v>1789.3501414108009</v>
      </c>
      <c r="O141" s="218">
        <f t="shared" si="68"/>
        <v>2378.4297970005723</v>
      </c>
      <c r="P141" s="218">
        <f t="shared" si="68"/>
        <v>2929.1208696160038</v>
      </c>
      <c r="Q141" s="218">
        <f t="shared" si="68"/>
        <v>3383.0460172817734</v>
      </c>
      <c r="R141" s="218">
        <f t="shared" si="68"/>
        <v>3717.2067063394629</v>
      </c>
      <c r="S141" s="218">
        <f t="shared" si="68"/>
        <v>4029.2772320958825</v>
      </c>
      <c r="T141" s="218">
        <f t="shared" si="68"/>
        <v>4343.0424873506745</v>
      </c>
      <c r="U141" s="218">
        <f t="shared" si="68"/>
        <v>4659.9453951580153</v>
      </c>
      <c r="V141" s="218">
        <f t="shared" si="68"/>
        <v>4980.0173320434296</v>
      </c>
      <c r="W141" s="218">
        <f t="shared" si="68"/>
        <v>5303.2899882976972</v>
      </c>
      <c r="X141" s="218">
        <f t="shared" si="68"/>
        <v>5629.7953711145083</v>
      </c>
      <c r="Y141" s="218">
        <f t="shared" si="68"/>
        <v>5959.5658077594871</v>
      </c>
      <c r="Z141" s="218">
        <f t="shared" si="68"/>
        <v>6292.6339487709165</v>
      </c>
      <c r="AA141" s="218">
        <f t="shared" si="68"/>
        <v>6629.0327711924592</v>
      </c>
      <c r="AB141" s="218">
        <f t="shared" si="68"/>
        <v>6968.7955818382179</v>
      </c>
    </row>
    <row r="142" spans="1:28" x14ac:dyDescent="0.25">
      <c r="A142" s="103"/>
      <c r="B142" s="103"/>
      <c r="C142" s="103"/>
      <c r="D142" s="103"/>
      <c r="E142" s="103"/>
      <c r="F142" s="103"/>
      <c r="G142" s="103"/>
      <c r="H142" s="103"/>
      <c r="I142" s="103"/>
      <c r="J142" s="103"/>
      <c r="K142" s="103"/>
      <c r="L142" s="103"/>
      <c r="M142" s="103"/>
      <c r="N142" s="103"/>
      <c r="O142" s="103"/>
      <c r="P142" s="103"/>
      <c r="Q142" s="103"/>
      <c r="R142" s="103"/>
    </row>
    <row r="143" spans="1:28" ht="38.25" x14ac:dyDescent="0.25">
      <c r="A143" s="142" t="s">
        <v>210</v>
      </c>
      <c r="B143" s="143" t="s">
        <v>55</v>
      </c>
      <c r="C143" s="144"/>
      <c r="D143" s="145">
        <f t="shared" ref="D143:AB143" si="69">D141+D124</f>
        <v>1.3259394433438993</v>
      </c>
      <c r="E143" s="145">
        <f t="shared" si="69"/>
        <v>21.74454411429927</v>
      </c>
      <c r="F143" s="145">
        <f t="shared" si="69"/>
        <v>50.24239679970885</v>
      </c>
      <c r="G143" s="145">
        <f t="shared" si="69"/>
        <v>89.667587574530785</v>
      </c>
      <c r="H143" s="145">
        <f t="shared" si="69"/>
        <v>145.25769874845619</v>
      </c>
      <c r="I143" s="145">
        <f t="shared" si="69"/>
        <v>227.41384635356718</v>
      </c>
      <c r="J143" s="145">
        <f t="shared" si="69"/>
        <v>324.8247132043245</v>
      </c>
      <c r="K143" s="145">
        <f t="shared" si="69"/>
        <v>517.24223633629208</v>
      </c>
      <c r="L143" s="145">
        <f t="shared" si="69"/>
        <v>868.55126696215984</v>
      </c>
      <c r="M143" s="145">
        <f t="shared" si="69"/>
        <v>1400.7226988205714</v>
      </c>
      <c r="N143" s="145">
        <f t="shared" si="69"/>
        <v>1987.1033646178141</v>
      </c>
      <c r="O143" s="145">
        <f t="shared" si="69"/>
        <v>2576.1830202075857</v>
      </c>
      <c r="P143" s="145">
        <f t="shared" si="69"/>
        <v>3126.8740928230172</v>
      </c>
      <c r="Q143" s="145">
        <f t="shared" si="69"/>
        <v>3580.7992404887868</v>
      </c>
      <c r="R143" s="145">
        <f t="shared" si="69"/>
        <v>3914.9599295464764</v>
      </c>
      <c r="S143" s="145">
        <f t="shared" si="69"/>
        <v>4227.0304553028955</v>
      </c>
      <c r="T143" s="145">
        <f t="shared" si="69"/>
        <v>4540.7957105576879</v>
      </c>
      <c r="U143" s="145">
        <f t="shared" si="69"/>
        <v>4857.6986183650288</v>
      </c>
      <c r="V143" s="145">
        <f t="shared" si="69"/>
        <v>5177.7705552504431</v>
      </c>
      <c r="W143" s="145">
        <f t="shared" si="69"/>
        <v>5501.0432115047106</v>
      </c>
      <c r="X143" s="145">
        <f t="shared" si="69"/>
        <v>5827.5485943215217</v>
      </c>
      <c r="Y143" s="145">
        <f t="shared" si="69"/>
        <v>6157.3190309665006</v>
      </c>
      <c r="Z143" s="145">
        <f t="shared" si="69"/>
        <v>6490.3871719779299</v>
      </c>
      <c r="AA143" s="145">
        <f t="shared" si="69"/>
        <v>6826.7859943994727</v>
      </c>
      <c r="AB143" s="145">
        <f t="shared" si="69"/>
        <v>7166.5488050452313</v>
      </c>
    </row>
  </sheetData>
  <mergeCells count="9">
    <mergeCell ref="A9:H9"/>
    <mergeCell ref="A10:H10"/>
    <mergeCell ref="A11:H11"/>
    <mergeCell ref="A3:H3"/>
    <mergeCell ref="A4:H4"/>
    <mergeCell ref="A5:H5"/>
    <mergeCell ref="A6:H6"/>
    <mergeCell ref="A7:H7"/>
    <mergeCell ref="A8:H8"/>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D0D0D"/>
  </sheetPr>
  <dimension ref="A1:AC141"/>
  <sheetViews>
    <sheetView workbookViewId="0">
      <pane xSplit="1" ySplit="1" topLeftCell="B2" activePane="bottomRight" state="frozen"/>
      <selection pane="topRight" activeCell="B1" sqref="B1"/>
      <selection pane="bottomLeft" activeCell="A2" sqref="A2"/>
      <selection pane="bottomRight" activeCell="A7" sqref="A7:H7"/>
    </sheetView>
  </sheetViews>
  <sheetFormatPr defaultRowHeight="15" x14ac:dyDescent="0.25"/>
  <cols>
    <col min="1" max="1" width="32.7109375" style="108" customWidth="1"/>
    <col min="2" max="2" width="13.5703125" style="108" customWidth="1"/>
    <col min="3" max="3" width="10.5703125" style="108" customWidth="1"/>
    <col min="4" max="4" width="14.28515625" style="108" bestFit="1" customWidth="1"/>
    <col min="5" max="6" width="11.85546875" style="108" bestFit="1" customWidth="1"/>
    <col min="7" max="8" width="12" style="108" bestFit="1" customWidth="1"/>
    <col min="9" max="16" width="13.140625" style="108" bestFit="1" customWidth="1"/>
    <col min="17" max="28" width="15" style="108" customWidth="1"/>
    <col min="29" max="16384" width="9.140625" style="108"/>
  </cols>
  <sheetData>
    <row r="1" spans="1:29" x14ac:dyDescent="0.25">
      <c r="A1" s="103"/>
      <c r="B1" s="104" t="s">
        <v>47</v>
      </c>
      <c r="C1" s="105" t="s">
        <v>4</v>
      </c>
      <c r="D1" s="105" t="s">
        <v>5</v>
      </c>
      <c r="E1" s="105" t="s">
        <v>6</v>
      </c>
      <c r="F1" s="105" t="s">
        <v>7</v>
      </c>
      <c r="G1" s="105" t="s">
        <v>8</v>
      </c>
      <c r="H1" s="105" t="s">
        <v>9</v>
      </c>
      <c r="I1" s="106" t="s">
        <v>48</v>
      </c>
      <c r="J1" s="104" t="s">
        <v>49</v>
      </c>
      <c r="K1" s="104" t="s">
        <v>121</v>
      </c>
      <c r="L1" s="104" t="s">
        <v>122</v>
      </c>
      <c r="M1" s="104" t="s">
        <v>123</v>
      </c>
      <c r="N1" s="104" t="s">
        <v>124</v>
      </c>
      <c r="O1" s="104" t="s">
        <v>125</v>
      </c>
      <c r="P1" s="104" t="s">
        <v>126</v>
      </c>
      <c r="Q1" s="104" t="s">
        <v>127</v>
      </c>
      <c r="R1" s="104" t="s">
        <v>196</v>
      </c>
      <c r="S1" s="107" t="s">
        <v>167</v>
      </c>
      <c r="T1" s="107" t="s">
        <v>168</v>
      </c>
      <c r="U1" s="107" t="s">
        <v>169</v>
      </c>
      <c r="V1" s="107" t="s">
        <v>170</v>
      </c>
      <c r="W1" s="107" t="s">
        <v>171</v>
      </c>
      <c r="X1" s="107" t="s">
        <v>172</v>
      </c>
      <c r="Y1" s="107" t="s">
        <v>173</v>
      </c>
      <c r="Z1" s="107" t="s">
        <v>174</v>
      </c>
      <c r="AA1" s="107" t="s">
        <v>175</v>
      </c>
      <c r="AB1" s="107" t="s">
        <v>176</v>
      </c>
      <c r="AC1" s="107" t="s">
        <v>177</v>
      </c>
    </row>
    <row r="2" spans="1:29" x14ac:dyDescent="0.25">
      <c r="A2" s="109" t="s">
        <v>130</v>
      </c>
    </row>
    <row r="3" spans="1:29" x14ac:dyDescent="0.25">
      <c r="A3" s="425" t="s">
        <v>232</v>
      </c>
      <c r="B3" s="425"/>
      <c r="C3" s="425"/>
      <c r="D3" s="425"/>
      <c r="E3" s="425"/>
      <c r="F3" s="425"/>
      <c r="G3" s="425"/>
      <c r="H3" s="425"/>
    </row>
    <row r="4" spans="1:29" ht="30.75" customHeight="1" x14ac:dyDescent="0.25">
      <c r="A4" s="425" t="s">
        <v>72</v>
      </c>
      <c r="B4" s="425"/>
      <c r="C4" s="425"/>
      <c r="D4" s="425"/>
      <c r="E4" s="425"/>
      <c r="F4" s="425"/>
      <c r="G4" s="425"/>
      <c r="H4" s="425"/>
    </row>
    <row r="5" spans="1:29" ht="30.75" customHeight="1" x14ac:dyDescent="0.25">
      <c r="A5" s="426" t="s">
        <v>227</v>
      </c>
      <c r="B5" s="426"/>
      <c r="C5" s="426"/>
      <c r="D5" s="426"/>
      <c r="E5" s="426"/>
      <c r="F5" s="426"/>
      <c r="G5" s="426"/>
      <c r="H5" s="426"/>
    </row>
    <row r="6" spans="1:29" x14ac:dyDescent="0.25">
      <c r="A6" s="425" t="s">
        <v>62</v>
      </c>
      <c r="B6" s="425"/>
      <c r="C6" s="425"/>
      <c r="D6" s="425"/>
      <c r="E6" s="425"/>
      <c r="F6" s="425"/>
      <c r="G6" s="425"/>
      <c r="H6" s="425"/>
    </row>
    <row r="7" spans="1:29" ht="47.25" customHeight="1" x14ac:dyDescent="0.25">
      <c r="A7" s="426" t="s">
        <v>231</v>
      </c>
      <c r="B7" s="426"/>
      <c r="C7" s="426"/>
      <c r="D7" s="426"/>
      <c r="E7" s="426"/>
      <c r="F7" s="426"/>
      <c r="G7" s="426"/>
      <c r="H7" s="426"/>
      <c r="I7" s="118"/>
    </row>
    <row r="8" spans="1:29" ht="44.25" customHeight="1" x14ac:dyDescent="0.25">
      <c r="A8" s="426" t="s">
        <v>228</v>
      </c>
      <c r="B8" s="426"/>
      <c r="C8" s="426"/>
      <c r="D8" s="426"/>
      <c r="E8" s="426"/>
      <c r="F8" s="426"/>
      <c r="G8" s="426"/>
      <c r="H8" s="426"/>
      <c r="I8" s="111"/>
    </row>
    <row r="9" spans="1:29" x14ac:dyDescent="0.25">
      <c r="B9" s="110"/>
      <c r="C9" s="112"/>
      <c r="D9" s="112"/>
      <c r="E9" s="112"/>
      <c r="F9" s="112"/>
      <c r="G9" s="112"/>
      <c r="H9" s="112"/>
      <c r="I9" s="111"/>
    </row>
    <row r="10" spans="1:29" x14ac:dyDescent="0.25">
      <c r="B10" s="110"/>
      <c r="C10" s="112"/>
      <c r="D10" s="112"/>
      <c r="E10" s="112"/>
      <c r="F10" s="112"/>
      <c r="G10" s="112"/>
      <c r="H10" s="112"/>
      <c r="I10" s="111"/>
    </row>
    <row r="11" spans="1:29" ht="25.5" x14ac:dyDescent="0.25">
      <c r="A11" s="107" t="s">
        <v>50</v>
      </c>
      <c r="B11" s="113" t="s">
        <v>47</v>
      </c>
      <c r="C11" s="114" t="s">
        <v>134</v>
      </c>
      <c r="D11" s="115" t="s">
        <v>135</v>
      </c>
      <c r="E11" s="115" t="s">
        <v>14</v>
      </c>
      <c r="F11" s="116"/>
      <c r="G11" s="112"/>
      <c r="H11" s="112"/>
      <c r="I11" s="111"/>
    </row>
    <row r="12" spans="1:29" x14ac:dyDescent="0.25">
      <c r="A12" s="103" t="s">
        <v>328</v>
      </c>
      <c r="B12" s="117" t="s">
        <v>51</v>
      </c>
      <c r="C12" s="116">
        <f>Assumptions!C3</f>
        <v>779.6400000000001</v>
      </c>
      <c r="D12" s="116">
        <f>Assumptions!D3</f>
        <v>2507.1849999999999</v>
      </c>
      <c r="E12" s="116">
        <f>Assumptions!E3</f>
        <v>1668.415</v>
      </c>
      <c r="F12" s="117"/>
    </row>
    <row r="13" spans="1:29" x14ac:dyDescent="0.25">
      <c r="A13" s="108" t="s">
        <v>52</v>
      </c>
      <c r="B13" s="117" t="s">
        <v>53</v>
      </c>
      <c r="C13" s="117">
        <f>Assumptions!C4</f>
        <v>4</v>
      </c>
      <c r="D13" s="117">
        <f>Assumptions!D4</f>
        <v>3</v>
      </c>
      <c r="E13" s="117">
        <f>Assumptions!E4</f>
        <v>4</v>
      </c>
      <c r="F13" s="117"/>
    </row>
    <row r="14" spans="1:29" x14ac:dyDescent="0.25">
      <c r="A14" s="118" t="s">
        <v>77</v>
      </c>
      <c r="B14" s="117" t="s">
        <v>54</v>
      </c>
      <c r="C14" s="117">
        <f>Assumptions!C5</f>
        <v>5</v>
      </c>
      <c r="D14" s="117">
        <f>Assumptions!D5</f>
        <v>5</v>
      </c>
      <c r="E14" s="117">
        <f>Assumptions!E5</f>
        <v>5</v>
      </c>
      <c r="F14" s="117"/>
      <c r="G14" s="119"/>
    </row>
    <row r="15" spans="1:29" x14ac:dyDescent="0.25">
      <c r="A15" s="120" t="s">
        <v>178</v>
      </c>
      <c r="B15" s="121" t="s">
        <v>137</v>
      </c>
      <c r="C15" s="122">
        <f>Assumptions!C6</f>
        <v>0.01</v>
      </c>
      <c r="D15" s="122">
        <f>Assumptions!D6</f>
        <v>0.01</v>
      </c>
      <c r="E15" s="122">
        <f>Assumptions!E6</f>
        <v>0.01</v>
      </c>
      <c r="F15" s="117"/>
      <c r="G15" s="119"/>
    </row>
    <row r="16" spans="1:29" x14ac:dyDescent="0.25">
      <c r="A16" s="123" t="s">
        <v>78</v>
      </c>
      <c r="B16" s="117"/>
      <c r="C16" s="124">
        <f>Assumptions!C7</f>
        <v>0.9</v>
      </c>
      <c r="D16" s="124">
        <f>Assumptions!D7</f>
        <v>0.9</v>
      </c>
      <c r="E16" s="124">
        <f>Assumptions!E7</f>
        <v>0.9</v>
      </c>
      <c r="F16" s="117"/>
      <c r="G16" s="119"/>
    </row>
    <row r="17" spans="1:28" x14ac:dyDescent="0.25">
      <c r="A17" s="123" t="s">
        <v>79</v>
      </c>
      <c r="B17" s="117"/>
      <c r="C17" s="124">
        <f>Assumptions!C8</f>
        <v>0.9</v>
      </c>
      <c r="D17" s="124">
        <f>Assumptions!D8</f>
        <v>0.9</v>
      </c>
      <c r="E17" s="124">
        <f>Assumptions!E8</f>
        <v>0.9</v>
      </c>
      <c r="F17" s="117"/>
      <c r="G17" s="119"/>
    </row>
    <row r="18" spans="1:28" ht="30" x14ac:dyDescent="0.25">
      <c r="A18" s="123" t="s">
        <v>136</v>
      </c>
      <c r="B18" s="126" t="s">
        <v>137</v>
      </c>
      <c r="C18" s="124">
        <f>Assumptions!C9</f>
        <v>0.2</v>
      </c>
      <c r="D18" s="124">
        <f>Assumptions!D9</f>
        <v>0.5</v>
      </c>
      <c r="E18" s="124">
        <f>Assumptions!E9</f>
        <v>0.3</v>
      </c>
      <c r="F18" s="117"/>
    </row>
    <row r="19" spans="1:28" x14ac:dyDescent="0.25">
      <c r="A19" s="123"/>
      <c r="B19" s="126"/>
      <c r="C19" s="124"/>
      <c r="D19" s="124"/>
      <c r="E19" s="124"/>
      <c r="F19" s="117"/>
    </row>
    <row r="20" spans="1:28" ht="25.5" x14ac:dyDescent="0.25">
      <c r="A20" s="123"/>
      <c r="B20" s="126"/>
      <c r="C20" s="127" t="s">
        <v>75</v>
      </c>
      <c r="D20" s="104" t="s">
        <v>74</v>
      </c>
      <c r="E20" s="124"/>
      <c r="F20" s="117"/>
    </row>
    <row r="21" spans="1:28" x14ac:dyDescent="0.25">
      <c r="A21" s="103" t="s">
        <v>43</v>
      </c>
      <c r="B21" s="103"/>
      <c r="C21" s="128">
        <f>Assumptions!B14</f>
        <v>0.35</v>
      </c>
      <c r="D21" s="128">
        <f>Assumptions!C16</f>
        <v>0.36</v>
      </c>
      <c r="E21" s="124"/>
      <c r="F21" s="117"/>
    </row>
    <row r="22" spans="1:28" x14ac:dyDescent="0.25">
      <c r="C22" s="151"/>
      <c r="D22" s="151"/>
      <c r="E22" s="124"/>
      <c r="F22" s="117"/>
    </row>
    <row r="23" spans="1:28" ht="30" x14ac:dyDescent="0.25">
      <c r="A23" s="120" t="s">
        <v>82</v>
      </c>
      <c r="B23" s="103" t="s">
        <v>58</v>
      </c>
      <c r="C23" s="152">
        <f>'Bull no. &amp; Semen Production'!D70</f>
        <v>8.9399999999999977</v>
      </c>
      <c r="D23" s="152">
        <f>'Bull no. &amp; Semen Production'!E70</f>
        <v>92.416768000000005</v>
      </c>
      <c r="E23" s="152">
        <f>'Bull no. &amp; Semen Production'!F70</f>
        <v>201.48483200000001</v>
      </c>
      <c r="F23" s="152">
        <f>'Bull no. &amp; Semen Production'!G70</f>
        <v>350.2255295999999</v>
      </c>
      <c r="G23" s="152">
        <f>'Bull no. &amp; Semen Production'!H70</f>
        <v>551.98140943999999</v>
      </c>
      <c r="H23" s="152">
        <f>'Bull no. &amp; Semen Production'!I70</f>
        <v>727.85422929599997</v>
      </c>
      <c r="I23" s="152">
        <f>H23</f>
        <v>727.85422929599997</v>
      </c>
      <c r="J23" s="152">
        <f>I23</f>
        <v>727.85422929599997</v>
      </c>
      <c r="K23" s="152">
        <f>J23</f>
        <v>727.85422929599997</v>
      </c>
      <c r="L23" s="152">
        <f>K23</f>
        <v>727.85422929599997</v>
      </c>
      <c r="M23" s="152">
        <f>L23</f>
        <v>727.85422929599997</v>
      </c>
      <c r="N23" s="152">
        <f t="shared" ref="N23:AB23" si="0">M23</f>
        <v>727.85422929599997</v>
      </c>
      <c r="O23" s="152">
        <f t="shared" si="0"/>
        <v>727.85422929599997</v>
      </c>
      <c r="P23" s="152">
        <f t="shared" si="0"/>
        <v>727.85422929599997</v>
      </c>
      <c r="Q23" s="152">
        <f t="shared" si="0"/>
        <v>727.85422929599997</v>
      </c>
      <c r="R23" s="152">
        <f t="shared" si="0"/>
        <v>727.85422929599997</v>
      </c>
      <c r="S23" s="152">
        <f t="shared" si="0"/>
        <v>727.85422929599997</v>
      </c>
      <c r="T23" s="152">
        <f t="shared" si="0"/>
        <v>727.85422929599997</v>
      </c>
      <c r="U23" s="152">
        <f t="shared" si="0"/>
        <v>727.85422929599997</v>
      </c>
      <c r="V23" s="152">
        <f t="shared" si="0"/>
        <v>727.85422929599997</v>
      </c>
      <c r="W23" s="152">
        <f t="shared" si="0"/>
        <v>727.85422929599997</v>
      </c>
      <c r="X23" s="152">
        <f t="shared" si="0"/>
        <v>727.85422929599997</v>
      </c>
      <c r="Y23" s="152">
        <f t="shared" si="0"/>
        <v>727.85422929599997</v>
      </c>
      <c r="Z23" s="152">
        <f t="shared" si="0"/>
        <v>727.85422929599997</v>
      </c>
      <c r="AA23" s="152">
        <f t="shared" si="0"/>
        <v>727.85422929599997</v>
      </c>
      <c r="AB23" s="152">
        <f t="shared" si="0"/>
        <v>727.85422929599997</v>
      </c>
    </row>
    <row r="24" spans="1:28" ht="45" x14ac:dyDescent="0.25">
      <c r="A24" s="120" t="s">
        <v>83</v>
      </c>
      <c r="B24" s="103" t="s">
        <v>58</v>
      </c>
      <c r="C24" s="152">
        <f>'NDSP Bull, SS &amp; Non-NDSP AI'!C30</f>
        <v>8.9399999999999977</v>
      </c>
      <c r="D24" s="152">
        <f>'NDSP Bull, SS &amp; Non-NDSP AI'!D30</f>
        <v>92.416768000000005</v>
      </c>
      <c r="E24" s="152">
        <f>'NDSP Bull, SS &amp; Non-NDSP AI'!E30</f>
        <v>201.48483200000001</v>
      </c>
      <c r="F24" s="152">
        <f>'NDSP Bull, SS &amp; Non-NDSP AI'!F30</f>
        <v>350.2255295999999</v>
      </c>
      <c r="G24" s="152">
        <f>'NDSP Bull, SS &amp; Non-NDSP AI'!G30</f>
        <v>551.98140943999999</v>
      </c>
      <c r="H24" s="152">
        <f>'NDSP Bull, SS &amp; Non-NDSP AI'!H30</f>
        <v>727.85422929599997</v>
      </c>
      <c r="I24" s="152">
        <f>'NDSP Bull, SS &amp; Non-NDSP AI'!I30</f>
        <v>727.85422929599997</v>
      </c>
      <c r="J24" s="152">
        <f>'NDSP Bull, SS &amp; Non-NDSP AI'!J30</f>
        <v>727.85422929599997</v>
      </c>
      <c r="K24" s="152">
        <f>'NDSP Bull, SS &amp; Non-NDSP AI'!K30</f>
        <v>727.85422929599997</v>
      </c>
      <c r="L24" s="152">
        <f>'NDSP Bull, SS &amp; Non-NDSP AI'!L30</f>
        <v>727.85422929599997</v>
      </c>
      <c r="M24" s="152">
        <f>'NDSP Bull, SS &amp; Non-NDSP AI'!M30</f>
        <v>727.85422929599997</v>
      </c>
      <c r="N24" s="152">
        <f>'NDSP Bull, SS &amp; Non-NDSP AI'!N30</f>
        <v>727.85422929599997</v>
      </c>
      <c r="O24" s="152">
        <f>'NDSP Bull, SS &amp; Non-NDSP AI'!O30</f>
        <v>727.85422929599997</v>
      </c>
      <c r="P24" s="152">
        <f>'NDSP Bull, SS &amp; Non-NDSP AI'!P30</f>
        <v>727.85422929599997</v>
      </c>
      <c r="Q24" s="152">
        <f>'NDSP Bull, SS &amp; Non-NDSP AI'!Q30</f>
        <v>727.85422929599997</v>
      </c>
      <c r="R24" s="152">
        <f>'NDSP Bull, SS &amp; Non-NDSP AI'!R30</f>
        <v>727.85422929599997</v>
      </c>
      <c r="S24" s="152">
        <f>'NDSP Bull, SS &amp; Non-NDSP AI'!S30</f>
        <v>727.85422929599997</v>
      </c>
      <c r="T24" s="152">
        <f>'NDSP Bull, SS &amp; Non-NDSP AI'!T30</f>
        <v>727.85422929599997</v>
      </c>
      <c r="U24" s="152">
        <f>'NDSP Bull, SS &amp; Non-NDSP AI'!U30</f>
        <v>727.85422929599997</v>
      </c>
      <c r="V24" s="152">
        <f>'NDSP Bull, SS &amp; Non-NDSP AI'!V30</f>
        <v>727.85422929599997</v>
      </c>
      <c r="W24" s="152">
        <f>'NDSP Bull, SS &amp; Non-NDSP AI'!W30</f>
        <v>727.85422929599997</v>
      </c>
      <c r="X24" s="152">
        <f>'NDSP Bull, SS &amp; Non-NDSP AI'!X30</f>
        <v>727.85422929599997</v>
      </c>
      <c r="Y24" s="152">
        <f>'NDSP Bull, SS &amp; Non-NDSP AI'!Y30</f>
        <v>727.85422929599997</v>
      </c>
      <c r="Z24" s="152">
        <f>'NDSP Bull, SS &amp; Non-NDSP AI'!Z30</f>
        <v>727.85422929599997</v>
      </c>
      <c r="AA24" s="152">
        <f>'NDSP Bull, SS &amp; Non-NDSP AI'!AA30</f>
        <v>727.85422929599997</v>
      </c>
      <c r="AB24" s="152">
        <f>'NDSP Bull, SS &amp; Non-NDSP AI'!AB30</f>
        <v>727.85422929599997</v>
      </c>
    </row>
    <row r="25" spans="1:28" ht="45" x14ac:dyDescent="0.25">
      <c r="A25" s="120" t="s">
        <v>61</v>
      </c>
      <c r="B25" s="103" t="s">
        <v>58</v>
      </c>
      <c r="C25" s="131">
        <f>C23-C24</f>
        <v>0</v>
      </c>
      <c r="D25" s="131">
        <f t="shared" ref="D25:AB25" si="1">D23-D24</f>
        <v>0</v>
      </c>
      <c r="E25" s="131">
        <f t="shared" si="1"/>
        <v>0</v>
      </c>
      <c r="F25" s="131">
        <f t="shared" si="1"/>
        <v>0</v>
      </c>
      <c r="G25" s="131">
        <f t="shared" si="1"/>
        <v>0</v>
      </c>
      <c r="H25" s="131">
        <f t="shared" si="1"/>
        <v>0</v>
      </c>
      <c r="I25" s="131">
        <f t="shared" si="1"/>
        <v>0</v>
      </c>
      <c r="J25" s="131">
        <f t="shared" si="1"/>
        <v>0</v>
      </c>
      <c r="K25" s="131">
        <f t="shared" si="1"/>
        <v>0</v>
      </c>
      <c r="L25" s="131">
        <f t="shared" si="1"/>
        <v>0</v>
      </c>
      <c r="M25" s="131">
        <f t="shared" si="1"/>
        <v>0</v>
      </c>
      <c r="N25" s="131">
        <f t="shared" si="1"/>
        <v>0</v>
      </c>
      <c r="O25" s="131">
        <f t="shared" si="1"/>
        <v>0</v>
      </c>
      <c r="P25" s="131">
        <f t="shared" si="1"/>
        <v>0</v>
      </c>
      <c r="Q25" s="131">
        <f t="shared" si="1"/>
        <v>0</v>
      </c>
      <c r="R25" s="131">
        <f t="shared" si="1"/>
        <v>0</v>
      </c>
      <c r="S25" s="131">
        <f t="shared" si="1"/>
        <v>0</v>
      </c>
      <c r="T25" s="131">
        <f t="shared" si="1"/>
        <v>0</v>
      </c>
      <c r="U25" s="131">
        <f t="shared" si="1"/>
        <v>0</v>
      </c>
      <c r="V25" s="131">
        <f t="shared" si="1"/>
        <v>0</v>
      </c>
      <c r="W25" s="131">
        <f t="shared" si="1"/>
        <v>0</v>
      </c>
      <c r="X25" s="131">
        <f t="shared" si="1"/>
        <v>0</v>
      </c>
      <c r="Y25" s="131">
        <f t="shared" si="1"/>
        <v>0</v>
      </c>
      <c r="Z25" s="131">
        <f t="shared" si="1"/>
        <v>0</v>
      </c>
      <c r="AA25" s="131">
        <f t="shared" si="1"/>
        <v>0</v>
      </c>
      <c r="AB25" s="131">
        <f t="shared" si="1"/>
        <v>0</v>
      </c>
    </row>
    <row r="26" spans="1:28" x14ac:dyDescent="0.25">
      <c r="A26" s="120"/>
      <c r="B26" s="103"/>
      <c r="C26" s="152"/>
      <c r="D26" s="152"/>
      <c r="E26" s="152"/>
      <c r="F26" s="152"/>
      <c r="G26" s="152"/>
      <c r="H26" s="152"/>
      <c r="I26" s="152"/>
      <c r="J26" s="152"/>
      <c r="K26" s="152"/>
      <c r="L26" s="152"/>
      <c r="M26" s="152"/>
      <c r="N26" s="152"/>
      <c r="O26" s="152"/>
      <c r="P26" s="152"/>
      <c r="Q26" s="152"/>
      <c r="R26" s="152"/>
      <c r="S26" s="152"/>
      <c r="T26" s="152"/>
      <c r="U26" s="152"/>
      <c r="V26" s="152"/>
      <c r="W26" s="152"/>
      <c r="X26" s="152"/>
      <c r="Y26" s="152"/>
      <c r="Z26" s="152"/>
      <c r="AA26" s="152"/>
      <c r="AB26" s="152"/>
    </row>
    <row r="27" spans="1:28" x14ac:dyDescent="0.25">
      <c r="A27" s="155" t="s">
        <v>162</v>
      </c>
      <c r="B27" s="103" t="s">
        <v>166</v>
      </c>
      <c r="C27" s="139">
        <f>C25</f>
        <v>0</v>
      </c>
      <c r="D27" s="139">
        <f t="shared" ref="D27:AB27" si="2">D25</f>
        <v>0</v>
      </c>
      <c r="E27" s="139">
        <f>E25</f>
        <v>0</v>
      </c>
      <c r="F27" s="139">
        <f t="shared" si="2"/>
        <v>0</v>
      </c>
      <c r="G27" s="139">
        <f t="shared" si="2"/>
        <v>0</v>
      </c>
      <c r="H27" s="139">
        <f t="shared" si="2"/>
        <v>0</v>
      </c>
      <c r="I27" s="139">
        <f t="shared" si="2"/>
        <v>0</v>
      </c>
      <c r="J27" s="139">
        <f t="shared" si="2"/>
        <v>0</v>
      </c>
      <c r="K27" s="139">
        <f t="shared" si="2"/>
        <v>0</v>
      </c>
      <c r="L27" s="139">
        <f t="shared" si="2"/>
        <v>0</v>
      </c>
      <c r="M27" s="139">
        <f t="shared" si="2"/>
        <v>0</v>
      </c>
      <c r="N27" s="139">
        <f t="shared" si="2"/>
        <v>0</v>
      </c>
      <c r="O27" s="139">
        <f t="shared" si="2"/>
        <v>0</v>
      </c>
      <c r="P27" s="139">
        <f t="shared" si="2"/>
        <v>0</v>
      </c>
      <c r="Q27" s="139">
        <f t="shared" si="2"/>
        <v>0</v>
      </c>
      <c r="R27" s="139">
        <f t="shared" si="2"/>
        <v>0</v>
      </c>
      <c r="S27" s="139">
        <f t="shared" si="2"/>
        <v>0</v>
      </c>
      <c r="T27" s="139">
        <f t="shared" si="2"/>
        <v>0</v>
      </c>
      <c r="U27" s="139">
        <f t="shared" si="2"/>
        <v>0</v>
      </c>
      <c r="V27" s="139">
        <f t="shared" si="2"/>
        <v>0</v>
      </c>
      <c r="W27" s="139">
        <f t="shared" si="2"/>
        <v>0</v>
      </c>
      <c r="X27" s="139">
        <f t="shared" si="2"/>
        <v>0</v>
      </c>
      <c r="Y27" s="139">
        <f t="shared" si="2"/>
        <v>0</v>
      </c>
      <c r="Z27" s="139">
        <f t="shared" si="2"/>
        <v>0</v>
      </c>
      <c r="AA27" s="139">
        <f t="shared" si="2"/>
        <v>0</v>
      </c>
      <c r="AB27" s="139">
        <f t="shared" si="2"/>
        <v>0</v>
      </c>
    </row>
    <row r="28" spans="1:28" x14ac:dyDescent="0.25">
      <c r="A28" s="129" t="s">
        <v>46</v>
      </c>
      <c r="B28" s="129" t="s">
        <v>128</v>
      </c>
      <c r="C28" s="130">
        <f>C27*100000</f>
        <v>0</v>
      </c>
      <c r="D28" s="130">
        <f t="shared" ref="D28:AB28" si="3">D27*100000</f>
        <v>0</v>
      </c>
      <c r="E28" s="130">
        <f t="shared" si="3"/>
        <v>0</v>
      </c>
      <c r="F28" s="130">
        <f t="shared" si="3"/>
        <v>0</v>
      </c>
      <c r="G28" s="130">
        <f t="shared" si="3"/>
        <v>0</v>
      </c>
      <c r="H28" s="130">
        <f t="shared" si="3"/>
        <v>0</v>
      </c>
      <c r="I28" s="130">
        <f t="shared" si="3"/>
        <v>0</v>
      </c>
      <c r="J28" s="130">
        <f t="shared" si="3"/>
        <v>0</v>
      </c>
      <c r="K28" s="130">
        <f t="shared" si="3"/>
        <v>0</v>
      </c>
      <c r="L28" s="130">
        <f t="shared" si="3"/>
        <v>0</v>
      </c>
      <c r="M28" s="130">
        <f t="shared" si="3"/>
        <v>0</v>
      </c>
      <c r="N28" s="130">
        <f t="shared" si="3"/>
        <v>0</v>
      </c>
      <c r="O28" s="130">
        <f t="shared" si="3"/>
        <v>0</v>
      </c>
      <c r="P28" s="130">
        <f t="shared" si="3"/>
        <v>0</v>
      </c>
      <c r="Q28" s="130">
        <f t="shared" si="3"/>
        <v>0</v>
      </c>
      <c r="R28" s="130">
        <f t="shared" si="3"/>
        <v>0</v>
      </c>
      <c r="S28" s="130">
        <f t="shared" si="3"/>
        <v>0</v>
      </c>
      <c r="T28" s="130">
        <f t="shared" si="3"/>
        <v>0</v>
      </c>
      <c r="U28" s="130">
        <f t="shared" si="3"/>
        <v>0</v>
      </c>
      <c r="V28" s="130">
        <f t="shared" si="3"/>
        <v>0</v>
      </c>
      <c r="W28" s="130">
        <f t="shared" si="3"/>
        <v>0</v>
      </c>
      <c r="X28" s="130">
        <f t="shared" si="3"/>
        <v>0</v>
      </c>
      <c r="Y28" s="130">
        <f t="shared" si="3"/>
        <v>0</v>
      </c>
      <c r="Z28" s="130">
        <f t="shared" si="3"/>
        <v>0</v>
      </c>
      <c r="AA28" s="130">
        <f t="shared" si="3"/>
        <v>0</v>
      </c>
      <c r="AB28" s="130">
        <f t="shared" si="3"/>
        <v>0</v>
      </c>
    </row>
    <row r="29" spans="1:28" x14ac:dyDescent="0.25">
      <c r="A29" s="129"/>
      <c r="B29" s="129"/>
      <c r="C29" s="130"/>
      <c r="D29" s="130"/>
      <c r="E29" s="130"/>
      <c r="F29" s="130"/>
      <c r="G29" s="130"/>
      <c r="H29" s="130"/>
      <c r="I29" s="132"/>
      <c r="J29" s="103"/>
      <c r="K29" s="103"/>
      <c r="L29" s="103"/>
      <c r="M29" s="103"/>
      <c r="N29" s="103"/>
      <c r="O29" s="103"/>
      <c r="P29" s="103"/>
      <c r="Q29" s="103"/>
      <c r="R29" s="103"/>
    </row>
    <row r="30" spans="1:28" ht="25.5" x14ac:dyDescent="0.25">
      <c r="A30" s="103"/>
      <c r="B30" s="103"/>
      <c r="C30" s="127" t="s">
        <v>75</v>
      </c>
      <c r="D30" s="104" t="s">
        <v>74</v>
      </c>
      <c r="E30" s="104" t="s">
        <v>45</v>
      </c>
      <c r="F30" s="130"/>
      <c r="G30" s="130"/>
      <c r="H30" s="130"/>
      <c r="I30" s="132"/>
      <c r="J30" s="103"/>
      <c r="K30" s="103"/>
      <c r="L30" s="103"/>
      <c r="M30" s="103"/>
      <c r="N30" s="103"/>
      <c r="O30" s="103"/>
      <c r="P30" s="103"/>
      <c r="Q30" s="103"/>
      <c r="R30" s="103"/>
    </row>
    <row r="31" spans="1:28" x14ac:dyDescent="0.25">
      <c r="A31" s="219" t="s">
        <v>141</v>
      </c>
      <c r="B31" s="103"/>
      <c r="C31" s="127"/>
      <c r="D31" s="104"/>
      <c r="E31" s="104"/>
      <c r="F31" s="130"/>
      <c r="G31" s="130"/>
      <c r="H31" s="130"/>
      <c r="I31" s="132"/>
      <c r="J31" s="103"/>
      <c r="K31" s="103"/>
      <c r="L31" s="103"/>
      <c r="M31" s="103"/>
      <c r="N31" s="103"/>
      <c r="O31" s="103"/>
      <c r="P31" s="103"/>
      <c r="Q31" s="103"/>
      <c r="R31" s="103"/>
    </row>
    <row r="32" spans="1:28" x14ac:dyDescent="0.25">
      <c r="A32" s="133" t="s">
        <v>138</v>
      </c>
      <c r="B32" s="103" t="s">
        <v>128</v>
      </c>
      <c r="C32" s="134">
        <f>C28*$C$18</f>
        <v>0</v>
      </c>
      <c r="D32" s="134">
        <f>D28*$C$18</f>
        <v>0</v>
      </c>
      <c r="E32" s="134">
        <f t="shared" ref="E32:L32" si="4">E28*$C$18</f>
        <v>0</v>
      </c>
      <c r="F32" s="120">
        <f t="shared" si="4"/>
        <v>0</v>
      </c>
      <c r="G32" s="120">
        <f t="shared" si="4"/>
        <v>0</v>
      </c>
      <c r="H32" s="120">
        <f t="shared" si="4"/>
        <v>0</v>
      </c>
      <c r="I32" s="120">
        <f t="shared" si="4"/>
        <v>0</v>
      </c>
      <c r="J32" s="120">
        <f t="shared" si="4"/>
        <v>0</v>
      </c>
      <c r="K32" s="120">
        <f t="shared" si="4"/>
        <v>0</v>
      </c>
      <c r="L32" s="120">
        <f t="shared" si="4"/>
        <v>0</v>
      </c>
      <c r="M32" s="120">
        <f>M28*$C$18</f>
        <v>0</v>
      </c>
      <c r="N32" s="120">
        <f t="shared" ref="N32:AB32" si="5">N28*$C$18</f>
        <v>0</v>
      </c>
      <c r="O32" s="120">
        <f t="shared" si="5"/>
        <v>0</v>
      </c>
      <c r="P32" s="120">
        <f t="shared" si="5"/>
        <v>0</v>
      </c>
      <c r="Q32" s="120">
        <f t="shared" si="5"/>
        <v>0</v>
      </c>
      <c r="R32" s="120">
        <f t="shared" si="5"/>
        <v>0</v>
      </c>
      <c r="S32" s="120">
        <f t="shared" si="5"/>
        <v>0</v>
      </c>
      <c r="T32" s="120">
        <f t="shared" si="5"/>
        <v>0</v>
      </c>
      <c r="U32" s="120">
        <f t="shared" si="5"/>
        <v>0</v>
      </c>
      <c r="V32" s="120">
        <f t="shared" si="5"/>
        <v>0</v>
      </c>
      <c r="W32" s="120">
        <f t="shared" si="5"/>
        <v>0</v>
      </c>
      <c r="X32" s="120">
        <f t="shared" si="5"/>
        <v>0</v>
      </c>
      <c r="Y32" s="120">
        <f t="shared" si="5"/>
        <v>0</v>
      </c>
      <c r="Z32" s="120">
        <f t="shared" si="5"/>
        <v>0</v>
      </c>
      <c r="AA32" s="120">
        <f t="shared" si="5"/>
        <v>0</v>
      </c>
      <c r="AB32" s="120">
        <f t="shared" si="5"/>
        <v>0</v>
      </c>
    </row>
    <row r="33" spans="1:28" x14ac:dyDescent="0.25">
      <c r="A33" s="103" t="s">
        <v>44</v>
      </c>
      <c r="B33" s="129"/>
      <c r="C33" s="135">
        <f>280+60+((1/C21)-1)*22</f>
        <v>380.85714285714289</v>
      </c>
      <c r="D33" s="135">
        <f>280+60+((1/D21)-1)*22</f>
        <v>379.11111111111109</v>
      </c>
      <c r="E33" s="135">
        <f>C33-D33</f>
        <v>1.7460317460318038</v>
      </c>
      <c r="F33" s="130"/>
      <c r="G33" s="130"/>
      <c r="H33" s="130"/>
      <c r="I33" s="132"/>
      <c r="J33" s="103"/>
      <c r="K33" s="103"/>
      <c r="L33" s="103"/>
      <c r="M33" s="103"/>
      <c r="N33" s="103"/>
      <c r="O33" s="103"/>
      <c r="P33" s="103"/>
      <c r="Q33" s="103"/>
      <c r="R33" s="103"/>
    </row>
    <row r="34" spans="1:28" x14ac:dyDescent="0.25">
      <c r="A34" s="103"/>
      <c r="B34" s="129"/>
      <c r="C34" s="133"/>
      <c r="D34" s="135"/>
      <c r="E34" s="135"/>
      <c r="F34" s="130"/>
      <c r="G34" s="130"/>
      <c r="H34" s="130"/>
      <c r="I34" s="132"/>
      <c r="J34" s="103"/>
      <c r="K34" s="103"/>
      <c r="L34" s="103"/>
      <c r="M34" s="103"/>
      <c r="N34" s="103"/>
      <c r="O34" s="103"/>
      <c r="P34" s="103"/>
      <c r="Q34" s="103"/>
      <c r="R34" s="103"/>
    </row>
    <row r="35" spans="1:28" x14ac:dyDescent="0.25">
      <c r="A35" s="220" t="s">
        <v>139</v>
      </c>
      <c r="B35" s="129"/>
      <c r="C35" s="133"/>
      <c r="D35" s="135"/>
      <c r="E35" s="135"/>
      <c r="F35" s="130"/>
      <c r="G35" s="130"/>
      <c r="H35" s="130"/>
      <c r="I35" s="132"/>
      <c r="J35" s="103"/>
      <c r="K35" s="103"/>
      <c r="L35" s="103"/>
      <c r="M35" s="103"/>
      <c r="N35" s="103"/>
      <c r="O35" s="103"/>
      <c r="P35" s="103"/>
      <c r="Q35" s="103"/>
      <c r="R35" s="103"/>
    </row>
    <row r="36" spans="1:28" x14ac:dyDescent="0.25">
      <c r="A36" s="123" t="s">
        <v>198</v>
      </c>
      <c r="B36" s="103" t="s">
        <v>51</v>
      </c>
      <c r="C36" s="103">
        <f>C12/305</f>
        <v>2.5561967213114758</v>
      </c>
      <c r="D36" s="103"/>
      <c r="E36" s="103"/>
      <c r="F36" s="103"/>
      <c r="G36" s="103"/>
      <c r="H36" s="103"/>
      <c r="I36" s="103"/>
      <c r="J36" s="103"/>
      <c r="K36" s="103"/>
      <c r="L36" s="103"/>
      <c r="M36" s="103"/>
      <c r="N36" s="103"/>
      <c r="O36" s="103"/>
      <c r="P36" s="103"/>
      <c r="Q36" s="103"/>
      <c r="R36" s="103"/>
    </row>
    <row r="37" spans="1:28" ht="31.5" customHeight="1" x14ac:dyDescent="0.25">
      <c r="A37" s="123" t="s">
        <v>199</v>
      </c>
      <c r="B37" s="103" t="s">
        <v>51</v>
      </c>
      <c r="C37" s="103">
        <f>C36*E33</f>
        <v>4.4632006245122486</v>
      </c>
      <c r="D37" s="103"/>
      <c r="E37" s="103"/>
      <c r="F37" s="103"/>
      <c r="G37" s="103"/>
      <c r="H37" s="103"/>
      <c r="I37" s="103"/>
      <c r="J37" s="103"/>
      <c r="K37" s="103"/>
      <c r="L37" s="103"/>
      <c r="M37" s="103"/>
      <c r="N37" s="103"/>
      <c r="O37" s="103"/>
      <c r="P37" s="103"/>
      <c r="Q37" s="103"/>
      <c r="R37" s="103"/>
    </row>
    <row r="38" spans="1:28" x14ac:dyDescent="0.25">
      <c r="A38" s="120" t="s">
        <v>80</v>
      </c>
      <c r="B38" s="103" t="s">
        <v>54</v>
      </c>
      <c r="C38" s="103"/>
      <c r="D38" s="130">
        <f>C32*$D$21*$C$16*365/$D$33</f>
        <v>0</v>
      </c>
      <c r="E38" s="130">
        <f t="shared" ref="E38:AB38" si="6">(D32*$D$21*$C$16*365/$D$33)+(C32*$D$21*$C$16*($D$33-365)/$D$33)</f>
        <v>0</v>
      </c>
      <c r="F38" s="130">
        <f t="shared" si="6"/>
        <v>0</v>
      </c>
      <c r="G38" s="130">
        <f t="shared" si="6"/>
        <v>0</v>
      </c>
      <c r="H38" s="130">
        <f t="shared" si="6"/>
        <v>0</v>
      </c>
      <c r="I38" s="130">
        <f t="shared" si="6"/>
        <v>0</v>
      </c>
      <c r="J38" s="130">
        <f t="shared" si="6"/>
        <v>0</v>
      </c>
      <c r="K38" s="130">
        <f t="shared" si="6"/>
        <v>0</v>
      </c>
      <c r="L38" s="130">
        <f t="shared" si="6"/>
        <v>0</v>
      </c>
      <c r="M38" s="130">
        <f t="shared" si="6"/>
        <v>0</v>
      </c>
      <c r="N38" s="130">
        <f t="shared" si="6"/>
        <v>0</v>
      </c>
      <c r="O38" s="130">
        <f t="shared" si="6"/>
        <v>0</v>
      </c>
      <c r="P38" s="130">
        <f t="shared" si="6"/>
        <v>0</v>
      </c>
      <c r="Q38" s="130">
        <f t="shared" si="6"/>
        <v>0</v>
      </c>
      <c r="R38" s="130">
        <f t="shared" si="6"/>
        <v>0</v>
      </c>
      <c r="S38" s="130">
        <f t="shared" si="6"/>
        <v>0</v>
      </c>
      <c r="T38" s="130">
        <f t="shared" si="6"/>
        <v>0</v>
      </c>
      <c r="U38" s="130">
        <f t="shared" si="6"/>
        <v>0</v>
      </c>
      <c r="V38" s="130">
        <f t="shared" si="6"/>
        <v>0</v>
      </c>
      <c r="W38" s="130">
        <f t="shared" si="6"/>
        <v>0</v>
      </c>
      <c r="X38" s="130">
        <f t="shared" si="6"/>
        <v>0</v>
      </c>
      <c r="Y38" s="130">
        <f t="shared" si="6"/>
        <v>0</v>
      </c>
      <c r="Z38" s="130">
        <f t="shared" si="6"/>
        <v>0</v>
      </c>
      <c r="AA38" s="130">
        <f t="shared" si="6"/>
        <v>0</v>
      </c>
      <c r="AB38" s="130">
        <f t="shared" si="6"/>
        <v>0</v>
      </c>
    </row>
    <row r="39" spans="1:28" ht="38.25" x14ac:dyDescent="0.25">
      <c r="A39" s="136" t="s">
        <v>200</v>
      </c>
      <c r="B39" s="137" t="s">
        <v>201</v>
      </c>
      <c r="C39" s="104"/>
      <c r="D39" s="138">
        <f>D38*$C$37*1.03/1000/1000</f>
        <v>0</v>
      </c>
      <c r="E39" s="138">
        <f t="shared" ref="E39:AB39" si="7">E38*$C$37*1.03/1000/1000</f>
        <v>0</v>
      </c>
      <c r="F39" s="138">
        <f t="shared" si="7"/>
        <v>0</v>
      </c>
      <c r="G39" s="138">
        <f t="shared" si="7"/>
        <v>0</v>
      </c>
      <c r="H39" s="138">
        <f t="shared" si="7"/>
        <v>0</v>
      </c>
      <c r="I39" s="138">
        <f t="shared" si="7"/>
        <v>0</v>
      </c>
      <c r="J39" s="138">
        <f t="shared" si="7"/>
        <v>0</v>
      </c>
      <c r="K39" s="138">
        <f t="shared" si="7"/>
        <v>0</v>
      </c>
      <c r="L39" s="138">
        <f t="shared" si="7"/>
        <v>0</v>
      </c>
      <c r="M39" s="138">
        <f t="shared" si="7"/>
        <v>0</v>
      </c>
      <c r="N39" s="138">
        <f t="shared" si="7"/>
        <v>0</v>
      </c>
      <c r="O39" s="138">
        <f t="shared" si="7"/>
        <v>0</v>
      </c>
      <c r="P39" s="138">
        <f t="shared" si="7"/>
        <v>0</v>
      </c>
      <c r="Q39" s="138">
        <f t="shared" si="7"/>
        <v>0</v>
      </c>
      <c r="R39" s="138">
        <f t="shared" si="7"/>
        <v>0</v>
      </c>
      <c r="S39" s="138">
        <f t="shared" si="7"/>
        <v>0</v>
      </c>
      <c r="T39" s="138">
        <f t="shared" si="7"/>
        <v>0</v>
      </c>
      <c r="U39" s="138">
        <f t="shared" si="7"/>
        <v>0</v>
      </c>
      <c r="V39" s="138">
        <f t="shared" si="7"/>
        <v>0</v>
      </c>
      <c r="W39" s="138">
        <f t="shared" si="7"/>
        <v>0</v>
      </c>
      <c r="X39" s="138">
        <f t="shared" si="7"/>
        <v>0</v>
      </c>
      <c r="Y39" s="138">
        <f t="shared" si="7"/>
        <v>0</v>
      </c>
      <c r="Z39" s="138">
        <f t="shared" si="7"/>
        <v>0</v>
      </c>
      <c r="AA39" s="138">
        <f t="shared" si="7"/>
        <v>0</v>
      </c>
      <c r="AB39" s="138">
        <f t="shared" si="7"/>
        <v>0</v>
      </c>
    </row>
    <row r="40" spans="1:28" x14ac:dyDescent="0.25">
      <c r="A40" s="120"/>
      <c r="B40" s="103"/>
      <c r="C40" s="103"/>
      <c r="D40" s="103"/>
      <c r="E40" s="103"/>
      <c r="F40" s="103"/>
      <c r="G40" s="103"/>
      <c r="H40" s="103"/>
      <c r="I40" s="103"/>
      <c r="J40" s="103"/>
      <c r="K40" s="103"/>
      <c r="L40" s="103"/>
      <c r="M40" s="103"/>
      <c r="N40" s="103"/>
      <c r="O40" s="103"/>
      <c r="P40" s="103"/>
      <c r="Q40" s="103"/>
      <c r="R40" s="103"/>
    </row>
    <row r="41" spans="1:28" x14ac:dyDescent="0.25">
      <c r="A41" s="221" t="s">
        <v>140</v>
      </c>
      <c r="B41" s="103"/>
      <c r="C41" s="103"/>
      <c r="D41" s="103"/>
      <c r="E41" s="103"/>
      <c r="F41" s="103"/>
      <c r="G41" s="103"/>
      <c r="H41" s="103"/>
      <c r="I41" s="103"/>
      <c r="J41" s="103"/>
      <c r="K41" s="103"/>
      <c r="L41" s="103"/>
      <c r="M41" s="103"/>
      <c r="N41" s="103"/>
      <c r="O41" s="103"/>
      <c r="P41" s="103"/>
      <c r="Q41" s="103"/>
      <c r="R41" s="103"/>
    </row>
    <row r="42" spans="1:28" x14ac:dyDescent="0.25">
      <c r="A42" s="120" t="s">
        <v>155</v>
      </c>
      <c r="B42" s="103" t="s">
        <v>56</v>
      </c>
      <c r="C42" s="103"/>
      <c r="D42" s="131">
        <f>D38/2/100000*$C$17*Assumptions!$C$10</f>
        <v>0</v>
      </c>
      <c r="E42" s="131">
        <f>E38/2/100000*$C$17*Assumptions!$C$10</f>
        <v>0</v>
      </c>
      <c r="F42" s="131">
        <f>F38/2/100000*$C$17*Assumptions!$C$10</f>
        <v>0</v>
      </c>
      <c r="G42" s="131">
        <f>G38/2/100000*$C$17*Assumptions!$C$10</f>
        <v>0</v>
      </c>
      <c r="H42" s="131">
        <f>H38/2/100000*$C$17*Assumptions!$C$10</f>
        <v>0</v>
      </c>
      <c r="I42" s="131">
        <f>I38/2/100000*$C$17*Assumptions!$C$10</f>
        <v>0</v>
      </c>
      <c r="J42" s="131">
        <f>J38/2/100000*$C$17*Assumptions!$C$10</f>
        <v>0</v>
      </c>
      <c r="K42" s="131">
        <f>K38/2/100000*$C$17*Assumptions!$C$10</f>
        <v>0</v>
      </c>
      <c r="L42" s="131">
        <f>L38/2/100000*$C$17*Assumptions!$C$10</f>
        <v>0</v>
      </c>
      <c r="M42" s="131">
        <f>M38/2/100000*$C$17*Assumptions!$C$10</f>
        <v>0</v>
      </c>
      <c r="N42" s="131">
        <f>N38/2/100000*$C$17*Assumptions!$C$10</f>
        <v>0</v>
      </c>
      <c r="O42" s="131">
        <f>O38/2/100000*$C$17*Assumptions!$C$10</f>
        <v>0</v>
      </c>
      <c r="P42" s="131">
        <f>P38/2/100000*$C$17*Assumptions!$C$10</f>
        <v>0</v>
      </c>
      <c r="Q42" s="131">
        <f>Q38/2/100000*$C$17*Assumptions!$C$10</f>
        <v>0</v>
      </c>
      <c r="R42" s="131">
        <f>R38/2/100000*$C$17*Assumptions!$C$10</f>
        <v>0</v>
      </c>
      <c r="S42" s="131">
        <f>S38/2/100000*$C$17*Assumptions!$C$10</f>
        <v>0</v>
      </c>
      <c r="T42" s="131">
        <f>T38/2/100000*$C$17*Assumptions!$C$10</f>
        <v>0</v>
      </c>
      <c r="U42" s="131">
        <f>U38/2/100000*$C$17*Assumptions!$C$10</f>
        <v>0</v>
      </c>
      <c r="V42" s="131">
        <f>V38/2/100000*$C$17*Assumptions!$C$10</f>
        <v>0</v>
      </c>
      <c r="W42" s="131">
        <f>W38/2/100000*$C$17*Assumptions!$C$10</f>
        <v>0</v>
      </c>
      <c r="X42" s="131">
        <f>X38/2/100000*$C$17*Assumptions!$C$10</f>
        <v>0</v>
      </c>
      <c r="Y42" s="131">
        <f>Y38/2/100000*$C$17*Assumptions!$C$10</f>
        <v>0</v>
      </c>
      <c r="Z42" s="131">
        <f>Z38/2/100000*$C$17*Assumptions!$C$10</f>
        <v>0</v>
      </c>
      <c r="AA42" s="131">
        <f>AA38/2/100000*$C$17*Assumptions!$C$10</f>
        <v>0</v>
      </c>
      <c r="AB42" s="131">
        <f>AB38/2/100000*$C$17*Assumptions!$C$10</f>
        <v>0</v>
      </c>
    </row>
    <row r="43" spans="1:28" x14ac:dyDescent="0.25">
      <c r="A43" s="120" t="s">
        <v>156</v>
      </c>
      <c r="B43" s="103" t="s">
        <v>56</v>
      </c>
      <c r="C43" s="103"/>
      <c r="D43" s="131">
        <f>D38/2/100000*$C$17*Assumptions!$C$11</f>
        <v>0</v>
      </c>
      <c r="E43" s="131">
        <f>E38/2/100000*$C$17*Assumptions!$C$11</f>
        <v>0</v>
      </c>
      <c r="F43" s="131">
        <f>F38/2/100000*$C$17*Assumptions!$C$11</f>
        <v>0</v>
      </c>
      <c r="G43" s="131">
        <f>G38/2/100000*$C$17*Assumptions!$C$11</f>
        <v>0</v>
      </c>
      <c r="H43" s="131">
        <f>H38/2/100000*$C$17*Assumptions!$C$11</f>
        <v>0</v>
      </c>
      <c r="I43" s="131">
        <f>I38/2/100000*$C$17*Assumptions!$C$11</f>
        <v>0</v>
      </c>
      <c r="J43" s="131">
        <f>J38/2/100000*$C$17*Assumptions!$C$11</f>
        <v>0</v>
      </c>
      <c r="K43" s="131">
        <f>K38/2/100000*$C$17*Assumptions!$C$11</f>
        <v>0</v>
      </c>
      <c r="L43" s="131">
        <f>L38/2/100000*$C$17*Assumptions!$C$11</f>
        <v>0</v>
      </c>
      <c r="M43" s="131">
        <f>M38/2/100000*$C$17*Assumptions!$C$11</f>
        <v>0</v>
      </c>
      <c r="N43" s="131">
        <f>N38/2/100000*$C$17*Assumptions!$C$11</f>
        <v>0</v>
      </c>
      <c r="O43" s="131">
        <f>O38/2/100000*$C$17*Assumptions!$C$11</f>
        <v>0</v>
      </c>
      <c r="P43" s="131">
        <f>P38/2/100000*$C$17*Assumptions!$C$11</f>
        <v>0</v>
      </c>
      <c r="Q43" s="131">
        <f>Q38/2/100000*$C$17*Assumptions!$C$11</f>
        <v>0</v>
      </c>
      <c r="R43" s="131">
        <f>R38/2/100000*$C$17*Assumptions!$C$11</f>
        <v>0</v>
      </c>
      <c r="S43" s="131">
        <f>S38/2/100000*$C$17*Assumptions!$C$11</f>
        <v>0</v>
      </c>
      <c r="T43" s="131">
        <f>T38/2/100000*$C$17*Assumptions!$C$11</f>
        <v>0</v>
      </c>
      <c r="U43" s="131">
        <f>U38/2/100000*$C$17*Assumptions!$C$11</f>
        <v>0</v>
      </c>
      <c r="V43" s="131">
        <f>V38/2/100000*$C$17*Assumptions!$C$11</f>
        <v>0</v>
      </c>
      <c r="W43" s="131">
        <f>W38/2/100000*$C$17*Assumptions!$C$11</f>
        <v>0</v>
      </c>
      <c r="X43" s="131">
        <f>X38/2/100000*$C$17*Assumptions!$C$11</f>
        <v>0</v>
      </c>
      <c r="Y43" s="131">
        <f>Y38/2/100000*$C$17*Assumptions!$C$11</f>
        <v>0</v>
      </c>
      <c r="Z43" s="131">
        <f>Z38/2/100000*$C$17*Assumptions!$C$11</f>
        <v>0</v>
      </c>
      <c r="AA43" s="131">
        <f>AA38/2/100000*$C$17*Assumptions!$C$11</f>
        <v>0</v>
      </c>
      <c r="AB43" s="131">
        <f>AB38/2/100000*$C$17*Assumptions!$C$11</f>
        <v>0</v>
      </c>
    </row>
    <row r="44" spans="1:28" x14ac:dyDescent="0.25">
      <c r="A44" s="120"/>
      <c r="B44" s="103"/>
      <c r="C44" s="103"/>
      <c r="D44" s="131"/>
      <c r="E44" s="131"/>
      <c r="F44" s="131"/>
      <c r="G44" s="131"/>
      <c r="H44" s="131"/>
      <c r="I44" s="131"/>
      <c r="J44" s="131"/>
      <c r="K44" s="131"/>
      <c r="L44" s="131"/>
      <c r="M44" s="131"/>
      <c r="N44" s="131"/>
      <c r="O44" s="131"/>
      <c r="P44" s="131"/>
      <c r="Q44" s="131"/>
      <c r="R44" s="131"/>
      <c r="S44" s="139"/>
      <c r="T44" s="139"/>
      <c r="U44" s="139"/>
      <c r="V44" s="139"/>
      <c r="W44" s="139"/>
    </row>
    <row r="45" spans="1:28" ht="30" x14ac:dyDescent="0.25">
      <c r="A45" s="120" t="s">
        <v>182</v>
      </c>
      <c r="B45" s="103" t="s">
        <v>56</v>
      </c>
      <c r="C45" s="103"/>
      <c r="D45" s="131"/>
      <c r="E45" s="131"/>
      <c r="F45" s="131"/>
      <c r="G45" s="131"/>
      <c r="H45" s="131">
        <f>D42</f>
        <v>0</v>
      </c>
      <c r="I45" s="131">
        <f>SUM(D42:E42)</f>
        <v>0</v>
      </c>
      <c r="J45" s="131">
        <f>SUM(D42:F42)</f>
        <v>0</v>
      </c>
      <c r="K45" s="131">
        <f>SUM(D42:G42)</f>
        <v>0</v>
      </c>
      <c r="L45" s="131">
        <f>SUM(D42:H42)</f>
        <v>0</v>
      </c>
      <c r="M45" s="131">
        <f t="shared" ref="M45:W45" si="8">SUM(E42:I42)</f>
        <v>0</v>
      </c>
      <c r="N45" s="131">
        <f t="shared" si="8"/>
        <v>0</v>
      </c>
      <c r="O45" s="131">
        <f t="shared" si="8"/>
        <v>0</v>
      </c>
      <c r="P45" s="131">
        <f t="shared" si="8"/>
        <v>0</v>
      </c>
      <c r="Q45" s="131">
        <f t="shared" si="8"/>
        <v>0</v>
      </c>
      <c r="R45" s="131">
        <f t="shared" si="8"/>
        <v>0</v>
      </c>
      <c r="S45" s="131">
        <f t="shared" si="8"/>
        <v>0</v>
      </c>
      <c r="T45" s="131">
        <f t="shared" si="8"/>
        <v>0</v>
      </c>
      <c r="U45" s="131">
        <f t="shared" si="8"/>
        <v>0</v>
      </c>
      <c r="V45" s="131">
        <f t="shared" si="8"/>
        <v>0</v>
      </c>
      <c r="W45" s="131">
        <f t="shared" si="8"/>
        <v>0</v>
      </c>
      <c r="X45" s="131">
        <f>SUM(P42:T42)</f>
        <v>0</v>
      </c>
      <c r="Y45" s="131">
        <f>SUM(Q42:U42)</f>
        <v>0</v>
      </c>
      <c r="Z45" s="131">
        <f>SUM(R42:V42)</f>
        <v>0</v>
      </c>
      <c r="AA45" s="131">
        <f>SUM(S42:W42)</f>
        <v>0</v>
      </c>
      <c r="AB45" s="131">
        <f>SUM(T42:X42)</f>
        <v>0</v>
      </c>
    </row>
    <row r="46" spans="1:28" ht="30" x14ac:dyDescent="0.25">
      <c r="A46" s="120" t="s">
        <v>180</v>
      </c>
      <c r="B46" s="103" t="s">
        <v>51</v>
      </c>
      <c r="C46" s="103"/>
      <c r="D46" s="131"/>
      <c r="E46" s="131"/>
      <c r="F46" s="131"/>
      <c r="G46" s="131"/>
      <c r="H46" s="131">
        <f>(1+$C$15*5)*C12</f>
        <v>818.62200000000018</v>
      </c>
      <c r="I46" s="131">
        <f>(1+$C$15)*H46</f>
        <v>826.80822000000023</v>
      </c>
      <c r="J46" s="131">
        <f t="shared" ref="J46:AB46" si="9">(1+$C$15)*I46</f>
        <v>835.07630220000021</v>
      </c>
      <c r="K46" s="131">
        <f t="shared" si="9"/>
        <v>843.42706522200024</v>
      </c>
      <c r="L46" s="131">
        <f t="shared" si="9"/>
        <v>851.86133587422023</v>
      </c>
      <c r="M46" s="131">
        <f t="shared" si="9"/>
        <v>860.37994923296242</v>
      </c>
      <c r="N46" s="131">
        <f t="shared" si="9"/>
        <v>868.983748725292</v>
      </c>
      <c r="O46" s="131">
        <f t="shared" si="9"/>
        <v>877.67358621254493</v>
      </c>
      <c r="P46" s="131">
        <f t="shared" si="9"/>
        <v>886.45032207467034</v>
      </c>
      <c r="Q46" s="131">
        <f t="shared" si="9"/>
        <v>895.31482529541699</v>
      </c>
      <c r="R46" s="131">
        <f t="shared" si="9"/>
        <v>904.26797354837117</v>
      </c>
      <c r="S46" s="131">
        <f t="shared" si="9"/>
        <v>913.31065328385489</v>
      </c>
      <c r="T46" s="131">
        <f t="shared" si="9"/>
        <v>922.4437598166935</v>
      </c>
      <c r="U46" s="131">
        <f t="shared" si="9"/>
        <v>931.6681974148604</v>
      </c>
      <c r="V46" s="131">
        <f t="shared" si="9"/>
        <v>940.98487938900905</v>
      </c>
      <c r="W46" s="131">
        <f t="shared" si="9"/>
        <v>950.39472818289914</v>
      </c>
      <c r="X46" s="131">
        <f t="shared" si="9"/>
        <v>959.89867546472817</v>
      </c>
      <c r="Y46" s="131">
        <f t="shared" si="9"/>
        <v>969.49766221937546</v>
      </c>
      <c r="Z46" s="131">
        <f t="shared" si="9"/>
        <v>979.19263884156919</v>
      </c>
      <c r="AA46" s="131">
        <f t="shared" si="9"/>
        <v>988.98456522998492</v>
      </c>
      <c r="AB46" s="131">
        <f t="shared" si="9"/>
        <v>998.87441088228479</v>
      </c>
    </row>
    <row r="47" spans="1:28" ht="45" x14ac:dyDescent="0.25">
      <c r="A47" s="120" t="s">
        <v>181</v>
      </c>
      <c r="B47" s="103" t="s">
        <v>51</v>
      </c>
      <c r="C47" s="103"/>
      <c r="D47" s="131"/>
      <c r="E47" s="131"/>
      <c r="F47" s="131"/>
      <c r="G47" s="131"/>
      <c r="H47" s="131">
        <f>H46-$C$12</f>
        <v>38.982000000000085</v>
      </c>
      <c r="I47" s="131">
        <f t="shared" ref="I47:AB47" si="10">I46-$C$12</f>
        <v>47.168220000000133</v>
      </c>
      <c r="J47" s="131">
        <f t="shared" si="10"/>
        <v>55.436302200000114</v>
      </c>
      <c r="K47" s="131">
        <f t="shared" si="10"/>
        <v>63.787065222000138</v>
      </c>
      <c r="L47" s="131">
        <f t="shared" si="10"/>
        <v>72.221335874220131</v>
      </c>
      <c r="M47" s="131">
        <f t="shared" si="10"/>
        <v>80.739949232962317</v>
      </c>
      <c r="N47" s="131">
        <f t="shared" si="10"/>
        <v>89.343748725291903</v>
      </c>
      <c r="O47" s="131">
        <f t="shared" si="10"/>
        <v>98.033586212544833</v>
      </c>
      <c r="P47" s="131">
        <f t="shared" si="10"/>
        <v>106.81032207467024</v>
      </c>
      <c r="Q47" s="131">
        <f t="shared" si="10"/>
        <v>115.67482529541689</v>
      </c>
      <c r="R47" s="131">
        <f t="shared" si="10"/>
        <v>124.62797354837107</v>
      </c>
      <c r="S47" s="131">
        <f t="shared" si="10"/>
        <v>133.67065328385479</v>
      </c>
      <c r="T47" s="131">
        <f t="shared" si="10"/>
        <v>142.8037598166934</v>
      </c>
      <c r="U47" s="131">
        <f t="shared" si="10"/>
        <v>152.0281974148603</v>
      </c>
      <c r="V47" s="131">
        <f t="shared" si="10"/>
        <v>161.34487938900895</v>
      </c>
      <c r="W47" s="131">
        <f t="shared" si="10"/>
        <v>170.75472818289904</v>
      </c>
      <c r="X47" s="131">
        <f t="shared" si="10"/>
        <v>180.25867546472807</v>
      </c>
      <c r="Y47" s="131">
        <f t="shared" si="10"/>
        <v>189.85766221937536</v>
      </c>
      <c r="Z47" s="131">
        <f t="shared" si="10"/>
        <v>199.55263884156909</v>
      </c>
      <c r="AA47" s="131">
        <f t="shared" si="10"/>
        <v>209.34456522998482</v>
      </c>
      <c r="AB47" s="131">
        <f t="shared" si="10"/>
        <v>219.23441088228469</v>
      </c>
    </row>
    <row r="48" spans="1:28" x14ac:dyDescent="0.25">
      <c r="A48" s="103"/>
      <c r="B48" s="103"/>
      <c r="C48" s="103"/>
      <c r="D48" s="131"/>
      <c r="E48" s="131"/>
      <c r="F48" s="131"/>
      <c r="G48" s="131"/>
      <c r="H48" s="131"/>
      <c r="I48" s="131"/>
      <c r="J48" s="131"/>
      <c r="K48" s="131"/>
      <c r="L48" s="131"/>
      <c r="M48" s="131"/>
      <c r="N48" s="131"/>
      <c r="O48" s="131"/>
      <c r="P48" s="131"/>
      <c r="Q48" s="131"/>
      <c r="R48" s="131"/>
      <c r="S48" s="131"/>
      <c r="T48" s="131"/>
      <c r="U48" s="131"/>
      <c r="V48" s="131"/>
      <c r="W48" s="131"/>
      <c r="X48" s="131"/>
      <c r="Y48" s="131"/>
      <c r="Z48" s="131"/>
      <c r="AA48" s="131"/>
      <c r="AB48" s="131"/>
    </row>
    <row r="49" spans="1:29" x14ac:dyDescent="0.25">
      <c r="A49" s="103" t="s">
        <v>183</v>
      </c>
      <c r="B49" s="103"/>
      <c r="C49" s="103"/>
      <c r="D49" s="131"/>
      <c r="E49" s="131"/>
      <c r="F49" s="131"/>
      <c r="G49" s="131"/>
      <c r="H49" s="131"/>
      <c r="I49" s="131"/>
      <c r="J49" s="131"/>
      <c r="K49" s="131"/>
      <c r="L49" s="131"/>
      <c r="M49" s="131"/>
      <c r="N49" s="131"/>
      <c r="O49" s="131"/>
      <c r="P49" s="131"/>
      <c r="Q49" s="131"/>
      <c r="R49" s="131"/>
      <c r="S49" s="131"/>
      <c r="T49" s="131"/>
      <c r="U49" s="131"/>
      <c r="V49" s="131"/>
      <c r="W49" s="131"/>
      <c r="X49" s="131"/>
      <c r="Y49" s="131"/>
      <c r="Z49" s="131"/>
      <c r="AA49" s="131"/>
      <c r="AB49" s="131"/>
    </row>
    <row r="50" spans="1:29" x14ac:dyDescent="0.25">
      <c r="A50" s="103" t="s">
        <v>184</v>
      </c>
      <c r="B50" s="103" t="s">
        <v>51</v>
      </c>
      <c r="C50" s="103"/>
      <c r="D50" s="131"/>
      <c r="E50" s="131"/>
      <c r="F50" s="131"/>
      <c r="G50" s="131"/>
      <c r="H50" s="130">
        <f>H$47*D$42*100000</f>
        <v>0</v>
      </c>
      <c r="I50" s="130">
        <f>I$47*E$42*100000</f>
        <v>0</v>
      </c>
      <c r="J50" s="130">
        <f t="shared" ref="J50:AB50" si="11">J$47*F$42*100000</f>
        <v>0</v>
      </c>
      <c r="K50" s="130">
        <f t="shared" si="11"/>
        <v>0</v>
      </c>
      <c r="L50" s="130">
        <f t="shared" si="11"/>
        <v>0</v>
      </c>
      <c r="M50" s="130">
        <f t="shared" si="11"/>
        <v>0</v>
      </c>
      <c r="N50" s="130">
        <f t="shared" si="11"/>
        <v>0</v>
      </c>
      <c r="O50" s="130">
        <f t="shared" si="11"/>
        <v>0</v>
      </c>
      <c r="P50" s="130">
        <f t="shared" si="11"/>
        <v>0</v>
      </c>
      <c r="Q50" s="130">
        <f t="shared" si="11"/>
        <v>0</v>
      </c>
      <c r="R50" s="130">
        <f t="shared" si="11"/>
        <v>0</v>
      </c>
      <c r="S50" s="130">
        <f t="shared" si="11"/>
        <v>0</v>
      </c>
      <c r="T50" s="130">
        <f t="shared" si="11"/>
        <v>0</v>
      </c>
      <c r="U50" s="130">
        <f t="shared" si="11"/>
        <v>0</v>
      </c>
      <c r="V50" s="130">
        <f t="shared" si="11"/>
        <v>0</v>
      </c>
      <c r="W50" s="130">
        <f t="shared" si="11"/>
        <v>0</v>
      </c>
      <c r="X50" s="130">
        <f t="shared" si="11"/>
        <v>0</v>
      </c>
      <c r="Y50" s="130">
        <f t="shared" si="11"/>
        <v>0</v>
      </c>
      <c r="Z50" s="130">
        <f t="shared" si="11"/>
        <v>0</v>
      </c>
      <c r="AA50" s="130">
        <f t="shared" si="11"/>
        <v>0</v>
      </c>
      <c r="AB50" s="130">
        <f t="shared" si="11"/>
        <v>0</v>
      </c>
    </row>
    <row r="51" spans="1:29" x14ac:dyDescent="0.25">
      <c r="A51" s="103" t="s">
        <v>185</v>
      </c>
      <c r="B51" s="103" t="s">
        <v>51</v>
      </c>
      <c r="C51" s="103"/>
      <c r="D51" s="131"/>
      <c r="E51" s="131"/>
      <c r="F51" s="131"/>
      <c r="G51" s="131"/>
      <c r="H51" s="130"/>
      <c r="I51" s="130">
        <f>H$47*D$42*100000</f>
        <v>0</v>
      </c>
      <c r="J51" s="130">
        <f t="shared" ref="J51:AB51" si="12">I$47*E$42*100000</f>
        <v>0</v>
      </c>
      <c r="K51" s="130">
        <f t="shared" si="12"/>
        <v>0</v>
      </c>
      <c r="L51" s="130">
        <f t="shared" si="12"/>
        <v>0</v>
      </c>
      <c r="M51" s="130">
        <f t="shared" si="12"/>
        <v>0</v>
      </c>
      <c r="N51" s="130">
        <f t="shared" si="12"/>
        <v>0</v>
      </c>
      <c r="O51" s="130">
        <f t="shared" si="12"/>
        <v>0</v>
      </c>
      <c r="P51" s="130">
        <f t="shared" si="12"/>
        <v>0</v>
      </c>
      <c r="Q51" s="130">
        <f t="shared" si="12"/>
        <v>0</v>
      </c>
      <c r="R51" s="130">
        <f t="shared" si="12"/>
        <v>0</v>
      </c>
      <c r="S51" s="130">
        <f t="shared" si="12"/>
        <v>0</v>
      </c>
      <c r="T51" s="130">
        <f t="shared" si="12"/>
        <v>0</v>
      </c>
      <c r="U51" s="130">
        <f t="shared" si="12"/>
        <v>0</v>
      </c>
      <c r="V51" s="130">
        <f t="shared" si="12"/>
        <v>0</v>
      </c>
      <c r="W51" s="130">
        <f t="shared" si="12"/>
        <v>0</v>
      </c>
      <c r="X51" s="130">
        <f t="shared" si="12"/>
        <v>0</v>
      </c>
      <c r="Y51" s="130">
        <f t="shared" si="12"/>
        <v>0</v>
      </c>
      <c r="Z51" s="130">
        <f t="shared" si="12"/>
        <v>0</v>
      </c>
      <c r="AA51" s="130">
        <f t="shared" si="12"/>
        <v>0</v>
      </c>
      <c r="AB51" s="130">
        <f t="shared" si="12"/>
        <v>0</v>
      </c>
    </row>
    <row r="52" spans="1:29" x14ac:dyDescent="0.25">
      <c r="A52" s="103" t="s">
        <v>186</v>
      </c>
      <c r="B52" s="103" t="s">
        <v>51</v>
      </c>
      <c r="C52" s="103"/>
      <c r="D52" s="131"/>
      <c r="E52" s="131"/>
      <c r="F52" s="131"/>
      <c r="G52" s="131"/>
      <c r="H52" s="130"/>
      <c r="I52" s="130"/>
      <c r="J52" s="130">
        <f>H$47*D$42*100000</f>
        <v>0</v>
      </c>
      <c r="K52" s="130">
        <f t="shared" ref="K52:AB52" si="13">I$47*E$42*100000</f>
        <v>0</v>
      </c>
      <c r="L52" s="130">
        <f t="shared" si="13"/>
        <v>0</v>
      </c>
      <c r="M52" s="130">
        <f t="shared" si="13"/>
        <v>0</v>
      </c>
      <c r="N52" s="130">
        <f t="shared" si="13"/>
        <v>0</v>
      </c>
      <c r="O52" s="130">
        <f t="shared" si="13"/>
        <v>0</v>
      </c>
      <c r="P52" s="130">
        <f t="shared" si="13"/>
        <v>0</v>
      </c>
      <c r="Q52" s="130">
        <f t="shared" si="13"/>
        <v>0</v>
      </c>
      <c r="R52" s="130">
        <f t="shared" si="13"/>
        <v>0</v>
      </c>
      <c r="S52" s="130">
        <f t="shared" si="13"/>
        <v>0</v>
      </c>
      <c r="T52" s="130">
        <f t="shared" si="13"/>
        <v>0</v>
      </c>
      <c r="U52" s="130">
        <f t="shared" si="13"/>
        <v>0</v>
      </c>
      <c r="V52" s="130">
        <f t="shared" si="13"/>
        <v>0</v>
      </c>
      <c r="W52" s="130">
        <f t="shared" si="13"/>
        <v>0</v>
      </c>
      <c r="X52" s="130">
        <f t="shared" si="13"/>
        <v>0</v>
      </c>
      <c r="Y52" s="130">
        <f t="shared" si="13"/>
        <v>0</v>
      </c>
      <c r="Z52" s="130">
        <f t="shared" si="13"/>
        <v>0</v>
      </c>
      <c r="AA52" s="130">
        <f t="shared" si="13"/>
        <v>0</v>
      </c>
      <c r="AB52" s="130">
        <f t="shared" si="13"/>
        <v>0</v>
      </c>
    </row>
    <row r="53" spans="1:29" x14ac:dyDescent="0.25">
      <c r="A53" s="103" t="s">
        <v>187</v>
      </c>
      <c r="B53" s="103" t="s">
        <v>51</v>
      </c>
      <c r="C53" s="103"/>
      <c r="D53" s="131"/>
      <c r="E53" s="131"/>
      <c r="F53" s="131"/>
      <c r="G53" s="131"/>
      <c r="H53" s="130"/>
      <c r="I53" s="130"/>
      <c r="J53" s="130"/>
      <c r="K53" s="130">
        <f>H$47*D$42*100000</f>
        <v>0</v>
      </c>
      <c r="L53" s="130">
        <f>I$47*E$42*100000</f>
        <v>0</v>
      </c>
      <c r="M53" s="130">
        <f t="shared" ref="M53:AB53" si="14">J$47*F$42*100000</f>
        <v>0</v>
      </c>
      <c r="N53" s="130">
        <f t="shared" si="14"/>
        <v>0</v>
      </c>
      <c r="O53" s="130">
        <f t="shared" si="14"/>
        <v>0</v>
      </c>
      <c r="P53" s="130">
        <f t="shared" si="14"/>
        <v>0</v>
      </c>
      <c r="Q53" s="130">
        <f t="shared" si="14"/>
        <v>0</v>
      </c>
      <c r="R53" s="130">
        <f t="shared" si="14"/>
        <v>0</v>
      </c>
      <c r="S53" s="130">
        <f t="shared" si="14"/>
        <v>0</v>
      </c>
      <c r="T53" s="130">
        <f t="shared" si="14"/>
        <v>0</v>
      </c>
      <c r="U53" s="130">
        <f t="shared" si="14"/>
        <v>0</v>
      </c>
      <c r="V53" s="130">
        <f t="shared" si="14"/>
        <v>0</v>
      </c>
      <c r="W53" s="130">
        <f t="shared" si="14"/>
        <v>0</v>
      </c>
      <c r="X53" s="130">
        <f t="shared" si="14"/>
        <v>0</v>
      </c>
      <c r="Y53" s="130">
        <f t="shared" si="14"/>
        <v>0</v>
      </c>
      <c r="Z53" s="130">
        <f t="shared" si="14"/>
        <v>0</v>
      </c>
      <c r="AA53" s="130">
        <f t="shared" si="14"/>
        <v>0</v>
      </c>
      <c r="AB53" s="130">
        <f t="shared" si="14"/>
        <v>0</v>
      </c>
    </row>
    <row r="54" spans="1:29" x14ac:dyDescent="0.25">
      <c r="A54" s="103" t="s">
        <v>188</v>
      </c>
      <c r="B54" s="103" t="s">
        <v>51</v>
      </c>
      <c r="C54" s="103"/>
      <c r="D54" s="131"/>
      <c r="E54" s="131"/>
      <c r="F54" s="131"/>
      <c r="G54" s="131"/>
      <c r="H54" s="130"/>
      <c r="I54" s="130"/>
      <c r="J54" s="130"/>
      <c r="K54" s="130"/>
      <c r="L54" s="130">
        <f>H$47*D$42*100000</f>
        <v>0</v>
      </c>
      <c r="M54" s="130">
        <f t="shared" ref="M54:AB54" si="15">I$47*E$42*100000</f>
        <v>0</v>
      </c>
      <c r="N54" s="130">
        <f t="shared" si="15"/>
        <v>0</v>
      </c>
      <c r="O54" s="130">
        <f t="shared" si="15"/>
        <v>0</v>
      </c>
      <c r="P54" s="130">
        <f t="shared" si="15"/>
        <v>0</v>
      </c>
      <c r="Q54" s="130">
        <f t="shared" si="15"/>
        <v>0</v>
      </c>
      <c r="R54" s="130">
        <f t="shared" si="15"/>
        <v>0</v>
      </c>
      <c r="S54" s="130">
        <f t="shared" si="15"/>
        <v>0</v>
      </c>
      <c r="T54" s="130">
        <f t="shared" si="15"/>
        <v>0</v>
      </c>
      <c r="U54" s="130">
        <f t="shared" si="15"/>
        <v>0</v>
      </c>
      <c r="V54" s="130">
        <f t="shared" si="15"/>
        <v>0</v>
      </c>
      <c r="W54" s="130">
        <f t="shared" si="15"/>
        <v>0</v>
      </c>
      <c r="X54" s="130">
        <f t="shared" si="15"/>
        <v>0</v>
      </c>
      <c r="Y54" s="130">
        <f t="shared" si="15"/>
        <v>0</v>
      </c>
      <c r="Z54" s="130">
        <f t="shared" si="15"/>
        <v>0</v>
      </c>
      <c r="AA54" s="130">
        <f t="shared" si="15"/>
        <v>0</v>
      </c>
      <c r="AB54" s="130">
        <f t="shared" si="15"/>
        <v>0</v>
      </c>
    </row>
    <row r="55" spans="1:29" x14ac:dyDescent="0.25">
      <c r="A55" s="104" t="s">
        <v>31</v>
      </c>
      <c r="B55" s="103" t="s">
        <v>51</v>
      </c>
      <c r="C55" s="103"/>
      <c r="D55" s="131"/>
      <c r="E55" s="131"/>
      <c r="F55" s="131"/>
      <c r="G55" s="131"/>
      <c r="H55" s="130">
        <f>SUM(H50:H54)</f>
        <v>0</v>
      </c>
      <c r="I55" s="130">
        <f t="shared" ref="I55:AB55" si="16">SUM(I50:I54)</f>
        <v>0</v>
      </c>
      <c r="J55" s="130">
        <f t="shared" si="16"/>
        <v>0</v>
      </c>
      <c r="K55" s="130">
        <f t="shared" si="16"/>
        <v>0</v>
      </c>
      <c r="L55" s="130">
        <f t="shared" si="16"/>
        <v>0</v>
      </c>
      <c r="M55" s="130">
        <f t="shared" si="16"/>
        <v>0</v>
      </c>
      <c r="N55" s="130">
        <f t="shared" si="16"/>
        <v>0</v>
      </c>
      <c r="O55" s="130">
        <f t="shared" si="16"/>
        <v>0</v>
      </c>
      <c r="P55" s="130">
        <f t="shared" si="16"/>
        <v>0</v>
      </c>
      <c r="Q55" s="130">
        <f t="shared" si="16"/>
        <v>0</v>
      </c>
      <c r="R55" s="130">
        <f t="shared" si="16"/>
        <v>0</v>
      </c>
      <c r="S55" s="130">
        <f t="shared" si="16"/>
        <v>0</v>
      </c>
      <c r="T55" s="130">
        <f t="shared" si="16"/>
        <v>0</v>
      </c>
      <c r="U55" s="130">
        <f t="shared" si="16"/>
        <v>0</v>
      </c>
      <c r="V55" s="130">
        <f t="shared" si="16"/>
        <v>0</v>
      </c>
      <c r="W55" s="130">
        <f t="shared" si="16"/>
        <v>0</v>
      </c>
      <c r="X55" s="130">
        <f t="shared" si="16"/>
        <v>0</v>
      </c>
      <c r="Y55" s="130">
        <f t="shared" si="16"/>
        <v>0</v>
      </c>
      <c r="Z55" s="130">
        <f t="shared" si="16"/>
        <v>0</v>
      </c>
      <c r="AA55" s="130">
        <f t="shared" si="16"/>
        <v>0</v>
      </c>
      <c r="AB55" s="130">
        <f t="shared" si="16"/>
        <v>0</v>
      </c>
    </row>
    <row r="56" spans="1:29" x14ac:dyDescent="0.25">
      <c r="A56" s="103"/>
      <c r="B56" s="103"/>
      <c r="C56" s="103"/>
      <c r="D56" s="131"/>
      <c r="E56" s="131"/>
      <c r="F56" s="131"/>
      <c r="G56" s="131"/>
      <c r="H56" s="131"/>
      <c r="I56" s="131"/>
      <c r="J56" s="131"/>
      <c r="K56" s="131"/>
      <c r="L56" s="131"/>
      <c r="M56" s="131"/>
      <c r="N56" s="131"/>
      <c r="O56" s="131"/>
      <c r="P56" s="131"/>
      <c r="Q56" s="131"/>
      <c r="R56" s="131"/>
      <c r="S56" s="131"/>
      <c r="T56" s="131"/>
      <c r="U56" s="131"/>
      <c r="V56" s="131"/>
      <c r="W56" s="131"/>
      <c r="X56" s="131"/>
      <c r="Y56" s="131"/>
      <c r="Z56" s="131"/>
      <c r="AA56" s="131"/>
      <c r="AB56" s="131"/>
    </row>
    <row r="57" spans="1:29" ht="30" x14ac:dyDescent="0.25">
      <c r="A57" s="120" t="s">
        <v>159</v>
      </c>
      <c r="B57" s="140" t="s">
        <v>55</v>
      </c>
      <c r="C57" s="103"/>
      <c r="D57" s="131"/>
      <c r="E57" s="131"/>
      <c r="F57" s="131"/>
      <c r="G57" s="131"/>
      <c r="H57" s="131">
        <f>H55*(365/$D$33)*1.03/1000/1000</f>
        <v>0</v>
      </c>
      <c r="I57" s="131">
        <f>((H55*($D$33-365)/$D$33)+(I55*(365/$D$33)))*1.03/1000/1000</f>
        <v>0</v>
      </c>
      <c r="J57" s="131">
        <f>((I55*($D$33-365)/$D$33)+(J55*(365/$D$33)))*1.03/1000/1000</f>
        <v>0</v>
      </c>
      <c r="K57" s="131">
        <f t="shared" ref="K57:AB57" si="17">((J55*($D$33-365)/$D$33)+(K55*(365/$D$33)))*1.03/1000/1000</f>
        <v>0</v>
      </c>
      <c r="L57" s="131">
        <f t="shared" si="17"/>
        <v>0</v>
      </c>
      <c r="M57" s="131">
        <f t="shared" si="17"/>
        <v>0</v>
      </c>
      <c r="N57" s="131">
        <f t="shared" si="17"/>
        <v>0</v>
      </c>
      <c r="O57" s="131">
        <f t="shared" si="17"/>
        <v>0</v>
      </c>
      <c r="P57" s="131">
        <f t="shared" si="17"/>
        <v>0</v>
      </c>
      <c r="Q57" s="131">
        <f t="shared" si="17"/>
        <v>0</v>
      </c>
      <c r="R57" s="131">
        <f t="shared" si="17"/>
        <v>0</v>
      </c>
      <c r="S57" s="131">
        <f t="shared" si="17"/>
        <v>0</v>
      </c>
      <c r="T57" s="131">
        <f t="shared" si="17"/>
        <v>0</v>
      </c>
      <c r="U57" s="131">
        <f t="shared" si="17"/>
        <v>0</v>
      </c>
      <c r="V57" s="131">
        <f t="shared" si="17"/>
        <v>0</v>
      </c>
      <c r="W57" s="131">
        <f t="shared" si="17"/>
        <v>0</v>
      </c>
      <c r="X57" s="131">
        <f t="shared" si="17"/>
        <v>0</v>
      </c>
      <c r="Y57" s="131">
        <f t="shared" si="17"/>
        <v>0</v>
      </c>
      <c r="Z57" s="131">
        <f t="shared" si="17"/>
        <v>0</v>
      </c>
      <c r="AA57" s="131">
        <f t="shared" si="17"/>
        <v>0</v>
      </c>
      <c r="AB57" s="131">
        <f t="shared" si="17"/>
        <v>0</v>
      </c>
      <c r="AC57" s="131"/>
    </row>
    <row r="58" spans="1:29" x14ac:dyDescent="0.25">
      <c r="A58" s="103"/>
      <c r="B58" s="103"/>
      <c r="C58" s="103"/>
      <c r="D58" s="131"/>
      <c r="E58" s="131"/>
      <c r="F58" s="131"/>
      <c r="G58" s="131"/>
      <c r="H58" s="131"/>
      <c r="I58" s="131"/>
      <c r="J58" s="131"/>
      <c r="K58" s="131"/>
      <c r="L58" s="131"/>
      <c r="M58" s="131"/>
      <c r="N58" s="131"/>
      <c r="O58" s="131"/>
      <c r="P58" s="131"/>
      <c r="Q58" s="131"/>
      <c r="R58" s="131"/>
      <c r="S58" s="131"/>
      <c r="T58" s="131"/>
      <c r="U58" s="131"/>
      <c r="V58" s="131"/>
      <c r="W58" s="131"/>
      <c r="X58" s="131"/>
      <c r="Y58" s="131"/>
      <c r="Z58" s="131"/>
      <c r="AA58" s="131"/>
      <c r="AB58" s="131"/>
    </row>
    <row r="59" spans="1:29" x14ac:dyDescent="0.25">
      <c r="A59" s="120" t="s">
        <v>189</v>
      </c>
      <c r="B59" s="103" t="s">
        <v>56</v>
      </c>
      <c r="C59" s="103"/>
      <c r="D59" s="131"/>
      <c r="E59" s="131"/>
      <c r="F59" s="131"/>
      <c r="G59" s="131">
        <f>D43</f>
        <v>0</v>
      </c>
      <c r="H59" s="131">
        <f>SUM(D43:E43)</f>
        <v>0</v>
      </c>
      <c r="I59" s="131">
        <f>SUM(D43:F43)</f>
        <v>0</v>
      </c>
      <c r="J59" s="131">
        <f>SUM(D43:G43)</f>
        <v>0</v>
      </c>
      <c r="K59" s="131">
        <f>SUM(D43:H43)</f>
        <v>0</v>
      </c>
      <c r="L59" s="131">
        <f t="shared" ref="L59:X59" si="18">SUM(E43:I43)</f>
        <v>0</v>
      </c>
      <c r="M59" s="131">
        <f t="shared" si="18"/>
        <v>0</v>
      </c>
      <c r="N59" s="131">
        <f t="shared" si="18"/>
        <v>0</v>
      </c>
      <c r="O59" s="131">
        <f t="shared" si="18"/>
        <v>0</v>
      </c>
      <c r="P59" s="131">
        <f t="shared" si="18"/>
        <v>0</v>
      </c>
      <c r="Q59" s="131">
        <f t="shared" si="18"/>
        <v>0</v>
      </c>
      <c r="R59" s="131">
        <f t="shared" si="18"/>
        <v>0</v>
      </c>
      <c r="S59" s="131">
        <f t="shared" si="18"/>
        <v>0</v>
      </c>
      <c r="T59" s="131">
        <f t="shared" si="18"/>
        <v>0</v>
      </c>
      <c r="U59" s="131">
        <f t="shared" si="18"/>
        <v>0</v>
      </c>
      <c r="V59" s="131">
        <f t="shared" si="18"/>
        <v>0</v>
      </c>
      <c r="W59" s="131">
        <f t="shared" si="18"/>
        <v>0</v>
      </c>
      <c r="X59" s="131">
        <f t="shared" si="18"/>
        <v>0</v>
      </c>
      <c r="Y59" s="131">
        <f>SUM(R43:V43)</f>
        <v>0</v>
      </c>
      <c r="Z59" s="131">
        <f>SUM(S43:W43)</f>
        <v>0</v>
      </c>
      <c r="AA59" s="131">
        <f>SUM(T43:X43)</f>
        <v>0</v>
      </c>
      <c r="AB59" s="131">
        <f>SUM(U43:Y43)</f>
        <v>0</v>
      </c>
    </row>
    <row r="60" spans="1:29" ht="30" x14ac:dyDescent="0.25">
      <c r="A60" s="120" t="s">
        <v>190</v>
      </c>
      <c r="B60" s="103" t="s">
        <v>51</v>
      </c>
      <c r="C60" s="103"/>
      <c r="D60" s="131"/>
      <c r="E60" s="131"/>
      <c r="F60" s="131"/>
      <c r="G60" s="131">
        <f>'NDSP Bull, SS &amp; Non-NDSP AI'!$D$14</f>
        <v>2507.1849999999999</v>
      </c>
      <c r="H60" s="131">
        <f>'NDSP Bull, SS &amp; Non-NDSP AI'!$D$14</f>
        <v>2507.1849999999999</v>
      </c>
      <c r="I60" s="131">
        <f>'NDSP Bull, SS &amp; Non-NDSP AI'!$D$14</f>
        <v>2507.1849999999999</v>
      </c>
      <c r="J60" s="131">
        <f>'NDSP Bull, SS &amp; Non-NDSP AI'!$D$14</f>
        <v>2507.1849999999999</v>
      </c>
      <c r="K60" s="131">
        <f>'NDSP Bull, SS &amp; Non-NDSP AI'!$D$14</f>
        <v>2507.1849999999999</v>
      </c>
      <c r="L60" s="131">
        <f>'NDSP Bull, SS &amp; Non-NDSP AI'!$D$14</f>
        <v>2507.1849999999999</v>
      </c>
      <c r="M60" s="131">
        <f>'NDSP Bull, SS &amp; Non-NDSP AI'!$D$14</f>
        <v>2507.1849999999999</v>
      </c>
      <c r="N60" s="131">
        <f>'NDSP Bull, SS &amp; Non-NDSP AI'!$D$14</f>
        <v>2507.1849999999999</v>
      </c>
      <c r="O60" s="131">
        <f>'NDSP Bull, SS &amp; Non-NDSP AI'!$D$14</f>
        <v>2507.1849999999999</v>
      </c>
      <c r="P60" s="131">
        <f>'NDSP Bull, SS &amp; Non-NDSP AI'!$D$14</f>
        <v>2507.1849999999999</v>
      </c>
      <c r="Q60" s="131">
        <f>'NDSP Bull, SS &amp; Non-NDSP AI'!$D$14</f>
        <v>2507.1849999999999</v>
      </c>
      <c r="R60" s="131">
        <f>'NDSP Bull, SS &amp; Non-NDSP AI'!$D$14</f>
        <v>2507.1849999999999</v>
      </c>
      <c r="S60" s="131">
        <f>'NDSP Bull, SS &amp; Non-NDSP AI'!$D$14</f>
        <v>2507.1849999999999</v>
      </c>
      <c r="T60" s="131">
        <f>'NDSP Bull, SS &amp; Non-NDSP AI'!$D$14</f>
        <v>2507.1849999999999</v>
      </c>
      <c r="U60" s="131">
        <f>'NDSP Bull, SS &amp; Non-NDSP AI'!$D$14</f>
        <v>2507.1849999999999</v>
      </c>
      <c r="V60" s="131">
        <f>'NDSP Bull, SS &amp; Non-NDSP AI'!$D$14</f>
        <v>2507.1849999999999</v>
      </c>
      <c r="W60" s="131">
        <f>'NDSP Bull, SS &amp; Non-NDSP AI'!$D$14</f>
        <v>2507.1849999999999</v>
      </c>
      <c r="X60" s="131">
        <f>'NDSP Bull, SS &amp; Non-NDSP AI'!$D$14</f>
        <v>2507.1849999999999</v>
      </c>
      <c r="Y60" s="131">
        <f>'NDSP Bull, SS &amp; Non-NDSP AI'!$D$14</f>
        <v>2507.1849999999999</v>
      </c>
      <c r="Z60" s="131">
        <f>'NDSP Bull, SS &amp; Non-NDSP AI'!$D$14</f>
        <v>2507.1849999999999</v>
      </c>
      <c r="AA60" s="131">
        <f>'NDSP Bull, SS &amp; Non-NDSP AI'!$D$14</f>
        <v>2507.1849999999999</v>
      </c>
      <c r="AB60" s="131">
        <f>'NDSP Bull, SS &amp; Non-NDSP AI'!$D$14</f>
        <v>2507.1849999999999</v>
      </c>
    </row>
    <row r="61" spans="1:29" ht="45" x14ac:dyDescent="0.25">
      <c r="A61" s="120" t="s">
        <v>191</v>
      </c>
      <c r="B61" s="103" t="s">
        <v>51</v>
      </c>
      <c r="C61" s="103"/>
      <c r="D61" s="131"/>
      <c r="E61" s="131"/>
      <c r="F61" s="131"/>
      <c r="G61" s="131">
        <f>G60-$C$12</f>
        <v>1727.5449999999998</v>
      </c>
      <c r="H61" s="131">
        <f t="shared" ref="H61:AB61" si="19">H60-$C$12</f>
        <v>1727.5449999999998</v>
      </c>
      <c r="I61" s="131">
        <f t="shared" si="19"/>
        <v>1727.5449999999998</v>
      </c>
      <c r="J61" s="131">
        <f t="shared" si="19"/>
        <v>1727.5449999999998</v>
      </c>
      <c r="K61" s="131">
        <f t="shared" si="19"/>
        <v>1727.5449999999998</v>
      </c>
      <c r="L61" s="131">
        <f t="shared" si="19"/>
        <v>1727.5449999999998</v>
      </c>
      <c r="M61" s="131">
        <f t="shared" si="19"/>
        <v>1727.5449999999998</v>
      </c>
      <c r="N61" s="131">
        <f t="shared" si="19"/>
        <v>1727.5449999999998</v>
      </c>
      <c r="O61" s="131">
        <f t="shared" si="19"/>
        <v>1727.5449999999998</v>
      </c>
      <c r="P61" s="131">
        <f t="shared" si="19"/>
        <v>1727.5449999999998</v>
      </c>
      <c r="Q61" s="131">
        <f t="shared" si="19"/>
        <v>1727.5449999999998</v>
      </c>
      <c r="R61" s="131">
        <f t="shared" si="19"/>
        <v>1727.5449999999998</v>
      </c>
      <c r="S61" s="131">
        <f t="shared" si="19"/>
        <v>1727.5449999999998</v>
      </c>
      <c r="T61" s="131">
        <f t="shared" si="19"/>
        <v>1727.5449999999998</v>
      </c>
      <c r="U61" s="131">
        <f t="shared" si="19"/>
        <v>1727.5449999999998</v>
      </c>
      <c r="V61" s="131">
        <f t="shared" si="19"/>
        <v>1727.5449999999998</v>
      </c>
      <c r="W61" s="131">
        <f t="shared" si="19"/>
        <v>1727.5449999999998</v>
      </c>
      <c r="X61" s="131">
        <f t="shared" si="19"/>
        <v>1727.5449999999998</v>
      </c>
      <c r="Y61" s="131">
        <f t="shared" si="19"/>
        <v>1727.5449999999998</v>
      </c>
      <c r="Z61" s="131">
        <f t="shared" si="19"/>
        <v>1727.5449999999998</v>
      </c>
      <c r="AA61" s="131">
        <f t="shared" si="19"/>
        <v>1727.5449999999998</v>
      </c>
      <c r="AB61" s="131">
        <f t="shared" si="19"/>
        <v>1727.5449999999998</v>
      </c>
    </row>
    <row r="62" spans="1:29" x14ac:dyDescent="0.25">
      <c r="A62" s="103"/>
      <c r="B62" s="103"/>
      <c r="C62" s="103"/>
      <c r="D62" s="131"/>
      <c r="E62" s="131"/>
      <c r="F62" s="131"/>
      <c r="G62" s="131"/>
      <c r="H62" s="131"/>
      <c r="I62" s="131"/>
      <c r="J62" s="131"/>
      <c r="K62" s="131"/>
      <c r="L62" s="131"/>
      <c r="M62" s="131"/>
      <c r="N62" s="131"/>
      <c r="O62" s="131"/>
      <c r="P62" s="131"/>
      <c r="Q62" s="131"/>
      <c r="R62" s="131"/>
      <c r="S62" s="131"/>
      <c r="T62" s="131"/>
      <c r="U62" s="131"/>
      <c r="V62" s="131"/>
      <c r="W62" s="131"/>
      <c r="X62" s="131"/>
      <c r="Y62" s="131"/>
      <c r="Z62" s="131"/>
      <c r="AA62" s="131"/>
      <c r="AB62" s="131"/>
    </row>
    <row r="63" spans="1:29" x14ac:dyDescent="0.25">
      <c r="A63" s="103" t="s">
        <v>183</v>
      </c>
      <c r="B63" s="103"/>
      <c r="C63" s="103"/>
      <c r="D63" s="131"/>
      <c r="E63" s="131"/>
      <c r="F63" s="131"/>
      <c r="G63" s="131"/>
      <c r="H63" s="131"/>
      <c r="I63" s="131"/>
      <c r="J63" s="131"/>
      <c r="K63" s="131"/>
      <c r="L63" s="131"/>
      <c r="M63" s="131"/>
      <c r="N63" s="131"/>
      <c r="O63" s="131"/>
      <c r="P63" s="131"/>
      <c r="Q63" s="131"/>
      <c r="R63" s="131"/>
      <c r="S63" s="131"/>
      <c r="T63" s="131"/>
      <c r="U63" s="131"/>
      <c r="V63" s="131"/>
      <c r="W63" s="131"/>
      <c r="X63" s="131"/>
      <c r="Y63" s="131"/>
      <c r="Z63" s="131"/>
      <c r="AA63" s="131"/>
      <c r="AB63" s="131"/>
    </row>
    <row r="64" spans="1:29" x14ac:dyDescent="0.25">
      <c r="A64" s="103" t="s">
        <v>184</v>
      </c>
      <c r="B64" s="103" t="s">
        <v>51</v>
      </c>
      <c r="C64" s="103"/>
      <c r="D64" s="131"/>
      <c r="E64" s="131"/>
      <c r="F64" s="131"/>
      <c r="G64" s="130">
        <f t="shared" ref="G64:AB64" si="20">D43*G61*100000</f>
        <v>0</v>
      </c>
      <c r="H64" s="130">
        <f t="shared" si="20"/>
        <v>0</v>
      </c>
      <c r="I64" s="130">
        <f t="shared" si="20"/>
        <v>0</v>
      </c>
      <c r="J64" s="130">
        <f t="shared" si="20"/>
        <v>0</v>
      </c>
      <c r="K64" s="130">
        <f t="shared" si="20"/>
        <v>0</v>
      </c>
      <c r="L64" s="130">
        <f t="shared" si="20"/>
        <v>0</v>
      </c>
      <c r="M64" s="130">
        <f t="shared" si="20"/>
        <v>0</v>
      </c>
      <c r="N64" s="130">
        <f t="shared" si="20"/>
        <v>0</v>
      </c>
      <c r="O64" s="130">
        <f t="shared" si="20"/>
        <v>0</v>
      </c>
      <c r="P64" s="130">
        <f t="shared" si="20"/>
        <v>0</v>
      </c>
      <c r="Q64" s="130">
        <f t="shared" si="20"/>
        <v>0</v>
      </c>
      <c r="R64" s="130">
        <f t="shared" si="20"/>
        <v>0</v>
      </c>
      <c r="S64" s="130">
        <f t="shared" si="20"/>
        <v>0</v>
      </c>
      <c r="T64" s="130">
        <f t="shared" si="20"/>
        <v>0</v>
      </c>
      <c r="U64" s="130">
        <f t="shared" si="20"/>
        <v>0</v>
      </c>
      <c r="V64" s="130">
        <f t="shared" si="20"/>
        <v>0</v>
      </c>
      <c r="W64" s="130">
        <f t="shared" si="20"/>
        <v>0</v>
      </c>
      <c r="X64" s="130">
        <f t="shared" si="20"/>
        <v>0</v>
      </c>
      <c r="Y64" s="130">
        <f t="shared" si="20"/>
        <v>0</v>
      </c>
      <c r="Z64" s="130">
        <f t="shared" si="20"/>
        <v>0</v>
      </c>
      <c r="AA64" s="130">
        <f t="shared" si="20"/>
        <v>0</v>
      </c>
      <c r="AB64" s="130">
        <f t="shared" si="20"/>
        <v>0</v>
      </c>
    </row>
    <row r="65" spans="1:29" x14ac:dyDescent="0.25">
      <c r="A65" s="103" t="s">
        <v>185</v>
      </c>
      <c r="B65" s="103" t="s">
        <v>51</v>
      </c>
      <c r="C65" s="103"/>
      <c r="D65" s="131"/>
      <c r="E65" s="131"/>
      <c r="F65" s="131"/>
      <c r="G65" s="130"/>
      <c r="H65" s="130">
        <f t="shared" ref="H65:AB65" si="21">D43*G61*100000</f>
        <v>0</v>
      </c>
      <c r="I65" s="130">
        <f t="shared" si="21"/>
        <v>0</v>
      </c>
      <c r="J65" s="130">
        <f t="shared" si="21"/>
        <v>0</v>
      </c>
      <c r="K65" s="130">
        <f t="shared" si="21"/>
        <v>0</v>
      </c>
      <c r="L65" s="130">
        <f t="shared" si="21"/>
        <v>0</v>
      </c>
      <c r="M65" s="130">
        <f t="shared" si="21"/>
        <v>0</v>
      </c>
      <c r="N65" s="130">
        <f t="shared" si="21"/>
        <v>0</v>
      </c>
      <c r="O65" s="130">
        <f t="shared" si="21"/>
        <v>0</v>
      </c>
      <c r="P65" s="130">
        <f t="shared" si="21"/>
        <v>0</v>
      </c>
      <c r="Q65" s="130">
        <f t="shared" si="21"/>
        <v>0</v>
      </c>
      <c r="R65" s="130">
        <f t="shared" si="21"/>
        <v>0</v>
      </c>
      <c r="S65" s="130">
        <f t="shared" si="21"/>
        <v>0</v>
      </c>
      <c r="T65" s="130">
        <f t="shared" si="21"/>
        <v>0</v>
      </c>
      <c r="U65" s="130">
        <f t="shared" si="21"/>
        <v>0</v>
      </c>
      <c r="V65" s="130">
        <f t="shared" si="21"/>
        <v>0</v>
      </c>
      <c r="W65" s="130">
        <f t="shared" si="21"/>
        <v>0</v>
      </c>
      <c r="X65" s="130">
        <f t="shared" si="21"/>
        <v>0</v>
      </c>
      <c r="Y65" s="130">
        <f t="shared" si="21"/>
        <v>0</v>
      </c>
      <c r="Z65" s="130">
        <f t="shared" si="21"/>
        <v>0</v>
      </c>
      <c r="AA65" s="130">
        <f t="shared" si="21"/>
        <v>0</v>
      </c>
      <c r="AB65" s="130">
        <f t="shared" si="21"/>
        <v>0</v>
      </c>
    </row>
    <row r="66" spans="1:29" x14ac:dyDescent="0.25">
      <c r="A66" s="103" t="s">
        <v>186</v>
      </c>
      <c r="B66" s="103" t="s">
        <v>51</v>
      </c>
      <c r="C66" s="103"/>
      <c r="D66" s="131"/>
      <c r="E66" s="131"/>
      <c r="F66" s="131"/>
      <c r="G66" s="130"/>
      <c r="H66" s="130"/>
      <c r="I66" s="130">
        <f t="shared" ref="I66:AB66" si="22">D43*G61*100000</f>
        <v>0</v>
      </c>
      <c r="J66" s="130">
        <f t="shared" si="22"/>
        <v>0</v>
      </c>
      <c r="K66" s="130">
        <f t="shared" si="22"/>
        <v>0</v>
      </c>
      <c r="L66" s="130">
        <f t="shared" si="22"/>
        <v>0</v>
      </c>
      <c r="M66" s="130">
        <f t="shared" si="22"/>
        <v>0</v>
      </c>
      <c r="N66" s="130">
        <f t="shared" si="22"/>
        <v>0</v>
      </c>
      <c r="O66" s="130">
        <f t="shared" si="22"/>
        <v>0</v>
      </c>
      <c r="P66" s="130">
        <f t="shared" si="22"/>
        <v>0</v>
      </c>
      <c r="Q66" s="130">
        <f t="shared" si="22"/>
        <v>0</v>
      </c>
      <c r="R66" s="130">
        <f t="shared" si="22"/>
        <v>0</v>
      </c>
      <c r="S66" s="130">
        <f t="shared" si="22"/>
        <v>0</v>
      </c>
      <c r="T66" s="130">
        <f t="shared" si="22"/>
        <v>0</v>
      </c>
      <c r="U66" s="130">
        <f t="shared" si="22"/>
        <v>0</v>
      </c>
      <c r="V66" s="130">
        <f t="shared" si="22"/>
        <v>0</v>
      </c>
      <c r="W66" s="130">
        <f t="shared" si="22"/>
        <v>0</v>
      </c>
      <c r="X66" s="130">
        <f t="shared" si="22"/>
        <v>0</v>
      </c>
      <c r="Y66" s="130">
        <f t="shared" si="22"/>
        <v>0</v>
      </c>
      <c r="Z66" s="130">
        <f t="shared" si="22"/>
        <v>0</v>
      </c>
      <c r="AA66" s="130">
        <f t="shared" si="22"/>
        <v>0</v>
      </c>
      <c r="AB66" s="130">
        <f t="shared" si="22"/>
        <v>0</v>
      </c>
    </row>
    <row r="67" spans="1:29" x14ac:dyDescent="0.25">
      <c r="A67" s="103" t="s">
        <v>187</v>
      </c>
      <c r="B67" s="103" t="s">
        <v>51</v>
      </c>
      <c r="C67" s="103"/>
      <c r="D67" s="131"/>
      <c r="E67" s="131"/>
      <c r="F67" s="131"/>
      <c r="G67" s="130"/>
      <c r="H67" s="130"/>
      <c r="I67" s="130"/>
      <c r="J67" s="130">
        <f t="shared" ref="J67:AB67" si="23">D43*G61*100000</f>
        <v>0</v>
      </c>
      <c r="K67" s="130">
        <f t="shared" si="23"/>
        <v>0</v>
      </c>
      <c r="L67" s="130">
        <f t="shared" si="23"/>
        <v>0</v>
      </c>
      <c r="M67" s="130">
        <f t="shared" si="23"/>
        <v>0</v>
      </c>
      <c r="N67" s="130">
        <f t="shared" si="23"/>
        <v>0</v>
      </c>
      <c r="O67" s="130">
        <f t="shared" si="23"/>
        <v>0</v>
      </c>
      <c r="P67" s="130">
        <f t="shared" si="23"/>
        <v>0</v>
      </c>
      <c r="Q67" s="130">
        <f t="shared" si="23"/>
        <v>0</v>
      </c>
      <c r="R67" s="130">
        <f t="shared" si="23"/>
        <v>0</v>
      </c>
      <c r="S67" s="130">
        <f t="shared" si="23"/>
        <v>0</v>
      </c>
      <c r="T67" s="130">
        <f t="shared" si="23"/>
        <v>0</v>
      </c>
      <c r="U67" s="130">
        <f t="shared" si="23"/>
        <v>0</v>
      </c>
      <c r="V67" s="130">
        <f t="shared" si="23"/>
        <v>0</v>
      </c>
      <c r="W67" s="130">
        <f t="shared" si="23"/>
        <v>0</v>
      </c>
      <c r="X67" s="130">
        <f t="shared" si="23"/>
        <v>0</v>
      </c>
      <c r="Y67" s="130">
        <f t="shared" si="23"/>
        <v>0</v>
      </c>
      <c r="Z67" s="130">
        <f t="shared" si="23"/>
        <v>0</v>
      </c>
      <c r="AA67" s="130">
        <f t="shared" si="23"/>
        <v>0</v>
      </c>
      <c r="AB67" s="130">
        <f t="shared" si="23"/>
        <v>0</v>
      </c>
    </row>
    <row r="68" spans="1:29" x14ac:dyDescent="0.25">
      <c r="A68" s="103" t="s">
        <v>188</v>
      </c>
      <c r="B68" s="103" t="s">
        <v>51</v>
      </c>
      <c r="C68" s="103"/>
      <c r="D68" s="131"/>
      <c r="E68" s="131"/>
      <c r="F68" s="131"/>
      <c r="G68" s="130"/>
      <c r="H68" s="130"/>
      <c r="I68" s="130"/>
      <c r="J68" s="130"/>
      <c r="K68" s="130">
        <f t="shared" ref="K68:AB68" si="24">D43*G61*100000</f>
        <v>0</v>
      </c>
      <c r="L68" s="130">
        <f t="shared" si="24"/>
        <v>0</v>
      </c>
      <c r="M68" s="130">
        <f t="shared" si="24"/>
        <v>0</v>
      </c>
      <c r="N68" s="130">
        <f t="shared" si="24"/>
        <v>0</v>
      </c>
      <c r="O68" s="130">
        <f t="shared" si="24"/>
        <v>0</v>
      </c>
      <c r="P68" s="130">
        <f t="shared" si="24"/>
        <v>0</v>
      </c>
      <c r="Q68" s="130">
        <f t="shared" si="24"/>
        <v>0</v>
      </c>
      <c r="R68" s="130">
        <f t="shared" si="24"/>
        <v>0</v>
      </c>
      <c r="S68" s="130">
        <f t="shared" si="24"/>
        <v>0</v>
      </c>
      <c r="T68" s="130">
        <f t="shared" si="24"/>
        <v>0</v>
      </c>
      <c r="U68" s="130">
        <f t="shared" si="24"/>
        <v>0</v>
      </c>
      <c r="V68" s="130">
        <f t="shared" si="24"/>
        <v>0</v>
      </c>
      <c r="W68" s="130">
        <f t="shared" si="24"/>
        <v>0</v>
      </c>
      <c r="X68" s="130">
        <f t="shared" si="24"/>
        <v>0</v>
      </c>
      <c r="Y68" s="130">
        <f t="shared" si="24"/>
        <v>0</v>
      </c>
      <c r="Z68" s="130">
        <f t="shared" si="24"/>
        <v>0</v>
      </c>
      <c r="AA68" s="130">
        <f t="shared" si="24"/>
        <v>0</v>
      </c>
      <c r="AB68" s="130">
        <f t="shared" si="24"/>
        <v>0</v>
      </c>
    </row>
    <row r="69" spans="1:29" x14ac:dyDescent="0.25">
      <c r="A69" s="104" t="s">
        <v>31</v>
      </c>
      <c r="B69" s="103" t="s">
        <v>51</v>
      </c>
      <c r="C69" s="103"/>
      <c r="D69" s="131"/>
      <c r="E69" s="131"/>
      <c r="F69" s="131"/>
      <c r="G69" s="141">
        <f>SUM(G64:G68)</f>
        <v>0</v>
      </c>
      <c r="H69" s="141">
        <f t="shared" ref="H69:AB69" si="25">SUM(H64:H68)</f>
        <v>0</v>
      </c>
      <c r="I69" s="141">
        <f t="shared" si="25"/>
        <v>0</v>
      </c>
      <c r="J69" s="141">
        <f t="shared" si="25"/>
        <v>0</v>
      </c>
      <c r="K69" s="141">
        <f t="shared" si="25"/>
        <v>0</v>
      </c>
      <c r="L69" s="141">
        <f t="shared" si="25"/>
        <v>0</v>
      </c>
      <c r="M69" s="141">
        <f t="shared" si="25"/>
        <v>0</v>
      </c>
      <c r="N69" s="141">
        <f t="shared" si="25"/>
        <v>0</v>
      </c>
      <c r="O69" s="141">
        <f t="shared" si="25"/>
        <v>0</v>
      </c>
      <c r="P69" s="141">
        <f t="shared" si="25"/>
        <v>0</v>
      </c>
      <c r="Q69" s="141">
        <f t="shared" si="25"/>
        <v>0</v>
      </c>
      <c r="R69" s="141">
        <f t="shared" si="25"/>
        <v>0</v>
      </c>
      <c r="S69" s="141">
        <f t="shared" si="25"/>
        <v>0</v>
      </c>
      <c r="T69" s="141">
        <f t="shared" si="25"/>
        <v>0</v>
      </c>
      <c r="U69" s="141">
        <f t="shared" si="25"/>
        <v>0</v>
      </c>
      <c r="V69" s="141">
        <f t="shared" si="25"/>
        <v>0</v>
      </c>
      <c r="W69" s="141">
        <f t="shared" si="25"/>
        <v>0</v>
      </c>
      <c r="X69" s="141">
        <f t="shared" si="25"/>
        <v>0</v>
      </c>
      <c r="Y69" s="141">
        <f t="shared" si="25"/>
        <v>0</v>
      </c>
      <c r="Z69" s="141">
        <f t="shared" si="25"/>
        <v>0</v>
      </c>
      <c r="AA69" s="141">
        <f t="shared" si="25"/>
        <v>0</v>
      </c>
      <c r="AB69" s="141">
        <f t="shared" si="25"/>
        <v>0</v>
      </c>
    </row>
    <row r="70" spans="1:29" x14ac:dyDescent="0.25">
      <c r="A70" s="120"/>
      <c r="B70" s="103"/>
      <c r="C70" s="103"/>
      <c r="D70" s="131"/>
      <c r="E70" s="131"/>
      <c r="F70" s="131"/>
      <c r="G70" s="131"/>
      <c r="H70" s="131"/>
      <c r="I70" s="131"/>
      <c r="J70" s="131"/>
      <c r="K70" s="131"/>
      <c r="L70" s="131"/>
      <c r="M70" s="131"/>
      <c r="N70" s="131"/>
      <c r="O70" s="131"/>
      <c r="P70" s="131"/>
      <c r="Q70" s="131"/>
      <c r="R70" s="131"/>
      <c r="S70" s="131"/>
      <c r="T70" s="131"/>
      <c r="U70" s="131"/>
      <c r="V70" s="131"/>
      <c r="W70" s="131"/>
      <c r="X70" s="131"/>
      <c r="Y70" s="131"/>
      <c r="Z70" s="131"/>
      <c r="AA70" s="131"/>
      <c r="AB70" s="131"/>
    </row>
    <row r="71" spans="1:29" ht="30" x14ac:dyDescent="0.25">
      <c r="A71" s="120" t="s">
        <v>160</v>
      </c>
      <c r="B71" s="140" t="s">
        <v>55</v>
      </c>
      <c r="C71" s="103"/>
      <c r="D71" s="131"/>
      <c r="E71" s="131"/>
      <c r="F71" s="131"/>
      <c r="G71" s="131">
        <f>G69*(365/$D$33)*1.03/1000/1000</f>
        <v>0</v>
      </c>
      <c r="H71" s="131">
        <f>((G69*($D$33 -365)/$D$33)+(H69*365/$D$33))*1.03/1000/1000</f>
        <v>0</v>
      </c>
      <c r="I71" s="131">
        <f t="shared" ref="I71:AB71" si="26">((H69*($D$33 -365)/$D$33)+(I69*365/$D$33))*1.03/1000/1000</f>
        <v>0</v>
      </c>
      <c r="J71" s="131">
        <f t="shared" si="26"/>
        <v>0</v>
      </c>
      <c r="K71" s="131">
        <f t="shared" si="26"/>
        <v>0</v>
      </c>
      <c r="L71" s="131">
        <f t="shared" si="26"/>
        <v>0</v>
      </c>
      <c r="M71" s="131">
        <f t="shared" si="26"/>
        <v>0</v>
      </c>
      <c r="N71" s="131">
        <f t="shared" si="26"/>
        <v>0</v>
      </c>
      <c r="O71" s="131">
        <f t="shared" si="26"/>
        <v>0</v>
      </c>
      <c r="P71" s="131">
        <f t="shared" si="26"/>
        <v>0</v>
      </c>
      <c r="Q71" s="131">
        <f t="shared" si="26"/>
        <v>0</v>
      </c>
      <c r="R71" s="131">
        <f t="shared" si="26"/>
        <v>0</v>
      </c>
      <c r="S71" s="131">
        <f t="shared" si="26"/>
        <v>0</v>
      </c>
      <c r="T71" s="131">
        <f t="shared" si="26"/>
        <v>0</v>
      </c>
      <c r="U71" s="131">
        <f t="shared" si="26"/>
        <v>0</v>
      </c>
      <c r="V71" s="131">
        <f t="shared" si="26"/>
        <v>0</v>
      </c>
      <c r="W71" s="131">
        <f t="shared" si="26"/>
        <v>0</v>
      </c>
      <c r="X71" s="131">
        <f t="shared" si="26"/>
        <v>0</v>
      </c>
      <c r="Y71" s="131">
        <f t="shared" si="26"/>
        <v>0</v>
      </c>
      <c r="Z71" s="131">
        <f t="shared" si="26"/>
        <v>0</v>
      </c>
      <c r="AA71" s="131">
        <f t="shared" si="26"/>
        <v>0</v>
      </c>
      <c r="AB71" s="131">
        <f t="shared" si="26"/>
        <v>0</v>
      </c>
      <c r="AC71" s="131"/>
    </row>
    <row r="72" spans="1:29" x14ac:dyDescent="0.25">
      <c r="A72" s="103"/>
      <c r="B72" s="103"/>
      <c r="C72" s="103"/>
      <c r="D72" s="131"/>
      <c r="E72" s="131"/>
      <c r="F72" s="131"/>
      <c r="G72" s="131"/>
      <c r="H72" s="131"/>
      <c r="I72" s="131"/>
      <c r="J72" s="131"/>
      <c r="K72" s="131"/>
      <c r="L72" s="131"/>
      <c r="M72" s="131"/>
      <c r="N72" s="131"/>
      <c r="O72" s="131"/>
      <c r="P72" s="131"/>
      <c r="Q72" s="131"/>
      <c r="R72" s="131"/>
      <c r="S72" s="131"/>
      <c r="T72" s="131"/>
      <c r="U72" s="131"/>
      <c r="V72" s="131"/>
      <c r="W72" s="131"/>
      <c r="X72" s="131"/>
      <c r="Y72" s="131"/>
      <c r="Z72" s="131"/>
      <c r="AA72" s="131"/>
      <c r="AB72" s="131"/>
    </row>
    <row r="73" spans="1:29" s="107" customFormat="1" ht="25.5" x14ac:dyDescent="0.25">
      <c r="A73" s="215" t="s">
        <v>161</v>
      </c>
      <c r="B73" s="216" t="s">
        <v>55</v>
      </c>
      <c r="C73" s="217"/>
      <c r="D73" s="218"/>
      <c r="E73" s="218"/>
      <c r="F73" s="218"/>
      <c r="G73" s="218">
        <f t="shared" ref="G73:AB73" si="27">G71+G57</f>
        <v>0</v>
      </c>
      <c r="H73" s="218">
        <f t="shared" si="27"/>
        <v>0</v>
      </c>
      <c r="I73" s="218">
        <f t="shared" si="27"/>
        <v>0</v>
      </c>
      <c r="J73" s="218">
        <f t="shared" si="27"/>
        <v>0</v>
      </c>
      <c r="K73" s="218">
        <f t="shared" si="27"/>
        <v>0</v>
      </c>
      <c r="L73" s="218">
        <f t="shared" si="27"/>
        <v>0</v>
      </c>
      <c r="M73" s="218">
        <f t="shared" si="27"/>
        <v>0</v>
      </c>
      <c r="N73" s="218">
        <f t="shared" si="27"/>
        <v>0</v>
      </c>
      <c r="O73" s="218">
        <f t="shared" si="27"/>
        <v>0</v>
      </c>
      <c r="P73" s="218">
        <f t="shared" si="27"/>
        <v>0</v>
      </c>
      <c r="Q73" s="218">
        <f t="shared" si="27"/>
        <v>0</v>
      </c>
      <c r="R73" s="218">
        <f t="shared" si="27"/>
        <v>0</v>
      </c>
      <c r="S73" s="218">
        <f t="shared" si="27"/>
        <v>0</v>
      </c>
      <c r="T73" s="218">
        <f t="shared" si="27"/>
        <v>0</v>
      </c>
      <c r="U73" s="218">
        <f t="shared" si="27"/>
        <v>0</v>
      </c>
      <c r="V73" s="218">
        <f t="shared" si="27"/>
        <v>0</v>
      </c>
      <c r="W73" s="218">
        <f t="shared" si="27"/>
        <v>0</v>
      </c>
      <c r="X73" s="218">
        <f t="shared" si="27"/>
        <v>0</v>
      </c>
      <c r="Y73" s="218">
        <f t="shared" si="27"/>
        <v>0</v>
      </c>
      <c r="Z73" s="218">
        <f t="shared" si="27"/>
        <v>0</v>
      </c>
      <c r="AA73" s="218">
        <f t="shared" si="27"/>
        <v>0</v>
      </c>
      <c r="AB73" s="218">
        <f t="shared" si="27"/>
        <v>0</v>
      </c>
    </row>
    <row r="74" spans="1:29" x14ac:dyDescent="0.25">
      <c r="A74" s="103"/>
      <c r="B74" s="103"/>
      <c r="C74" s="103"/>
      <c r="D74" s="131"/>
      <c r="E74" s="131"/>
      <c r="F74" s="131"/>
      <c r="G74" s="131"/>
      <c r="H74" s="131"/>
      <c r="I74" s="131"/>
      <c r="J74" s="131"/>
      <c r="K74" s="131"/>
      <c r="L74" s="131"/>
      <c r="M74" s="131"/>
      <c r="N74" s="131"/>
      <c r="O74" s="131"/>
      <c r="P74" s="131"/>
      <c r="Q74" s="131"/>
      <c r="R74" s="131"/>
      <c r="S74" s="131"/>
      <c r="T74" s="131"/>
      <c r="U74" s="131"/>
      <c r="V74" s="131"/>
      <c r="W74" s="131"/>
      <c r="X74" s="131"/>
      <c r="Y74" s="131"/>
      <c r="Z74" s="131"/>
      <c r="AA74" s="131"/>
      <c r="AB74" s="131"/>
    </row>
    <row r="75" spans="1:29" ht="38.25" x14ac:dyDescent="0.25">
      <c r="A75" s="142" t="s">
        <v>212</v>
      </c>
      <c r="B75" s="143" t="s">
        <v>55</v>
      </c>
      <c r="C75" s="156">
        <f t="shared" ref="C75:AB75" si="28">C73+C39</f>
        <v>0</v>
      </c>
      <c r="D75" s="156">
        <f t="shared" si="28"/>
        <v>0</v>
      </c>
      <c r="E75" s="156">
        <f t="shared" si="28"/>
        <v>0</v>
      </c>
      <c r="F75" s="156">
        <f t="shared" si="28"/>
        <v>0</v>
      </c>
      <c r="G75" s="156">
        <f t="shared" si="28"/>
        <v>0</v>
      </c>
      <c r="H75" s="156">
        <f t="shared" si="28"/>
        <v>0</v>
      </c>
      <c r="I75" s="156">
        <f t="shared" si="28"/>
        <v>0</v>
      </c>
      <c r="J75" s="156">
        <f t="shared" si="28"/>
        <v>0</v>
      </c>
      <c r="K75" s="156">
        <f t="shared" si="28"/>
        <v>0</v>
      </c>
      <c r="L75" s="156">
        <f t="shared" si="28"/>
        <v>0</v>
      </c>
      <c r="M75" s="156">
        <f t="shared" si="28"/>
        <v>0</v>
      </c>
      <c r="N75" s="156">
        <f t="shared" si="28"/>
        <v>0</v>
      </c>
      <c r="O75" s="156">
        <f t="shared" si="28"/>
        <v>0</v>
      </c>
      <c r="P75" s="156">
        <f t="shared" si="28"/>
        <v>0</v>
      </c>
      <c r="Q75" s="156">
        <f t="shared" si="28"/>
        <v>0</v>
      </c>
      <c r="R75" s="156">
        <f t="shared" si="28"/>
        <v>0</v>
      </c>
      <c r="S75" s="156">
        <f t="shared" si="28"/>
        <v>0</v>
      </c>
      <c r="T75" s="156">
        <f t="shared" si="28"/>
        <v>0</v>
      </c>
      <c r="U75" s="156">
        <f t="shared" si="28"/>
        <v>0</v>
      </c>
      <c r="V75" s="156">
        <f t="shared" si="28"/>
        <v>0</v>
      </c>
      <c r="W75" s="156">
        <f t="shared" si="28"/>
        <v>0</v>
      </c>
      <c r="X75" s="156">
        <f t="shared" si="28"/>
        <v>0</v>
      </c>
      <c r="Y75" s="156">
        <f t="shared" si="28"/>
        <v>0</v>
      </c>
      <c r="Z75" s="156">
        <f t="shared" si="28"/>
        <v>0</v>
      </c>
      <c r="AA75" s="156">
        <f t="shared" si="28"/>
        <v>0</v>
      </c>
      <c r="AB75" s="156">
        <f t="shared" si="28"/>
        <v>0</v>
      </c>
    </row>
    <row r="78" spans="1:29" x14ac:dyDescent="0.25">
      <c r="A78" s="219" t="s">
        <v>142</v>
      </c>
      <c r="B78" s="103"/>
      <c r="C78" s="127"/>
      <c r="D78" s="104"/>
      <c r="E78" s="104"/>
      <c r="F78" s="130"/>
      <c r="G78" s="130"/>
      <c r="H78" s="130"/>
      <c r="I78" s="132"/>
      <c r="J78" s="103"/>
      <c r="K78" s="103"/>
      <c r="L78" s="103"/>
      <c r="M78" s="103"/>
      <c r="N78" s="103"/>
      <c r="O78" s="103"/>
      <c r="P78" s="103"/>
      <c r="Q78" s="103"/>
      <c r="R78" s="103"/>
    </row>
    <row r="79" spans="1:29" x14ac:dyDescent="0.25">
      <c r="A79" s="133" t="s">
        <v>138</v>
      </c>
      <c r="B79" s="103" t="s">
        <v>128</v>
      </c>
      <c r="C79" s="120">
        <f>C28*$D$18</f>
        <v>0</v>
      </c>
      <c r="D79" s="120">
        <f t="shared" ref="D79:AB79" si="29">D28*$D$18</f>
        <v>0</v>
      </c>
      <c r="E79" s="120">
        <f t="shared" si="29"/>
        <v>0</v>
      </c>
      <c r="F79" s="120">
        <f t="shared" si="29"/>
        <v>0</v>
      </c>
      <c r="G79" s="120">
        <f t="shared" si="29"/>
        <v>0</v>
      </c>
      <c r="H79" s="120">
        <f t="shared" si="29"/>
        <v>0</v>
      </c>
      <c r="I79" s="120">
        <f t="shared" si="29"/>
        <v>0</v>
      </c>
      <c r="J79" s="120">
        <f t="shared" si="29"/>
        <v>0</v>
      </c>
      <c r="K79" s="120">
        <f t="shared" si="29"/>
        <v>0</v>
      </c>
      <c r="L79" s="120">
        <f t="shared" si="29"/>
        <v>0</v>
      </c>
      <c r="M79" s="120">
        <f t="shared" si="29"/>
        <v>0</v>
      </c>
      <c r="N79" s="120">
        <f t="shared" si="29"/>
        <v>0</v>
      </c>
      <c r="O79" s="120">
        <f t="shared" si="29"/>
        <v>0</v>
      </c>
      <c r="P79" s="120">
        <f t="shared" si="29"/>
        <v>0</v>
      </c>
      <c r="Q79" s="120">
        <f t="shared" si="29"/>
        <v>0</v>
      </c>
      <c r="R79" s="120">
        <f t="shared" si="29"/>
        <v>0</v>
      </c>
      <c r="S79" s="120">
        <f t="shared" si="29"/>
        <v>0</v>
      </c>
      <c r="T79" s="120">
        <f t="shared" si="29"/>
        <v>0</v>
      </c>
      <c r="U79" s="120">
        <f t="shared" si="29"/>
        <v>0</v>
      </c>
      <c r="V79" s="120">
        <f t="shared" si="29"/>
        <v>0</v>
      </c>
      <c r="W79" s="120">
        <f t="shared" si="29"/>
        <v>0</v>
      </c>
      <c r="X79" s="120">
        <f t="shared" si="29"/>
        <v>0</v>
      </c>
      <c r="Y79" s="120">
        <f t="shared" si="29"/>
        <v>0</v>
      </c>
      <c r="Z79" s="120">
        <f t="shared" si="29"/>
        <v>0</v>
      </c>
      <c r="AA79" s="120">
        <f t="shared" si="29"/>
        <v>0</v>
      </c>
      <c r="AB79" s="120">
        <f t="shared" si="29"/>
        <v>0</v>
      </c>
    </row>
    <row r="80" spans="1:29" x14ac:dyDescent="0.25">
      <c r="A80" s="103" t="s">
        <v>44</v>
      </c>
      <c r="B80" s="129"/>
      <c r="C80" s="135">
        <f>280+60+((1/C21)-1)*22</f>
        <v>380.85714285714289</v>
      </c>
      <c r="D80" s="135">
        <f>280+60+((1/D21)-1)*22</f>
        <v>379.11111111111109</v>
      </c>
      <c r="E80" s="135">
        <f>C80-D80</f>
        <v>1.7460317460318038</v>
      </c>
      <c r="F80" s="130"/>
      <c r="G80" s="130"/>
      <c r="H80" s="130"/>
      <c r="I80" s="132"/>
      <c r="J80" s="103"/>
      <c r="K80" s="103"/>
      <c r="L80" s="103"/>
      <c r="M80" s="103"/>
      <c r="N80" s="103"/>
      <c r="O80" s="103"/>
      <c r="P80" s="103"/>
      <c r="Q80" s="103"/>
      <c r="R80" s="103"/>
    </row>
    <row r="81" spans="1:28" x14ac:dyDescent="0.25">
      <c r="A81" s="103"/>
      <c r="B81" s="129"/>
      <c r="C81" s="133"/>
      <c r="D81" s="130"/>
      <c r="E81" s="130"/>
      <c r="F81" s="130"/>
      <c r="G81" s="130"/>
      <c r="H81" s="130"/>
      <c r="I81" s="130"/>
      <c r="J81" s="130"/>
      <c r="K81" s="130"/>
      <c r="L81" s="130"/>
      <c r="M81" s="130"/>
      <c r="N81" s="130"/>
      <c r="O81" s="130"/>
      <c r="P81" s="130"/>
      <c r="Q81" s="130"/>
      <c r="R81" s="130"/>
    </row>
    <row r="82" spans="1:28" x14ac:dyDescent="0.25">
      <c r="A82" s="220" t="s">
        <v>139</v>
      </c>
      <c r="B82" s="129"/>
      <c r="C82" s="133"/>
      <c r="D82" s="135"/>
      <c r="E82" s="135"/>
      <c r="F82" s="130"/>
      <c r="G82" s="130"/>
      <c r="H82" s="130"/>
      <c r="I82" s="132"/>
      <c r="J82" s="103"/>
      <c r="K82" s="103"/>
      <c r="L82" s="103"/>
      <c r="M82" s="103"/>
      <c r="N82" s="103"/>
      <c r="O82" s="103"/>
      <c r="P82" s="103"/>
      <c r="Q82" s="103"/>
      <c r="R82" s="103"/>
    </row>
    <row r="83" spans="1:28" x14ac:dyDescent="0.25">
      <c r="A83" s="123" t="s">
        <v>198</v>
      </c>
      <c r="B83" s="103" t="s">
        <v>51</v>
      </c>
      <c r="C83" s="103">
        <f>D12/305</f>
        <v>8.2202786885245906</v>
      </c>
      <c r="D83" s="103"/>
      <c r="E83" s="103"/>
      <c r="F83" s="103"/>
      <c r="G83" s="103"/>
      <c r="H83" s="103"/>
      <c r="I83" s="103"/>
      <c r="J83" s="103"/>
      <c r="K83" s="103"/>
      <c r="L83" s="103"/>
      <c r="M83" s="103"/>
      <c r="N83" s="103"/>
      <c r="O83" s="103"/>
      <c r="P83" s="103"/>
      <c r="Q83" s="103"/>
      <c r="R83" s="103"/>
    </row>
    <row r="84" spans="1:28" ht="31.5" customHeight="1" x14ac:dyDescent="0.25">
      <c r="A84" s="123" t="s">
        <v>199</v>
      </c>
      <c r="B84" s="103" t="s">
        <v>51</v>
      </c>
      <c r="C84" s="103">
        <f>C83*E80</f>
        <v>14.352867551392617</v>
      </c>
      <c r="D84" s="103"/>
      <c r="E84" s="103"/>
      <c r="F84" s="103"/>
      <c r="G84" s="103"/>
      <c r="H84" s="103"/>
      <c r="I84" s="103"/>
      <c r="J84" s="103"/>
      <c r="K84" s="103"/>
      <c r="L84" s="103"/>
      <c r="M84" s="103"/>
      <c r="N84" s="103"/>
      <c r="O84" s="103"/>
      <c r="P84" s="103"/>
      <c r="Q84" s="103"/>
      <c r="R84" s="103"/>
    </row>
    <row r="85" spans="1:28" x14ac:dyDescent="0.25">
      <c r="A85" s="120" t="s">
        <v>80</v>
      </c>
      <c r="B85" s="103" t="s">
        <v>54</v>
      </c>
      <c r="C85" s="103"/>
      <c r="D85" s="130">
        <f>C79*$D$21*$D$16*365/$D$80</f>
        <v>0</v>
      </c>
      <c r="E85" s="130">
        <f t="shared" ref="E85:AB85" si="30">(D79*$D$21*$D$16*(365/$D$80))+(C79*$D$21*$D$16*($D$80-365)/$D$80)</f>
        <v>0</v>
      </c>
      <c r="F85" s="130">
        <f t="shared" si="30"/>
        <v>0</v>
      </c>
      <c r="G85" s="130">
        <f t="shared" si="30"/>
        <v>0</v>
      </c>
      <c r="H85" s="130">
        <f t="shared" si="30"/>
        <v>0</v>
      </c>
      <c r="I85" s="130">
        <f t="shared" si="30"/>
        <v>0</v>
      </c>
      <c r="J85" s="130">
        <f t="shared" si="30"/>
        <v>0</v>
      </c>
      <c r="K85" s="130">
        <f t="shared" si="30"/>
        <v>0</v>
      </c>
      <c r="L85" s="130">
        <f t="shared" si="30"/>
        <v>0</v>
      </c>
      <c r="M85" s="130">
        <f t="shared" si="30"/>
        <v>0</v>
      </c>
      <c r="N85" s="130">
        <f t="shared" si="30"/>
        <v>0</v>
      </c>
      <c r="O85" s="130">
        <f t="shared" si="30"/>
        <v>0</v>
      </c>
      <c r="P85" s="130">
        <f t="shared" si="30"/>
        <v>0</v>
      </c>
      <c r="Q85" s="130">
        <f t="shared" si="30"/>
        <v>0</v>
      </c>
      <c r="R85" s="130">
        <f t="shared" si="30"/>
        <v>0</v>
      </c>
      <c r="S85" s="130">
        <f t="shared" si="30"/>
        <v>0</v>
      </c>
      <c r="T85" s="130">
        <f t="shared" si="30"/>
        <v>0</v>
      </c>
      <c r="U85" s="130">
        <f t="shared" si="30"/>
        <v>0</v>
      </c>
      <c r="V85" s="130">
        <f t="shared" si="30"/>
        <v>0</v>
      </c>
      <c r="W85" s="130">
        <f t="shared" si="30"/>
        <v>0</v>
      </c>
      <c r="X85" s="130">
        <f t="shared" si="30"/>
        <v>0</v>
      </c>
      <c r="Y85" s="130">
        <f t="shared" si="30"/>
        <v>0</v>
      </c>
      <c r="Z85" s="130">
        <f t="shared" si="30"/>
        <v>0</v>
      </c>
      <c r="AA85" s="130">
        <f t="shared" si="30"/>
        <v>0</v>
      </c>
      <c r="AB85" s="130">
        <f t="shared" si="30"/>
        <v>0</v>
      </c>
    </row>
    <row r="86" spans="1:28" ht="38.25" x14ac:dyDescent="0.25">
      <c r="A86" s="136" t="s">
        <v>208</v>
      </c>
      <c r="B86" s="137" t="s">
        <v>201</v>
      </c>
      <c r="C86" s="104"/>
      <c r="D86" s="138">
        <f>D85*$C$84*1.03/1000/1000</f>
        <v>0</v>
      </c>
      <c r="E86" s="138">
        <f t="shared" ref="E86:AB86" si="31">E85*$C$84*1.03/1000/1000</f>
        <v>0</v>
      </c>
      <c r="F86" s="138">
        <f t="shared" si="31"/>
        <v>0</v>
      </c>
      <c r="G86" s="138">
        <f t="shared" si="31"/>
        <v>0</v>
      </c>
      <c r="H86" s="138">
        <f t="shared" si="31"/>
        <v>0</v>
      </c>
      <c r="I86" s="138">
        <f t="shared" si="31"/>
        <v>0</v>
      </c>
      <c r="J86" s="138">
        <f t="shared" si="31"/>
        <v>0</v>
      </c>
      <c r="K86" s="138">
        <f t="shared" si="31"/>
        <v>0</v>
      </c>
      <c r="L86" s="138">
        <f t="shared" si="31"/>
        <v>0</v>
      </c>
      <c r="M86" s="138">
        <f t="shared" si="31"/>
        <v>0</v>
      </c>
      <c r="N86" s="138">
        <f t="shared" si="31"/>
        <v>0</v>
      </c>
      <c r="O86" s="138">
        <f t="shared" si="31"/>
        <v>0</v>
      </c>
      <c r="P86" s="138">
        <f t="shared" si="31"/>
        <v>0</v>
      </c>
      <c r="Q86" s="138">
        <f t="shared" si="31"/>
        <v>0</v>
      </c>
      <c r="R86" s="138">
        <f t="shared" si="31"/>
        <v>0</v>
      </c>
      <c r="S86" s="138">
        <f t="shared" si="31"/>
        <v>0</v>
      </c>
      <c r="T86" s="138">
        <f t="shared" si="31"/>
        <v>0</v>
      </c>
      <c r="U86" s="138">
        <f t="shared" si="31"/>
        <v>0</v>
      </c>
      <c r="V86" s="138">
        <f t="shared" si="31"/>
        <v>0</v>
      </c>
      <c r="W86" s="138">
        <f t="shared" si="31"/>
        <v>0</v>
      </c>
      <c r="X86" s="138">
        <f t="shared" si="31"/>
        <v>0</v>
      </c>
      <c r="Y86" s="138">
        <f t="shared" si="31"/>
        <v>0</v>
      </c>
      <c r="Z86" s="138">
        <f t="shared" si="31"/>
        <v>0</v>
      </c>
      <c r="AA86" s="138">
        <f t="shared" si="31"/>
        <v>0</v>
      </c>
      <c r="AB86" s="138">
        <f t="shared" si="31"/>
        <v>0</v>
      </c>
    </row>
    <row r="87" spans="1:28" x14ac:dyDescent="0.25">
      <c r="A87" s="120"/>
      <c r="B87" s="103"/>
      <c r="C87" s="103"/>
      <c r="D87" s="103"/>
      <c r="E87" s="103"/>
      <c r="F87" s="103"/>
      <c r="G87" s="103"/>
      <c r="H87" s="103"/>
      <c r="I87" s="103"/>
      <c r="J87" s="103"/>
      <c r="K87" s="103"/>
      <c r="L87" s="103"/>
      <c r="M87" s="103"/>
      <c r="N87" s="103"/>
      <c r="O87" s="103"/>
      <c r="P87" s="103"/>
      <c r="Q87" s="103"/>
      <c r="R87" s="103"/>
    </row>
    <row r="88" spans="1:28" x14ac:dyDescent="0.25">
      <c r="A88" s="221" t="s">
        <v>140</v>
      </c>
      <c r="B88" s="103"/>
      <c r="C88" s="103"/>
      <c r="D88" s="103"/>
      <c r="E88" s="103"/>
      <c r="F88" s="103"/>
      <c r="G88" s="131"/>
      <c r="H88" s="131"/>
      <c r="I88" s="131"/>
      <c r="J88" s="131"/>
      <c r="K88" s="131"/>
      <c r="L88" s="131"/>
      <c r="M88" s="131"/>
      <c r="N88" s="131"/>
      <c r="O88" s="131"/>
      <c r="P88" s="131"/>
      <c r="Q88" s="131"/>
      <c r="R88" s="131"/>
      <c r="S88" s="131"/>
      <c r="T88" s="131"/>
      <c r="U88" s="131"/>
      <c r="V88" s="131"/>
      <c r="W88" s="131"/>
      <c r="X88" s="131"/>
    </row>
    <row r="89" spans="1:28" x14ac:dyDescent="0.25">
      <c r="A89" s="120" t="s">
        <v>120</v>
      </c>
      <c r="B89" s="103" t="s">
        <v>56</v>
      </c>
      <c r="C89" s="103"/>
      <c r="D89" s="131">
        <f>D85/2/100000*$D$17</f>
        <v>0</v>
      </c>
      <c r="E89" s="131">
        <f t="shared" ref="E89:AB89" si="32">E85/2/100000*$D$17</f>
        <v>0</v>
      </c>
      <c r="F89" s="131">
        <f t="shared" si="32"/>
        <v>0</v>
      </c>
      <c r="G89" s="131">
        <f t="shared" si="32"/>
        <v>0</v>
      </c>
      <c r="H89" s="131">
        <f t="shared" si="32"/>
        <v>0</v>
      </c>
      <c r="I89" s="131">
        <f t="shared" si="32"/>
        <v>0</v>
      </c>
      <c r="J89" s="131">
        <f t="shared" si="32"/>
        <v>0</v>
      </c>
      <c r="K89" s="131">
        <f t="shared" si="32"/>
        <v>0</v>
      </c>
      <c r="L89" s="131">
        <f t="shared" si="32"/>
        <v>0</v>
      </c>
      <c r="M89" s="131">
        <f t="shared" si="32"/>
        <v>0</v>
      </c>
      <c r="N89" s="131">
        <f t="shared" si="32"/>
        <v>0</v>
      </c>
      <c r="O89" s="131">
        <f t="shared" si="32"/>
        <v>0</v>
      </c>
      <c r="P89" s="131">
        <f t="shared" si="32"/>
        <v>0</v>
      </c>
      <c r="Q89" s="131">
        <f t="shared" si="32"/>
        <v>0</v>
      </c>
      <c r="R89" s="131">
        <f t="shared" si="32"/>
        <v>0</v>
      </c>
      <c r="S89" s="131">
        <f t="shared" si="32"/>
        <v>0</v>
      </c>
      <c r="T89" s="131">
        <f t="shared" si="32"/>
        <v>0</v>
      </c>
      <c r="U89" s="131">
        <f t="shared" si="32"/>
        <v>0</v>
      </c>
      <c r="V89" s="131">
        <f t="shared" si="32"/>
        <v>0</v>
      </c>
      <c r="W89" s="131">
        <f t="shared" si="32"/>
        <v>0</v>
      </c>
      <c r="X89" s="131">
        <f t="shared" si="32"/>
        <v>0</v>
      </c>
      <c r="Y89" s="131">
        <f t="shared" si="32"/>
        <v>0</v>
      </c>
      <c r="Z89" s="131">
        <f t="shared" si="32"/>
        <v>0</v>
      </c>
      <c r="AA89" s="131">
        <f t="shared" si="32"/>
        <v>0</v>
      </c>
      <c r="AB89" s="131">
        <f t="shared" si="32"/>
        <v>0</v>
      </c>
    </row>
    <row r="90" spans="1:28" x14ac:dyDescent="0.25">
      <c r="A90" s="120" t="s">
        <v>192</v>
      </c>
      <c r="B90" s="103" t="s">
        <v>56</v>
      </c>
      <c r="C90" s="103"/>
      <c r="D90" s="131"/>
      <c r="E90" s="131"/>
      <c r="F90" s="131"/>
      <c r="G90" s="131">
        <f>D89</f>
        <v>0</v>
      </c>
      <c r="H90" s="131">
        <f>SUM(D89:E89)</f>
        <v>0</v>
      </c>
      <c r="I90" s="131">
        <f>SUM(D89:F89)</f>
        <v>0</v>
      </c>
      <c r="J90" s="131">
        <f>SUM(D89:G89)</f>
        <v>0</v>
      </c>
      <c r="K90" s="131">
        <f>SUM(D89:H89)</f>
        <v>0</v>
      </c>
      <c r="L90" s="131">
        <f t="shared" ref="L90:V90" si="33">SUM(E89:I89)</f>
        <v>0</v>
      </c>
      <c r="M90" s="131">
        <f t="shared" si="33"/>
        <v>0</v>
      </c>
      <c r="N90" s="131">
        <f t="shared" si="33"/>
        <v>0</v>
      </c>
      <c r="O90" s="131">
        <f t="shared" si="33"/>
        <v>0</v>
      </c>
      <c r="P90" s="131">
        <f t="shared" si="33"/>
        <v>0</v>
      </c>
      <c r="Q90" s="131">
        <f t="shared" si="33"/>
        <v>0</v>
      </c>
      <c r="R90" s="131">
        <f t="shared" si="33"/>
        <v>0</v>
      </c>
      <c r="S90" s="131">
        <f t="shared" si="33"/>
        <v>0</v>
      </c>
      <c r="T90" s="131">
        <f t="shared" si="33"/>
        <v>0</v>
      </c>
      <c r="U90" s="131">
        <f t="shared" si="33"/>
        <v>0</v>
      </c>
      <c r="V90" s="131">
        <f t="shared" si="33"/>
        <v>0</v>
      </c>
      <c r="W90" s="131">
        <f t="shared" ref="W90:AB90" si="34">SUM(P89:T89)</f>
        <v>0</v>
      </c>
      <c r="X90" s="131">
        <f t="shared" si="34"/>
        <v>0</v>
      </c>
      <c r="Y90" s="131">
        <f t="shared" si="34"/>
        <v>0</v>
      </c>
      <c r="Z90" s="131">
        <f t="shared" si="34"/>
        <v>0</v>
      </c>
      <c r="AA90" s="131">
        <f t="shared" si="34"/>
        <v>0</v>
      </c>
      <c r="AB90" s="131">
        <f t="shared" si="34"/>
        <v>0</v>
      </c>
    </row>
    <row r="91" spans="1:28" ht="30" x14ac:dyDescent="0.25">
      <c r="A91" s="120" t="s">
        <v>190</v>
      </c>
      <c r="B91" s="103" t="s">
        <v>51</v>
      </c>
      <c r="C91" s="103"/>
      <c r="D91" s="131"/>
      <c r="E91" s="131"/>
      <c r="F91" s="131"/>
      <c r="G91" s="131">
        <f>(1+$D$15*5)*D12</f>
        <v>2632.5442499999999</v>
      </c>
      <c r="H91" s="131">
        <f>(1+$D$15)*G91</f>
        <v>2658.8696924999999</v>
      </c>
      <c r="I91" s="131">
        <f t="shared" ref="I91:AB91" si="35">(1+$D$15)*H91</f>
        <v>2685.458389425</v>
      </c>
      <c r="J91" s="131">
        <f t="shared" si="35"/>
        <v>2712.31297331925</v>
      </c>
      <c r="K91" s="131">
        <f t="shared" si="35"/>
        <v>2739.4361030524424</v>
      </c>
      <c r="L91" s="131">
        <f t="shared" si="35"/>
        <v>2766.830464082967</v>
      </c>
      <c r="M91" s="131">
        <f t="shared" si="35"/>
        <v>2794.4987687237967</v>
      </c>
      <c r="N91" s="131">
        <f t="shared" si="35"/>
        <v>2822.4437564110349</v>
      </c>
      <c r="O91" s="131">
        <f t="shared" si="35"/>
        <v>2850.6681939751452</v>
      </c>
      <c r="P91" s="131">
        <f t="shared" si="35"/>
        <v>2879.1748759148968</v>
      </c>
      <c r="Q91" s="131">
        <f t="shared" si="35"/>
        <v>2907.9666246740458</v>
      </c>
      <c r="R91" s="131">
        <f t="shared" si="35"/>
        <v>2937.0462909207863</v>
      </c>
      <c r="S91" s="131">
        <f t="shared" si="35"/>
        <v>2966.4167538299944</v>
      </c>
      <c r="T91" s="131">
        <f t="shared" si="35"/>
        <v>2996.0809213682942</v>
      </c>
      <c r="U91" s="131">
        <f t="shared" si="35"/>
        <v>3026.0417305819769</v>
      </c>
      <c r="V91" s="131">
        <f t="shared" si="35"/>
        <v>3056.3021478877968</v>
      </c>
      <c r="W91" s="131">
        <f t="shared" si="35"/>
        <v>3086.8651693666748</v>
      </c>
      <c r="X91" s="131">
        <f t="shared" si="35"/>
        <v>3117.7338210603416</v>
      </c>
      <c r="Y91" s="131">
        <f t="shared" si="35"/>
        <v>3148.9111592709451</v>
      </c>
      <c r="Z91" s="131">
        <f t="shared" si="35"/>
        <v>3180.4002708636544</v>
      </c>
      <c r="AA91" s="131">
        <f t="shared" si="35"/>
        <v>3212.2042735722912</v>
      </c>
      <c r="AB91" s="131">
        <f t="shared" si="35"/>
        <v>3244.3263163080142</v>
      </c>
    </row>
    <row r="92" spans="1:28" ht="45" x14ac:dyDescent="0.25">
      <c r="A92" s="120" t="s">
        <v>191</v>
      </c>
      <c r="B92" s="103" t="s">
        <v>51</v>
      </c>
      <c r="C92" s="103"/>
      <c r="D92" s="131"/>
      <c r="E92" s="131"/>
      <c r="F92" s="131"/>
      <c r="G92" s="131">
        <f>G91-$D$12</f>
        <v>125.35924999999997</v>
      </c>
      <c r="H92" s="131">
        <f t="shared" ref="H92:AB92" si="36">H91-$D$12</f>
        <v>151.68469249999998</v>
      </c>
      <c r="I92" s="131">
        <f t="shared" si="36"/>
        <v>178.273389425</v>
      </c>
      <c r="J92" s="131">
        <f t="shared" si="36"/>
        <v>205.12797331925003</v>
      </c>
      <c r="K92" s="131">
        <f t="shared" si="36"/>
        <v>232.25110305244243</v>
      </c>
      <c r="L92" s="131">
        <f t="shared" si="36"/>
        <v>259.64546408296701</v>
      </c>
      <c r="M92" s="131">
        <f t="shared" si="36"/>
        <v>287.31376872379678</v>
      </c>
      <c r="N92" s="131">
        <f t="shared" si="36"/>
        <v>315.25875641103494</v>
      </c>
      <c r="O92" s="131">
        <f t="shared" si="36"/>
        <v>343.48319397514524</v>
      </c>
      <c r="P92" s="131">
        <f t="shared" si="36"/>
        <v>371.98987591489686</v>
      </c>
      <c r="Q92" s="131">
        <f t="shared" si="36"/>
        <v>400.78162467404582</v>
      </c>
      <c r="R92" s="131">
        <f t="shared" si="36"/>
        <v>429.86129092078636</v>
      </c>
      <c r="S92" s="131">
        <f t="shared" si="36"/>
        <v>459.23175382999443</v>
      </c>
      <c r="T92" s="131">
        <f t="shared" si="36"/>
        <v>488.89592136829424</v>
      </c>
      <c r="U92" s="131">
        <f t="shared" si="36"/>
        <v>518.85673058197699</v>
      </c>
      <c r="V92" s="131">
        <f t="shared" si="36"/>
        <v>549.11714788779682</v>
      </c>
      <c r="W92" s="131">
        <f t="shared" si="36"/>
        <v>579.68016936667482</v>
      </c>
      <c r="X92" s="131">
        <f t="shared" si="36"/>
        <v>610.54882106034165</v>
      </c>
      <c r="Y92" s="131">
        <f t="shared" si="36"/>
        <v>641.72615927094512</v>
      </c>
      <c r="Z92" s="131">
        <f t="shared" si="36"/>
        <v>673.2152708636545</v>
      </c>
      <c r="AA92" s="131">
        <f t="shared" si="36"/>
        <v>705.01927357229124</v>
      </c>
      <c r="AB92" s="131">
        <f t="shared" si="36"/>
        <v>737.14131630801421</v>
      </c>
    </row>
    <row r="93" spans="1:28" x14ac:dyDescent="0.25">
      <c r="A93" s="103"/>
      <c r="B93" s="103"/>
      <c r="C93" s="103"/>
      <c r="D93" s="131"/>
      <c r="E93" s="131"/>
      <c r="F93" s="131"/>
      <c r="G93" s="131"/>
      <c r="H93" s="131"/>
      <c r="I93" s="131"/>
      <c r="J93" s="131"/>
      <c r="K93" s="131"/>
      <c r="L93" s="131"/>
      <c r="M93" s="131"/>
      <c r="N93" s="131"/>
      <c r="O93" s="131"/>
      <c r="P93" s="131"/>
      <c r="Q93" s="131"/>
      <c r="R93" s="131"/>
      <c r="S93" s="131"/>
      <c r="T93" s="131"/>
      <c r="U93" s="131"/>
      <c r="V93" s="131"/>
      <c r="W93" s="131"/>
      <c r="X93" s="131"/>
      <c r="Y93" s="131"/>
      <c r="Z93" s="131"/>
      <c r="AA93" s="131"/>
      <c r="AB93" s="131"/>
    </row>
    <row r="94" spans="1:28" x14ac:dyDescent="0.25">
      <c r="A94" s="103" t="s">
        <v>183</v>
      </c>
      <c r="B94" s="103"/>
      <c r="C94" s="103"/>
      <c r="D94" s="131"/>
      <c r="E94" s="131"/>
      <c r="F94" s="131"/>
      <c r="G94" s="131"/>
      <c r="H94" s="131"/>
      <c r="I94" s="131"/>
      <c r="J94" s="131"/>
      <c r="K94" s="131"/>
      <c r="L94" s="131"/>
      <c r="M94" s="131"/>
      <c r="N94" s="131"/>
      <c r="O94" s="131"/>
      <c r="P94" s="131"/>
      <c r="Q94" s="131"/>
      <c r="R94" s="131"/>
      <c r="S94" s="131"/>
      <c r="T94" s="131"/>
      <c r="U94" s="131"/>
      <c r="V94" s="131"/>
      <c r="W94" s="131"/>
      <c r="X94" s="131"/>
      <c r="Y94" s="131"/>
      <c r="Z94" s="131"/>
      <c r="AA94" s="131"/>
      <c r="AB94" s="131"/>
    </row>
    <row r="95" spans="1:28" x14ac:dyDescent="0.25">
      <c r="A95" s="103" t="s">
        <v>184</v>
      </c>
      <c r="B95" s="103" t="s">
        <v>51</v>
      </c>
      <c r="C95" s="103"/>
      <c r="D95" s="131"/>
      <c r="E95" s="131"/>
      <c r="F95" s="131"/>
      <c r="G95" s="130">
        <f>G92*D89*100000</f>
        <v>0</v>
      </c>
      <c r="H95" s="130">
        <f t="shared" ref="H95:AB95" si="37">H92*E89*100000</f>
        <v>0</v>
      </c>
      <c r="I95" s="130">
        <f t="shared" si="37"/>
        <v>0</v>
      </c>
      <c r="J95" s="130">
        <f t="shared" si="37"/>
        <v>0</v>
      </c>
      <c r="K95" s="130">
        <f t="shared" si="37"/>
        <v>0</v>
      </c>
      <c r="L95" s="130">
        <f t="shared" si="37"/>
        <v>0</v>
      </c>
      <c r="M95" s="130">
        <f t="shared" si="37"/>
        <v>0</v>
      </c>
      <c r="N95" s="130">
        <f t="shared" si="37"/>
        <v>0</v>
      </c>
      <c r="O95" s="130">
        <f t="shared" si="37"/>
        <v>0</v>
      </c>
      <c r="P95" s="130">
        <f t="shared" si="37"/>
        <v>0</v>
      </c>
      <c r="Q95" s="130">
        <f t="shared" si="37"/>
        <v>0</v>
      </c>
      <c r="R95" s="130">
        <f t="shared" si="37"/>
        <v>0</v>
      </c>
      <c r="S95" s="130">
        <f t="shared" si="37"/>
        <v>0</v>
      </c>
      <c r="T95" s="130">
        <f t="shared" si="37"/>
        <v>0</v>
      </c>
      <c r="U95" s="130">
        <f t="shared" si="37"/>
        <v>0</v>
      </c>
      <c r="V95" s="130">
        <f t="shared" si="37"/>
        <v>0</v>
      </c>
      <c r="W95" s="130">
        <f t="shared" si="37"/>
        <v>0</v>
      </c>
      <c r="X95" s="130">
        <f t="shared" si="37"/>
        <v>0</v>
      </c>
      <c r="Y95" s="130">
        <f t="shared" si="37"/>
        <v>0</v>
      </c>
      <c r="Z95" s="130">
        <f t="shared" si="37"/>
        <v>0</v>
      </c>
      <c r="AA95" s="130">
        <f t="shared" si="37"/>
        <v>0</v>
      </c>
      <c r="AB95" s="130">
        <f t="shared" si="37"/>
        <v>0</v>
      </c>
    </row>
    <row r="96" spans="1:28" x14ac:dyDescent="0.25">
      <c r="A96" s="103" t="s">
        <v>185</v>
      </c>
      <c r="B96" s="103" t="s">
        <v>51</v>
      </c>
      <c r="C96" s="103"/>
      <c r="D96" s="131"/>
      <c r="E96" s="131"/>
      <c r="F96" s="131"/>
      <c r="G96" s="130"/>
      <c r="H96" s="130">
        <f>G92*D89*100000</f>
        <v>0</v>
      </c>
      <c r="I96" s="130">
        <f t="shared" ref="I96:AB96" si="38">H92*E89*100000</f>
        <v>0</v>
      </c>
      <c r="J96" s="130">
        <f t="shared" si="38"/>
        <v>0</v>
      </c>
      <c r="K96" s="130">
        <f t="shared" si="38"/>
        <v>0</v>
      </c>
      <c r="L96" s="130">
        <f t="shared" si="38"/>
        <v>0</v>
      </c>
      <c r="M96" s="130">
        <f t="shared" si="38"/>
        <v>0</v>
      </c>
      <c r="N96" s="130">
        <f t="shared" si="38"/>
        <v>0</v>
      </c>
      <c r="O96" s="130">
        <f t="shared" si="38"/>
        <v>0</v>
      </c>
      <c r="P96" s="130">
        <f t="shared" si="38"/>
        <v>0</v>
      </c>
      <c r="Q96" s="130">
        <f t="shared" si="38"/>
        <v>0</v>
      </c>
      <c r="R96" s="130">
        <f t="shared" si="38"/>
        <v>0</v>
      </c>
      <c r="S96" s="130">
        <f t="shared" si="38"/>
        <v>0</v>
      </c>
      <c r="T96" s="130">
        <f t="shared" si="38"/>
        <v>0</v>
      </c>
      <c r="U96" s="130">
        <f t="shared" si="38"/>
        <v>0</v>
      </c>
      <c r="V96" s="130">
        <f t="shared" si="38"/>
        <v>0</v>
      </c>
      <c r="W96" s="130">
        <f t="shared" si="38"/>
        <v>0</v>
      </c>
      <c r="X96" s="130">
        <f t="shared" si="38"/>
        <v>0</v>
      </c>
      <c r="Y96" s="130">
        <f t="shared" si="38"/>
        <v>0</v>
      </c>
      <c r="Z96" s="130">
        <f t="shared" si="38"/>
        <v>0</v>
      </c>
      <c r="AA96" s="130">
        <f t="shared" si="38"/>
        <v>0</v>
      </c>
      <c r="AB96" s="130">
        <f t="shared" si="38"/>
        <v>0</v>
      </c>
    </row>
    <row r="97" spans="1:29" x14ac:dyDescent="0.25">
      <c r="A97" s="103" t="s">
        <v>186</v>
      </c>
      <c r="B97" s="103" t="s">
        <v>51</v>
      </c>
      <c r="C97" s="103"/>
      <c r="D97" s="131"/>
      <c r="E97" s="131"/>
      <c r="F97" s="131"/>
      <c r="G97" s="130"/>
      <c r="H97" s="130"/>
      <c r="I97" s="130">
        <f>G92*D89*100000</f>
        <v>0</v>
      </c>
      <c r="J97" s="130">
        <f t="shared" ref="J97:AB97" si="39">H92*E89*100000</f>
        <v>0</v>
      </c>
      <c r="K97" s="130">
        <f t="shared" si="39"/>
        <v>0</v>
      </c>
      <c r="L97" s="130">
        <f t="shared" si="39"/>
        <v>0</v>
      </c>
      <c r="M97" s="130">
        <f t="shared" si="39"/>
        <v>0</v>
      </c>
      <c r="N97" s="130">
        <f t="shared" si="39"/>
        <v>0</v>
      </c>
      <c r="O97" s="130">
        <f t="shared" si="39"/>
        <v>0</v>
      </c>
      <c r="P97" s="130">
        <f t="shared" si="39"/>
        <v>0</v>
      </c>
      <c r="Q97" s="130">
        <f t="shared" si="39"/>
        <v>0</v>
      </c>
      <c r="R97" s="130">
        <f t="shared" si="39"/>
        <v>0</v>
      </c>
      <c r="S97" s="130">
        <f t="shared" si="39"/>
        <v>0</v>
      </c>
      <c r="T97" s="130">
        <f t="shared" si="39"/>
        <v>0</v>
      </c>
      <c r="U97" s="130">
        <f t="shared" si="39"/>
        <v>0</v>
      </c>
      <c r="V97" s="130">
        <f t="shared" si="39"/>
        <v>0</v>
      </c>
      <c r="W97" s="130">
        <f t="shared" si="39"/>
        <v>0</v>
      </c>
      <c r="X97" s="130">
        <f t="shared" si="39"/>
        <v>0</v>
      </c>
      <c r="Y97" s="130">
        <f t="shared" si="39"/>
        <v>0</v>
      </c>
      <c r="Z97" s="130">
        <f t="shared" si="39"/>
        <v>0</v>
      </c>
      <c r="AA97" s="130">
        <f t="shared" si="39"/>
        <v>0</v>
      </c>
      <c r="AB97" s="130">
        <f t="shared" si="39"/>
        <v>0</v>
      </c>
    </row>
    <row r="98" spans="1:29" x14ac:dyDescent="0.25">
      <c r="A98" s="103" t="s">
        <v>187</v>
      </c>
      <c r="B98" s="103" t="s">
        <v>51</v>
      </c>
      <c r="C98" s="103"/>
      <c r="D98" s="131"/>
      <c r="E98" s="131"/>
      <c r="F98" s="131"/>
      <c r="G98" s="130"/>
      <c r="H98" s="130"/>
      <c r="I98" s="130"/>
      <c r="J98" s="130">
        <f>G92*D89*100000</f>
        <v>0</v>
      </c>
      <c r="K98" s="130">
        <f t="shared" ref="K98:AB98" si="40">H92*E89*100000</f>
        <v>0</v>
      </c>
      <c r="L98" s="130">
        <f t="shared" si="40"/>
        <v>0</v>
      </c>
      <c r="M98" s="130">
        <f t="shared" si="40"/>
        <v>0</v>
      </c>
      <c r="N98" s="130">
        <f t="shared" si="40"/>
        <v>0</v>
      </c>
      <c r="O98" s="130">
        <f t="shared" si="40"/>
        <v>0</v>
      </c>
      <c r="P98" s="130">
        <f t="shared" si="40"/>
        <v>0</v>
      </c>
      <c r="Q98" s="130">
        <f t="shared" si="40"/>
        <v>0</v>
      </c>
      <c r="R98" s="130">
        <f t="shared" si="40"/>
        <v>0</v>
      </c>
      <c r="S98" s="130">
        <f t="shared" si="40"/>
        <v>0</v>
      </c>
      <c r="T98" s="130">
        <f t="shared" si="40"/>
        <v>0</v>
      </c>
      <c r="U98" s="130">
        <f t="shared" si="40"/>
        <v>0</v>
      </c>
      <c r="V98" s="130">
        <f t="shared" si="40"/>
        <v>0</v>
      </c>
      <c r="W98" s="130">
        <f t="shared" si="40"/>
        <v>0</v>
      </c>
      <c r="X98" s="130">
        <f t="shared" si="40"/>
        <v>0</v>
      </c>
      <c r="Y98" s="130">
        <f t="shared" si="40"/>
        <v>0</v>
      </c>
      <c r="Z98" s="130">
        <f t="shared" si="40"/>
        <v>0</v>
      </c>
      <c r="AA98" s="130">
        <f t="shared" si="40"/>
        <v>0</v>
      </c>
      <c r="AB98" s="130">
        <f t="shared" si="40"/>
        <v>0</v>
      </c>
    </row>
    <row r="99" spans="1:29" x14ac:dyDescent="0.25">
      <c r="A99" s="103" t="s">
        <v>188</v>
      </c>
      <c r="B99" s="103" t="s">
        <v>51</v>
      </c>
      <c r="C99" s="103"/>
      <c r="D99" s="131"/>
      <c r="E99" s="131"/>
      <c r="F99" s="131"/>
      <c r="G99" s="130"/>
      <c r="H99" s="130"/>
      <c r="I99" s="130"/>
      <c r="J99" s="130"/>
      <c r="K99" s="130">
        <f>G92*D89*100000</f>
        <v>0</v>
      </c>
      <c r="L99" s="130">
        <f t="shared" ref="L99:AB99" si="41">H92*E89*100000</f>
        <v>0</v>
      </c>
      <c r="M99" s="130">
        <f t="shared" si="41"/>
        <v>0</v>
      </c>
      <c r="N99" s="130">
        <f t="shared" si="41"/>
        <v>0</v>
      </c>
      <c r="O99" s="130">
        <f t="shared" si="41"/>
        <v>0</v>
      </c>
      <c r="P99" s="130">
        <f t="shared" si="41"/>
        <v>0</v>
      </c>
      <c r="Q99" s="130">
        <f t="shared" si="41"/>
        <v>0</v>
      </c>
      <c r="R99" s="130">
        <f t="shared" si="41"/>
        <v>0</v>
      </c>
      <c r="S99" s="130">
        <f t="shared" si="41"/>
        <v>0</v>
      </c>
      <c r="T99" s="130">
        <f t="shared" si="41"/>
        <v>0</v>
      </c>
      <c r="U99" s="130">
        <f t="shared" si="41"/>
        <v>0</v>
      </c>
      <c r="V99" s="130">
        <f t="shared" si="41"/>
        <v>0</v>
      </c>
      <c r="W99" s="130">
        <f t="shared" si="41"/>
        <v>0</v>
      </c>
      <c r="X99" s="130">
        <f t="shared" si="41"/>
        <v>0</v>
      </c>
      <c r="Y99" s="130">
        <f t="shared" si="41"/>
        <v>0</v>
      </c>
      <c r="Z99" s="130">
        <f t="shared" si="41"/>
        <v>0</v>
      </c>
      <c r="AA99" s="130">
        <f t="shared" si="41"/>
        <v>0</v>
      </c>
      <c r="AB99" s="130">
        <f t="shared" si="41"/>
        <v>0</v>
      </c>
    </row>
    <row r="100" spans="1:29" x14ac:dyDescent="0.25">
      <c r="A100" s="104" t="s">
        <v>31</v>
      </c>
      <c r="B100" s="104" t="s">
        <v>51</v>
      </c>
      <c r="C100" s="103"/>
      <c r="D100" s="131"/>
      <c r="E100" s="131"/>
      <c r="F100" s="131"/>
      <c r="G100" s="141">
        <f>SUM(G95:G99)</f>
        <v>0</v>
      </c>
      <c r="H100" s="141">
        <f t="shared" ref="H100:AB100" si="42">SUM(H95:H99)</f>
        <v>0</v>
      </c>
      <c r="I100" s="141">
        <f t="shared" si="42"/>
        <v>0</v>
      </c>
      <c r="J100" s="141">
        <f t="shared" si="42"/>
        <v>0</v>
      </c>
      <c r="K100" s="141">
        <f t="shared" si="42"/>
        <v>0</v>
      </c>
      <c r="L100" s="141">
        <f t="shared" si="42"/>
        <v>0</v>
      </c>
      <c r="M100" s="141">
        <f t="shared" si="42"/>
        <v>0</v>
      </c>
      <c r="N100" s="141">
        <f t="shared" si="42"/>
        <v>0</v>
      </c>
      <c r="O100" s="141">
        <f t="shared" si="42"/>
        <v>0</v>
      </c>
      <c r="P100" s="141">
        <f t="shared" si="42"/>
        <v>0</v>
      </c>
      <c r="Q100" s="141">
        <f t="shared" si="42"/>
        <v>0</v>
      </c>
      <c r="R100" s="141">
        <f t="shared" si="42"/>
        <v>0</v>
      </c>
      <c r="S100" s="141">
        <f t="shared" si="42"/>
        <v>0</v>
      </c>
      <c r="T100" s="141">
        <f t="shared" si="42"/>
        <v>0</v>
      </c>
      <c r="U100" s="141">
        <f t="shared" si="42"/>
        <v>0</v>
      </c>
      <c r="V100" s="141">
        <f t="shared" si="42"/>
        <v>0</v>
      </c>
      <c r="W100" s="141">
        <f t="shared" si="42"/>
        <v>0</v>
      </c>
      <c r="X100" s="141">
        <f t="shared" si="42"/>
        <v>0</v>
      </c>
      <c r="Y100" s="141">
        <f t="shared" si="42"/>
        <v>0</v>
      </c>
      <c r="Z100" s="141">
        <f t="shared" si="42"/>
        <v>0</v>
      </c>
      <c r="AA100" s="141">
        <f t="shared" si="42"/>
        <v>0</v>
      </c>
      <c r="AB100" s="141">
        <f t="shared" si="42"/>
        <v>0</v>
      </c>
    </row>
    <row r="101" spans="1:29" x14ac:dyDescent="0.25">
      <c r="A101" s="120"/>
      <c r="B101" s="103"/>
      <c r="C101" s="103"/>
      <c r="D101" s="131"/>
      <c r="E101" s="131"/>
      <c r="F101" s="131"/>
      <c r="G101" s="131"/>
      <c r="H101" s="131"/>
      <c r="I101" s="131"/>
      <c r="J101" s="131"/>
      <c r="K101" s="131"/>
      <c r="L101" s="131"/>
      <c r="M101" s="131"/>
      <c r="N101" s="131"/>
      <c r="O101" s="131"/>
      <c r="P101" s="131"/>
      <c r="Q101" s="131"/>
      <c r="R101" s="131"/>
      <c r="S101" s="131"/>
      <c r="T101" s="131"/>
      <c r="U101" s="131"/>
      <c r="V101" s="131"/>
      <c r="W101" s="131"/>
      <c r="X101" s="131"/>
      <c r="Y101" s="131"/>
      <c r="Z101" s="131"/>
      <c r="AA101" s="131"/>
      <c r="AB101" s="131"/>
    </row>
    <row r="102" spans="1:29" ht="51" customHeight="1" x14ac:dyDescent="0.25">
      <c r="A102" s="215" t="s">
        <v>57</v>
      </c>
      <c r="B102" s="216" t="s">
        <v>55</v>
      </c>
      <c r="C102" s="217"/>
      <c r="D102" s="218"/>
      <c r="E102" s="218"/>
      <c r="F102" s="218"/>
      <c r="G102" s="218">
        <f>G100*(365/$D$80)*1.03/1000/1000</f>
        <v>0</v>
      </c>
      <c r="H102" s="218">
        <f t="shared" ref="H102:AB102" si="43">((G100*($D$80-365)/$D$80)+(H100*365/$D$80))*1.03/1000/1000</f>
        <v>0</v>
      </c>
      <c r="I102" s="218">
        <f t="shared" si="43"/>
        <v>0</v>
      </c>
      <c r="J102" s="218">
        <f t="shared" si="43"/>
        <v>0</v>
      </c>
      <c r="K102" s="218">
        <f t="shared" si="43"/>
        <v>0</v>
      </c>
      <c r="L102" s="218">
        <f t="shared" si="43"/>
        <v>0</v>
      </c>
      <c r="M102" s="218">
        <f t="shared" si="43"/>
        <v>0</v>
      </c>
      <c r="N102" s="218">
        <f t="shared" si="43"/>
        <v>0</v>
      </c>
      <c r="O102" s="218">
        <f t="shared" si="43"/>
        <v>0</v>
      </c>
      <c r="P102" s="218">
        <f t="shared" si="43"/>
        <v>0</v>
      </c>
      <c r="Q102" s="218">
        <f t="shared" si="43"/>
        <v>0</v>
      </c>
      <c r="R102" s="218">
        <f t="shared" si="43"/>
        <v>0</v>
      </c>
      <c r="S102" s="218">
        <f t="shared" si="43"/>
        <v>0</v>
      </c>
      <c r="T102" s="218">
        <f t="shared" si="43"/>
        <v>0</v>
      </c>
      <c r="U102" s="218">
        <f t="shared" si="43"/>
        <v>0</v>
      </c>
      <c r="V102" s="218">
        <f t="shared" si="43"/>
        <v>0</v>
      </c>
      <c r="W102" s="218">
        <f t="shared" si="43"/>
        <v>0</v>
      </c>
      <c r="X102" s="218">
        <f t="shared" si="43"/>
        <v>0</v>
      </c>
      <c r="Y102" s="218">
        <f t="shared" si="43"/>
        <v>0</v>
      </c>
      <c r="Z102" s="218">
        <f t="shared" si="43"/>
        <v>0</v>
      </c>
      <c r="AA102" s="218">
        <f t="shared" si="43"/>
        <v>0</v>
      </c>
      <c r="AB102" s="218">
        <f t="shared" si="43"/>
        <v>0</v>
      </c>
      <c r="AC102" s="131"/>
    </row>
    <row r="103" spans="1:29" x14ac:dyDescent="0.25">
      <c r="A103" s="103"/>
      <c r="B103" s="103"/>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c r="AA103" s="103"/>
      <c r="AB103" s="103"/>
    </row>
    <row r="104" spans="1:29" ht="38.25" x14ac:dyDescent="0.25">
      <c r="A104" s="142" t="s">
        <v>211</v>
      </c>
      <c r="B104" s="143" t="s">
        <v>55</v>
      </c>
      <c r="C104" s="145">
        <f t="shared" ref="C104:AB104" si="44">C102+C86</f>
        <v>0</v>
      </c>
      <c r="D104" s="145">
        <f t="shared" si="44"/>
        <v>0</v>
      </c>
      <c r="E104" s="145">
        <f t="shared" si="44"/>
        <v>0</v>
      </c>
      <c r="F104" s="145">
        <f t="shared" si="44"/>
        <v>0</v>
      </c>
      <c r="G104" s="145">
        <f t="shared" si="44"/>
        <v>0</v>
      </c>
      <c r="H104" s="145">
        <f t="shared" si="44"/>
        <v>0</v>
      </c>
      <c r="I104" s="145">
        <f t="shared" si="44"/>
        <v>0</v>
      </c>
      <c r="J104" s="145">
        <f t="shared" si="44"/>
        <v>0</v>
      </c>
      <c r="K104" s="145">
        <f t="shared" si="44"/>
        <v>0</v>
      </c>
      <c r="L104" s="145">
        <f t="shared" si="44"/>
        <v>0</v>
      </c>
      <c r="M104" s="145">
        <f t="shared" si="44"/>
        <v>0</v>
      </c>
      <c r="N104" s="145">
        <f t="shared" si="44"/>
        <v>0</v>
      </c>
      <c r="O104" s="145">
        <f t="shared" si="44"/>
        <v>0</v>
      </c>
      <c r="P104" s="145">
        <f t="shared" si="44"/>
        <v>0</v>
      </c>
      <c r="Q104" s="145">
        <f t="shared" si="44"/>
        <v>0</v>
      </c>
      <c r="R104" s="145">
        <f t="shared" si="44"/>
        <v>0</v>
      </c>
      <c r="S104" s="145">
        <f t="shared" si="44"/>
        <v>0</v>
      </c>
      <c r="T104" s="145">
        <f t="shared" si="44"/>
        <v>0</v>
      </c>
      <c r="U104" s="145">
        <f t="shared" si="44"/>
        <v>0</v>
      </c>
      <c r="V104" s="145">
        <f t="shared" si="44"/>
        <v>0</v>
      </c>
      <c r="W104" s="145">
        <f t="shared" si="44"/>
        <v>0</v>
      </c>
      <c r="X104" s="145">
        <f t="shared" si="44"/>
        <v>0</v>
      </c>
      <c r="Y104" s="145">
        <f t="shared" si="44"/>
        <v>0</v>
      </c>
      <c r="Z104" s="145">
        <f t="shared" si="44"/>
        <v>0</v>
      </c>
      <c r="AA104" s="145">
        <f t="shared" si="44"/>
        <v>0</v>
      </c>
      <c r="AB104" s="145">
        <f t="shared" si="44"/>
        <v>0</v>
      </c>
    </row>
    <row r="105" spans="1:29" x14ac:dyDescent="0.25">
      <c r="A105" s="125"/>
      <c r="B105" s="117"/>
    </row>
    <row r="107" spans="1:29" x14ac:dyDescent="0.25">
      <c r="A107" s="219" t="s">
        <v>143</v>
      </c>
      <c r="B107" s="103"/>
      <c r="C107" s="127"/>
      <c r="D107" s="104"/>
      <c r="E107" s="104"/>
      <c r="F107" s="130"/>
      <c r="G107" s="130"/>
      <c r="H107" s="130"/>
      <c r="I107" s="132"/>
      <c r="J107" s="103"/>
      <c r="K107" s="103"/>
      <c r="L107" s="103"/>
      <c r="M107" s="103"/>
      <c r="N107" s="103"/>
      <c r="O107" s="103"/>
      <c r="P107" s="103"/>
      <c r="Q107" s="103"/>
      <c r="R107" s="103"/>
    </row>
    <row r="108" spans="1:29" x14ac:dyDescent="0.25">
      <c r="A108" s="133" t="s">
        <v>138</v>
      </c>
      <c r="B108" s="103" t="s">
        <v>128</v>
      </c>
      <c r="C108" s="120">
        <f>C28*$E$18</f>
        <v>0</v>
      </c>
      <c r="D108" s="120">
        <f t="shared" ref="D108:AB108" si="45">D28*$E$18</f>
        <v>0</v>
      </c>
      <c r="E108" s="120">
        <f t="shared" si="45"/>
        <v>0</v>
      </c>
      <c r="F108" s="120">
        <f t="shared" si="45"/>
        <v>0</v>
      </c>
      <c r="G108" s="120">
        <f t="shared" si="45"/>
        <v>0</v>
      </c>
      <c r="H108" s="120">
        <f t="shared" si="45"/>
        <v>0</v>
      </c>
      <c r="I108" s="120">
        <f t="shared" si="45"/>
        <v>0</v>
      </c>
      <c r="J108" s="120">
        <f t="shared" si="45"/>
        <v>0</v>
      </c>
      <c r="K108" s="120">
        <f t="shared" si="45"/>
        <v>0</v>
      </c>
      <c r="L108" s="120">
        <f t="shared" si="45"/>
        <v>0</v>
      </c>
      <c r="M108" s="120">
        <f t="shared" si="45"/>
        <v>0</v>
      </c>
      <c r="N108" s="120">
        <f t="shared" si="45"/>
        <v>0</v>
      </c>
      <c r="O108" s="120">
        <f t="shared" si="45"/>
        <v>0</v>
      </c>
      <c r="P108" s="120">
        <f t="shared" si="45"/>
        <v>0</v>
      </c>
      <c r="Q108" s="120">
        <f t="shared" si="45"/>
        <v>0</v>
      </c>
      <c r="R108" s="120">
        <f t="shared" si="45"/>
        <v>0</v>
      </c>
      <c r="S108" s="120">
        <f t="shared" si="45"/>
        <v>0</v>
      </c>
      <c r="T108" s="120">
        <f t="shared" si="45"/>
        <v>0</v>
      </c>
      <c r="U108" s="120">
        <f t="shared" si="45"/>
        <v>0</v>
      </c>
      <c r="V108" s="120">
        <f t="shared" si="45"/>
        <v>0</v>
      </c>
      <c r="W108" s="120">
        <f t="shared" si="45"/>
        <v>0</v>
      </c>
      <c r="X108" s="120">
        <f t="shared" si="45"/>
        <v>0</v>
      </c>
      <c r="Y108" s="120">
        <f t="shared" si="45"/>
        <v>0</v>
      </c>
      <c r="Z108" s="120">
        <f t="shared" si="45"/>
        <v>0</v>
      </c>
      <c r="AA108" s="120">
        <f t="shared" si="45"/>
        <v>0</v>
      </c>
      <c r="AB108" s="120">
        <f t="shared" si="45"/>
        <v>0</v>
      </c>
    </row>
    <row r="109" spans="1:29" x14ac:dyDescent="0.25">
      <c r="A109" s="103" t="s">
        <v>44</v>
      </c>
      <c r="B109" s="147"/>
      <c r="C109" s="135">
        <f>310+60+((1/C21)-1)*22</f>
        <v>410.85714285714289</v>
      </c>
      <c r="D109" s="135">
        <f>310+60+((1/D21)-1)*22</f>
        <v>409.11111111111109</v>
      </c>
      <c r="E109" s="135">
        <f>C109-D109</f>
        <v>1.7460317460318038</v>
      </c>
      <c r="F109" s="130"/>
      <c r="G109" s="130"/>
      <c r="H109" s="130"/>
      <c r="I109" s="132"/>
      <c r="J109" s="103"/>
      <c r="K109" s="103"/>
      <c r="L109" s="103"/>
      <c r="M109" s="103"/>
      <c r="N109" s="103"/>
      <c r="O109" s="103"/>
      <c r="P109" s="103"/>
      <c r="Q109" s="103"/>
      <c r="R109" s="103"/>
    </row>
    <row r="110" spans="1:29" x14ac:dyDescent="0.25">
      <c r="A110" s="103"/>
      <c r="B110" s="147"/>
      <c r="C110" s="133"/>
      <c r="D110" s="135"/>
      <c r="E110" s="135"/>
      <c r="F110" s="130"/>
      <c r="G110" s="130"/>
      <c r="H110" s="130"/>
      <c r="I110" s="132"/>
      <c r="J110" s="103"/>
      <c r="K110" s="103"/>
      <c r="L110" s="103"/>
      <c r="M110" s="103"/>
      <c r="N110" s="103"/>
      <c r="O110" s="103"/>
      <c r="P110" s="103"/>
      <c r="Q110" s="103"/>
      <c r="R110" s="103"/>
    </row>
    <row r="111" spans="1:29" x14ac:dyDescent="0.25">
      <c r="A111" s="220" t="s">
        <v>139</v>
      </c>
      <c r="B111" s="147"/>
      <c r="C111" s="133"/>
      <c r="D111" s="130"/>
      <c r="E111" s="130"/>
      <c r="F111" s="130"/>
      <c r="G111" s="130"/>
      <c r="H111" s="130"/>
      <c r="I111" s="130"/>
      <c r="J111" s="130"/>
      <c r="K111" s="130"/>
      <c r="L111" s="130"/>
      <c r="M111" s="130"/>
      <c r="N111" s="130"/>
      <c r="O111" s="130"/>
      <c r="P111" s="130"/>
      <c r="Q111" s="130"/>
      <c r="R111" s="130"/>
    </row>
    <row r="112" spans="1:29" x14ac:dyDescent="0.25">
      <c r="A112" s="123" t="s">
        <v>198</v>
      </c>
      <c r="B112" s="103" t="s">
        <v>51</v>
      </c>
      <c r="C112" s="103">
        <f>E12/305</f>
        <v>5.470213114754098</v>
      </c>
      <c r="D112" s="103"/>
      <c r="E112" s="103"/>
      <c r="F112" s="103"/>
      <c r="G112" s="103"/>
      <c r="H112" s="103"/>
      <c r="I112" s="103"/>
      <c r="J112" s="103"/>
      <c r="K112" s="103"/>
      <c r="L112" s="103"/>
      <c r="M112" s="103"/>
      <c r="N112" s="103"/>
      <c r="O112" s="103"/>
      <c r="P112" s="103"/>
      <c r="Q112" s="103"/>
      <c r="R112" s="103"/>
    </row>
    <row r="113" spans="1:28" ht="31.5" customHeight="1" x14ac:dyDescent="0.25">
      <c r="A113" s="123" t="s">
        <v>199</v>
      </c>
      <c r="B113" s="103" t="s">
        <v>51</v>
      </c>
      <c r="C113" s="103">
        <f>C112*E109</f>
        <v>9.5511657559201701</v>
      </c>
      <c r="D113" s="103"/>
      <c r="E113" s="103"/>
      <c r="F113" s="103"/>
      <c r="G113" s="103"/>
      <c r="H113" s="103"/>
      <c r="I113" s="103"/>
      <c r="J113" s="103"/>
      <c r="K113" s="103"/>
      <c r="L113" s="103"/>
      <c r="M113" s="103"/>
      <c r="N113" s="103"/>
      <c r="O113" s="103"/>
      <c r="P113" s="103"/>
      <c r="Q113" s="103"/>
      <c r="R113" s="103"/>
    </row>
    <row r="114" spans="1:28" x14ac:dyDescent="0.25">
      <c r="A114" s="120" t="s">
        <v>80</v>
      </c>
      <c r="B114" s="103" t="s">
        <v>54</v>
      </c>
      <c r="C114" s="103"/>
      <c r="D114" s="130">
        <f>C108*$D$21*$E$16*365/$D$109</f>
        <v>0</v>
      </c>
      <c r="E114" s="130">
        <f t="shared" ref="E114:AB114" si="46">((D108*$D$21*$E$16*(365/$D$109))+(C108*$D$21*$E$16*($D$109-365)/$D$109))</f>
        <v>0</v>
      </c>
      <c r="F114" s="130">
        <f t="shared" si="46"/>
        <v>0</v>
      </c>
      <c r="G114" s="130">
        <f t="shared" si="46"/>
        <v>0</v>
      </c>
      <c r="H114" s="130">
        <f t="shared" si="46"/>
        <v>0</v>
      </c>
      <c r="I114" s="130">
        <f t="shared" si="46"/>
        <v>0</v>
      </c>
      <c r="J114" s="130">
        <f t="shared" si="46"/>
        <v>0</v>
      </c>
      <c r="K114" s="130">
        <f t="shared" si="46"/>
        <v>0</v>
      </c>
      <c r="L114" s="130">
        <f t="shared" si="46"/>
        <v>0</v>
      </c>
      <c r="M114" s="130">
        <f t="shared" si="46"/>
        <v>0</v>
      </c>
      <c r="N114" s="130">
        <f t="shared" si="46"/>
        <v>0</v>
      </c>
      <c r="O114" s="130">
        <f t="shared" si="46"/>
        <v>0</v>
      </c>
      <c r="P114" s="130">
        <f t="shared" si="46"/>
        <v>0</v>
      </c>
      <c r="Q114" s="130">
        <f t="shared" si="46"/>
        <v>0</v>
      </c>
      <c r="R114" s="130">
        <f t="shared" si="46"/>
        <v>0</v>
      </c>
      <c r="S114" s="130">
        <f t="shared" si="46"/>
        <v>0</v>
      </c>
      <c r="T114" s="130">
        <f t="shared" si="46"/>
        <v>0</v>
      </c>
      <c r="U114" s="130">
        <f t="shared" si="46"/>
        <v>0</v>
      </c>
      <c r="V114" s="130">
        <f t="shared" si="46"/>
        <v>0</v>
      </c>
      <c r="W114" s="130">
        <f t="shared" si="46"/>
        <v>0</v>
      </c>
      <c r="X114" s="130">
        <f t="shared" si="46"/>
        <v>0</v>
      </c>
      <c r="Y114" s="130">
        <f t="shared" si="46"/>
        <v>0</v>
      </c>
      <c r="Z114" s="130">
        <f t="shared" si="46"/>
        <v>0</v>
      </c>
      <c r="AA114" s="130">
        <f t="shared" si="46"/>
        <v>0</v>
      </c>
      <c r="AB114" s="130">
        <f t="shared" si="46"/>
        <v>0</v>
      </c>
    </row>
    <row r="115" spans="1:28" ht="38.25" x14ac:dyDescent="0.25">
      <c r="A115" s="136" t="s">
        <v>200</v>
      </c>
      <c r="B115" s="137" t="s">
        <v>201</v>
      </c>
      <c r="C115" s="104"/>
      <c r="D115" s="138">
        <f>D114*$C$113*1.03/1000/1000</f>
        <v>0</v>
      </c>
      <c r="E115" s="138">
        <f t="shared" ref="E115:AB115" si="47">E114*$C$113*1.03/1000/1000</f>
        <v>0</v>
      </c>
      <c r="F115" s="138">
        <f t="shared" si="47"/>
        <v>0</v>
      </c>
      <c r="G115" s="138">
        <f t="shared" si="47"/>
        <v>0</v>
      </c>
      <c r="H115" s="138">
        <f t="shared" si="47"/>
        <v>0</v>
      </c>
      <c r="I115" s="138">
        <f t="shared" si="47"/>
        <v>0</v>
      </c>
      <c r="J115" s="138">
        <f t="shared" si="47"/>
        <v>0</v>
      </c>
      <c r="K115" s="138">
        <f t="shared" si="47"/>
        <v>0</v>
      </c>
      <c r="L115" s="138">
        <f t="shared" si="47"/>
        <v>0</v>
      </c>
      <c r="M115" s="138">
        <f t="shared" si="47"/>
        <v>0</v>
      </c>
      <c r="N115" s="138">
        <f t="shared" si="47"/>
        <v>0</v>
      </c>
      <c r="O115" s="138">
        <f t="shared" si="47"/>
        <v>0</v>
      </c>
      <c r="P115" s="138">
        <f t="shared" si="47"/>
        <v>0</v>
      </c>
      <c r="Q115" s="138">
        <f t="shared" si="47"/>
        <v>0</v>
      </c>
      <c r="R115" s="138">
        <f t="shared" si="47"/>
        <v>0</v>
      </c>
      <c r="S115" s="138">
        <f t="shared" si="47"/>
        <v>0</v>
      </c>
      <c r="T115" s="138">
        <f t="shared" si="47"/>
        <v>0</v>
      </c>
      <c r="U115" s="138">
        <f t="shared" si="47"/>
        <v>0</v>
      </c>
      <c r="V115" s="138">
        <f t="shared" si="47"/>
        <v>0</v>
      </c>
      <c r="W115" s="138">
        <f t="shared" si="47"/>
        <v>0</v>
      </c>
      <c r="X115" s="138">
        <f t="shared" si="47"/>
        <v>0</v>
      </c>
      <c r="Y115" s="138">
        <f t="shared" si="47"/>
        <v>0</v>
      </c>
      <c r="Z115" s="138">
        <f t="shared" si="47"/>
        <v>0</v>
      </c>
      <c r="AA115" s="138">
        <f t="shared" si="47"/>
        <v>0</v>
      </c>
      <c r="AB115" s="138">
        <f t="shared" si="47"/>
        <v>0</v>
      </c>
    </row>
    <row r="116" spans="1:28" x14ac:dyDescent="0.25">
      <c r="A116" s="123"/>
      <c r="B116" s="103"/>
      <c r="C116" s="103"/>
      <c r="D116" s="103"/>
      <c r="E116" s="103"/>
      <c r="F116" s="103"/>
      <c r="G116" s="103"/>
      <c r="H116" s="103"/>
      <c r="I116" s="103"/>
      <c r="J116" s="103"/>
      <c r="K116" s="103"/>
      <c r="L116" s="103"/>
      <c r="M116" s="103"/>
      <c r="N116" s="103"/>
      <c r="O116" s="103"/>
      <c r="P116" s="103"/>
      <c r="Q116" s="103"/>
      <c r="R116" s="103"/>
    </row>
    <row r="117" spans="1:28" x14ac:dyDescent="0.25">
      <c r="A117" s="221" t="s">
        <v>140</v>
      </c>
      <c r="B117" s="103"/>
      <c r="C117" s="103"/>
      <c r="D117" s="103"/>
      <c r="E117" s="103"/>
      <c r="F117" s="103"/>
      <c r="G117" s="103"/>
      <c r="H117" s="131"/>
      <c r="I117" s="131"/>
      <c r="J117" s="131"/>
      <c r="K117" s="131"/>
      <c r="L117" s="131"/>
      <c r="M117" s="131"/>
      <c r="N117" s="131"/>
      <c r="O117" s="131"/>
      <c r="P117" s="131"/>
      <c r="Q117" s="131"/>
      <c r="R117" s="131"/>
      <c r="S117" s="131"/>
      <c r="T117" s="131"/>
      <c r="U117" s="131"/>
      <c r="V117" s="131"/>
      <c r="W117" s="131"/>
      <c r="X117" s="131"/>
    </row>
    <row r="118" spans="1:28" x14ac:dyDescent="0.25">
      <c r="A118" s="120" t="s">
        <v>120</v>
      </c>
      <c r="B118" s="103" t="s">
        <v>56</v>
      </c>
      <c r="C118" s="103"/>
      <c r="D118" s="131">
        <f>D114/2/100000*$E$17</f>
        <v>0</v>
      </c>
      <c r="E118" s="131">
        <f t="shared" ref="E118:AB118" si="48">E114/2/100000*$E$17</f>
        <v>0</v>
      </c>
      <c r="F118" s="131">
        <f t="shared" si="48"/>
        <v>0</v>
      </c>
      <c r="G118" s="131">
        <f t="shared" si="48"/>
        <v>0</v>
      </c>
      <c r="H118" s="131">
        <f t="shared" si="48"/>
        <v>0</v>
      </c>
      <c r="I118" s="131">
        <f t="shared" si="48"/>
        <v>0</v>
      </c>
      <c r="J118" s="131">
        <f t="shared" si="48"/>
        <v>0</v>
      </c>
      <c r="K118" s="131">
        <f t="shared" si="48"/>
        <v>0</v>
      </c>
      <c r="L118" s="131">
        <f t="shared" si="48"/>
        <v>0</v>
      </c>
      <c r="M118" s="131">
        <f t="shared" si="48"/>
        <v>0</v>
      </c>
      <c r="N118" s="131">
        <f t="shared" si="48"/>
        <v>0</v>
      </c>
      <c r="O118" s="131">
        <f t="shared" si="48"/>
        <v>0</v>
      </c>
      <c r="P118" s="131">
        <f t="shared" si="48"/>
        <v>0</v>
      </c>
      <c r="Q118" s="131">
        <f t="shared" si="48"/>
        <v>0</v>
      </c>
      <c r="R118" s="131">
        <f t="shared" si="48"/>
        <v>0</v>
      </c>
      <c r="S118" s="131">
        <f t="shared" si="48"/>
        <v>0</v>
      </c>
      <c r="T118" s="131">
        <f t="shared" si="48"/>
        <v>0</v>
      </c>
      <c r="U118" s="131">
        <f t="shared" si="48"/>
        <v>0</v>
      </c>
      <c r="V118" s="131">
        <f t="shared" si="48"/>
        <v>0</v>
      </c>
      <c r="W118" s="131">
        <f t="shared" si="48"/>
        <v>0</v>
      </c>
      <c r="X118" s="131">
        <f t="shared" si="48"/>
        <v>0</v>
      </c>
      <c r="Y118" s="131">
        <f t="shared" si="48"/>
        <v>0</v>
      </c>
      <c r="Z118" s="131">
        <f t="shared" si="48"/>
        <v>0</v>
      </c>
      <c r="AA118" s="131">
        <f t="shared" si="48"/>
        <v>0</v>
      </c>
      <c r="AB118" s="131">
        <f t="shared" si="48"/>
        <v>0</v>
      </c>
    </row>
    <row r="119" spans="1:28" x14ac:dyDescent="0.25">
      <c r="A119" s="120" t="s">
        <v>193</v>
      </c>
      <c r="B119" s="103" t="s">
        <v>56</v>
      </c>
      <c r="C119" s="103"/>
      <c r="D119" s="131"/>
      <c r="E119" s="131"/>
      <c r="F119" s="131"/>
      <c r="G119" s="131"/>
      <c r="H119" s="131">
        <f>D118</f>
        <v>0</v>
      </c>
      <c r="I119" s="131">
        <f>SUM(D118:E118)</f>
        <v>0</v>
      </c>
      <c r="J119" s="131">
        <f>SUM(D118:F118)</f>
        <v>0</v>
      </c>
      <c r="K119" s="131">
        <f>SUM(D118:G118)</f>
        <v>0</v>
      </c>
      <c r="L119" s="131">
        <f>SUM(D118:H118)</f>
        <v>0</v>
      </c>
      <c r="M119" s="131">
        <f>SUM(E118:I118)</f>
        <v>0</v>
      </c>
      <c r="N119" s="131">
        <f t="shared" ref="N119:AB119" si="49">SUM(F118:J118)</f>
        <v>0</v>
      </c>
      <c r="O119" s="131">
        <f t="shared" si="49"/>
        <v>0</v>
      </c>
      <c r="P119" s="131">
        <f t="shared" si="49"/>
        <v>0</v>
      </c>
      <c r="Q119" s="131">
        <f t="shared" si="49"/>
        <v>0</v>
      </c>
      <c r="R119" s="131">
        <f t="shared" si="49"/>
        <v>0</v>
      </c>
      <c r="S119" s="131">
        <f t="shared" si="49"/>
        <v>0</v>
      </c>
      <c r="T119" s="131">
        <f t="shared" si="49"/>
        <v>0</v>
      </c>
      <c r="U119" s="131">
        <f t="shared" si="49"/>
        <v>0</v>
      </c>
      <c r="V119" s="131">
        <f t="shared" si="49"/>
        <v>0</v>
      </c>
      <c r="W119" s="131">
        <f t="shared" si="49"/>
        <v>0</v>
      </c>
      <c r="X119" s="131">
        <f t="shared" si="49"/>
        <v>0</v>
      </c>
      <c r="Y119" s="131">
        <f t="shared" si="49"/>
        <v>0</v>
      </c>
      <c r="Z119" s="131">
        <f t="shared" si="49"/>
        <v>0</v>
      </c>
      <c r="AA119" s="131">
        <f t="shared" si="49"/>
        <v>0</v>
      </c>
      <c r="AB119" s="131">
        <f t="shared" si="49"/>
        <v>0</v>
      </c>
    </row>
    <row r="120" spans="1:28" x14ac:dyDescent="0.25">
      <c r="A120" s="120"/>
      <c r="B120" s="103"/>
      <c r="C120" s="103"/>
      <c r="D120" s="131"/>
      <c r="E120" s="131"/>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row>
    <row r="121" spans="1:28" ht="30" x14ac:dyDescent="0.25">
      <c r="A121" s="120" t="s">
        <v>190</v>
      </c>
      <c r="B121" s="103" t="s">
        <v>51</v>
      </c>
      <c r="C121" s="103"/>
      <c r="D121" s="131"/>
      <c r="E121" s="131"/>
      <c r="F121" s="131"/>
      <c r="G121" s="131"/>
      <c r="H121" s="131">
        <f>(1+$E$15*5)*E12</f>
        <v>1751.83575</v>
      </c>
      <c r="I121" s="131">
        <f>(1+$E$15)*H121</f>
        <v>1769.3541075000001</v>
      </c>
      <c r="J121" s="131">
        <f t="shared" ref="J121:AB121" si="50">(1+$E$15)*I121</f>
        <v>1787.047648575</v>
      </c>
      <c r="K121" s="131">
        <f t="shared" si="50"/>
        <v>1804.9181250607501</v>
      </c>
      <c r="L121" s="131">
        <f t="shared" si="50"/>
        <v>1822.9673063113576</v>
      </c>
      <c r="M121" s="131">
        <f t="shared" si="50"/>
        <v>1841.1969793744711</v>
      </c>
      <c r="N121" s="131">
        <f t="shared" si="50"/>
        <v>1859.6089491682158</v>
      </c>
      <c r="O121" s="131">
        <f t="shared" si="50"/>
        <v>1878.205038659898</v>
      </c>
      <c r="P121" s="131">
        <f t="shared" si="50"/>
        <v>1896.987089046497</v>
      </c>
      <c r="Q121" s="131">
        <f t="shared" si="50"/>
        <v>1915.956959936962</v>
      </c>
      <c r="R121" s="131">
        <f t="shared" si="50"/>
        <v>1935.1165295363317</v>
      </c>
      <c r="S121" s="131">
        <f t="shared" si="50"/>
        <v>1954.4676948316951</v>
      </c>
      <c r="T121" s="131">
        <f t="shared" si="50"/>
        <v>1974.012371780012</v>
      </c>
      <c r="U121" s="131">
        <f t="shared" si="50"/>
        <v>1993.7524954978121</v>
      </c>
      <c r="V121" s="131">
        <f t="shared" si="50"/>
        <v>2013.6900204527903</v>
      </c>
      <c r="W121" s="131">
        <f t="shared" si="50"/>
        <v>2033.8269206573182</v>
      </c>
      <c r="X121" s="131">
        <f t="shared" si="50"/>
        <v>2054.1651898638916</v>
      </c>
      <c r="Y121" s="131">
        <f t="shared" si="50"/>
        <v>2074.7068417625305</v>
      </c>
      <c r="Z121" s="131">
        <f t="shared" si="50"/>
        <v>2095.4539101801561</v>
      </c>
      <c r="AA121" s="131">
        <f t="shared" si="50"/>
        <v>2116.4084492819575</v>
      </c>
      <c r="AB121" s="131">
        <f t="shared" si="50"/>
        <v>2137.5725337747772</v>
      </c>
    </row>
    <row r="122" spans="1:28" ht="45" x14ac:dyDescent="0.25">
      <c r="A122" s="120" t="s">
        <v>191</v>
      </c>
      <c r="B122" s="103" t="s">
        <v>51</v>
      </c>
      <c r="C122" s="103"/>
      <c r="D122" s="131"/>
      <c r="E122" s="131"/>
      <c r="F122" s="131"/>
      <c r="G122" s="131"/>
      <c r="H122" s="131">
        <f>H121-$E$12</f>
        <v>83.420749999999998</v>
      </c>
      <c r="I122" s="131">
        <f>I121-$E$12</f>
        <v>100.93910750000009</v>
      </c>
      <c r="J122" s="131">
        <f t="shared" ref="J122:AB122" si="51">J121-$E$12</f>
        <v>118.63264857500008</v>
      </c>
      <c r="K122" s="131">
        <f t="shared" si="51"/>
        <v>136.50312506075011</v>
      </c>
      <c r="L122" s="131">
        <f t="shared" si="51"/>
        <v>154.5523063113576</v>
      </c>
      <c r="M122" s="131">
        <f t="shared" si="51"/>
        <v>172.78197937447112</v>
      </c>
      <c r="N122" s="131">
        <f t="shared" si="51"/>
        <v>191.19394916821579</v>
      </c>
      <c r="O122" s="131">
        <f t="shared" si="51"/>
        <v>209.79003865989807</v>
      </c>
      <c r="P122" s="131">
        <f t="shared" si="51"/>
        <v>228.57208904649701</v>
      </c>
      <c r="Q122" s="131">
        <f t="shared" si="51"/>
        <v>247.54195993696203</v>
      </c>
      <c r="R122" s="131">
        <f t="shared" si="51"/>
        <v>266.70152953633169</v>
      </c>
      <c r="S122" s="131">
        <f t="shared" si="51"/>
        <v>286.05269483169513</v>
      </c>
      <c r="T122" s="131">
        <f t="shared" si="51"/>
        <v>305.59737178001205</v>
      </c>
      <c r="U122" s="131">
        <f t="shared" si="51"/>
        <v>325.33749549781214</v>
      </c>
      <c r="V122" s="131">
        <f t="shared" si="51"/>
        <v>345.27502045279039</v>
      </c>
      <c r="W122" s="131">
        <f t="shared" si="51"/>
        <v>365.41192065731821</v>
      </c>
      <c r="X122" s="131">
        <f t="shared" si="51"/>
        <v>385.75018986389159</v>
      </c>
      <c r="Y122" s="131">
        <f t="shared" si="51"/>
        <v>406.29184176253057</v>
      </c>
      <c r="Z122" s="131">
        <f t="shared" si="51"/>
        <v>427.03891018015611</v>
      </c>
      <c r="AA122" s="131">
        <f t="shared" si="51"/>
        <v>447.99344928195751</v>
      </c>
      <c r="AB122" s="131">
        <f t="shared" si="51"/>
        <v>469.15753377477722</v>
      </c>
    </row>
    <row r="123" spans="1:28" x14ac:dyDescent="0.25">
      <c r="A123" s="103"/>
      <c r="B123" s="103"/>
      <c r="C123" s="103"/>
      <c r="D123" s="131"/>
      <c r="E123" s="131"/>
      <c r="F123" s="131"/>
      <c r="G123" s="131"/>
      <c r="H123" s="131"/>
      <c r="I123" s="131"/>
      <c r="J123" s="131"/>
      <c r="K123" s="131"/>
      <c r="L123" s="131"/>
      <c r="M123" s="131"/>
      <c r="N123" s="131"/>
      <c r="O123" s="131"/>
      <c r="P123" s="131"/>
      <c r="Q123" s="131"/>
      <c r="R123" s="131"/>
      <c r="S123" s="131"/>
      <c r="T123" s="131"/>
      <c r="U123" s="131"/>
      <c r="V123" s="131"/>
      <c r="W123" s="131"/>
      <c r="X123" s="131"/>
      <c r="Y123" s="131"/>
      <c r="Z123" s="131"/>
      <c r="AA123" s="131"/>
      <c r="AB123" s="131"/>
    </row>
    <row r="124" spans="1:28" x14ac:dyDescent="0.25">
      <c r="A124" s="103" t="s">
        <v>183</v>
      </c>
      <c r="B124" s="103"/>
      <c r="C124" s="103"/>
      <c r="D124" s="131"/>
      <c r="E124" s="131"/>
      <c r="F124" s="131"/>
      <c r="G124" s="131"/>
      <c r="H124" s="131"/>
      <c r="I124" s="131"/>
      <c r="J124" s="131"/>
      <c r="K124" s="131"/>
      <c r="L124" s="131"/>
      <c r="M124" s="131"/>
      <c r="N124" s="131"/>
      <c r="O124" s="131"/>
      <c r="P124" s="131"/>
      <c r="Q124" s="131"/>
      <c r="R124" s="131"/>
      <c r="S124" s="131"/>
      <c r="T124" s="131"/>
      <c r="U124" s="131"/>
      <c r="V124" s="131"/>
      <c r="W124" s="131"/>
      <c r="X124" s="131"/>
      <c r="Y124" s="131"/>
      <c r="Z124" s="131"/>
      <c r="AA124" s="131"/>
      <c r="AB124" s="131"/>
    </row>
    <row r="125" spans="1:28" x14ac:dyDescent="0.25">
      <c r="A125" s="103" t="s">
        <v>184</v>
      </c>
      <c r="B125" s="103" t="s">
        <v>51</v>
      </c>
      <c r="C125" s="103"/>
      <c r="D125" s="131"/>
      <c r="E125" s="131"/>
      <c r="F125" s="131"/>
      <c r="G125" s="131"/>
      <c r="H125" s="130">
        <f>H122*D118*100000</f>
        <v>0</v>
      </c>
      <c r="I125" s="130">
        <f t="shared" ref="I125:AB125" si="52">I122*E118*100000</f>
        <v>0</v>
      </c>
      <c r="J125" s="130">
        <f t="shared" si="52"/>
        <v>0</v>
      </c>
      <c r="K125" s="130">
        <f t="shared" si="52"/>
        <v>0</v>
      </c>
      <c r="L125" s="130">
        <f t="shared" si="52"/>
        <v>0</v>
      </c>
      <c r="M125" s="130">
        <f t="shared" si="52"/>
        <v>0</v>
      </c>
      <c r="N125" s="130">
        <f t="shared" si="52"/>
        <v>0</v>
      </c>
      <c r="O125" s="130">
        <f t="shared" si="52"/>
        <v>0</v>
      </c>
      <c r="P125" s="130">
        <f t="shared" si="52"/>
        <v>0</v>
      </c>
      <c r="Q125" s="130">
        <f t="shared" si="52"/>
        <v>0</v>
      </c>
      <c r="R125" s="130">
        <f t="shared" si="52"/>
        <v>0</v>
      </c>
      <c r="S125" s="130">
        <f t="shared" si="52"/>
        <v>0</v>
      </c>
      <c r="T125" s="130">
        <f t="shared" si="52"/>
        <v>0</v>
      </c>
      <c r="U125" s="130">
        <f t="shared" si="52"/>
        <v>0</v>
      </c>
      <c r="V125" s="130">
        <f t="shared" si="52"/>
        <v>0</v>
      </c>
      <c r="W125" s="130">
        <f t="shared" si="52"/>
        <v>0</v>
      </c>
      <c r="X125" s="130">
        <f t="shared" si="52"/>
        <v>0</v>
      </c>
      <c r="Y125" s="130">
        <f t="shared" si="52"/>
        <v>0</v>
      </c>
      <c r="Z125" s="130">
        <f t="shared" si="52"/>
        <v>0</v>
      </c>
      <c r="AA125" s="130">
        <f t="shared" si="52"/>
        <v>0</v>
      </c>
      <c r="AB125" s="130">
        <f t="shared" si="52"/>
        <v>0</v>
      </c>
    </row>
    <row r="126" spans="1:28" x14ac:dyDescent="0.25">
      <c r="A126" s="103" t="s">
        <v>185</v>
      </c>
      <c r="B126" s="103" t="s">
        <v>51</v>
      </c>
      <c r="C126" s="103"/>
      <c r="D126" s="131"/>
      <c r="E126" s="131"/>
      <c r="F126" s="131"/>
      <c r="G126" s="131"/>
      <c r="H126" s="130"/>
      <c r="I126" s="130">
        <f>H122*D118*100000</f>
        <v>0</v>
      </c>
      <c r="J126" s="130">
        <f t="shared" ref="J126:AB126" si="53">I122*E118*100000</f>
        <v>0</v>
      </c>
      <c r="K126" s="130">
        <f t="shared" si="53"/>
        <v>0</v>
      </c>
      <c r="L126" s="130">
        <f t="shared" si="53"/>
        <v>0</v>
      </c>
      <c r="M126" s="130">
        <f t="shared" si="53"/>
        <v>0</v>
      </c>
      <c r="N126" s="130">
        <f t="shared" si="53"/>
        <v>0</v>
      </c>
      <c r="O126" s="130">
        <f t="shared" si="53"/>
        <v>0</v>
      </c>
      <c r="P126" s="130">
        <f t="shared" si="53"/>
        <v>0</v>
      </c>
      <c r="Q126" s="130">
        <f t="shared" si="53"/>
        <v>0</v>
      </c>
      <c r="R126" s="130">
        <f t="shared" si="53"/>
        <v>0</v>
      </c>
      <c r="S126" s="130">
        <f t="shared" si="53"/>
        <v>0</v>
      </c>
      <c r="T126" s="130">
        <f t="shared" si="53"/>
        <v>0</v>
      </c>
      <c r="U126" s="130">
        <f t="shared" si="53"/>
        <v>0</v>
      </c>
      <c r="V126" s="130">
        <f t="shared" si="53"/>
        <v>0</v>
      </c>
      <c r="W126" s="130">
        <f t="shared" si="53"/>
        <v>0</v>
      </c>
      <c r="X126" s="130">
        <f t="shared" si="53"/>
        <v>0</v>
      </c>
      <c r="Y126" s="130">
        <f t="shared" si="53"/>
        <v>0</v>
      </c>
      <c r="Z126" s="130">
        <f t="shared" si="53"/>
        <v>0</v>
      </c>
      <c r="AA126" s="130">
        <f t="shared" si="53"/>
        <v>0</v>
      </c>
      <c r="AB126" s="130">
        <f t="shared" si="53"/>
        <v>0</v>
      </c>
    </row>
    <row r="127" spans="1:28" x14ac:dyDescent="0.25">
      <c r="A127" s="103" t="s">
        <v>186</v>
      </c>
      <c r="B127" s="103" t="s">
        <v>51</v>
      </c>
      <c r="C127" s="103"/>
      <c r="D127" s="131"/>
      <c r="E127" s="131"/>
      <c r="F127" s="131"/>
      <c r="G127" s="131"/>
      <c r="H127" s="130"/>
      <c r="I127" s="130"/>
      <c r="J127" s="130">
        <f>H122*D118*100000</f>
        <v>0</v>
      </c>
      <c r="K127" s="130">
        <f t="shared" ref="K127:AB127" si="54">I122*E118*100000</f>
        <v>0</v>
      </c>
      <c r="L127" s="130">
        <f t="shared" si="54"/>
        <v>0</v>
      </c>
      <c r="M127" s="130">
        <f t="shared" si="54"/>
        <v>0</v>
      </c>
      <c r="N127" s="130">
        <f t="shared" si="54"/>
        <v>0</v>
      </c>
      <c r="O127" s="130">
        <f t="shared" si="54"/>
        <v>0</v>
      </c>
      <c r="P127" s="130">
        <f t="shared" si="54"/>
        <v>0</v>
      </c>
      <c r="Q127" s="130">
        <f t="shared" si="54"/>
        <v>0</v>
      </c>
      <c r="R127" s="130">
        <f t="shared" si="54"/>
        <v>0</v>
      </c>
      <c r="S127" s="130">
        <f t="shared" si="54"/>
        <v>0</v>
      </c>
      <c r="T127" s="130">
        <f t="shared" si="54"/>
        <v>0</v>
      </c>
      <c r="U127" s="130">
        <f t="shared" si="54"/>
        <v>0</v>
      </c>
      <c r="V127" s="130">
        <f t="shared" si="54"/>
        <v>0</v>
      </c>
      <c r="W127" s="130">
        <f t="shared" si="54"/>
        <v>0</v>
      </c>
      <c r="X127" s="130">
        <f t="shared" si="54"/>
        <v>0</v>
      </c>
      <c r="Y127" s="130">
        <f t="shared" si="54"/>
        <v>0</v>
      </c>
      <c r="Z127" s="130">
        <f t="shared" si="54"/>
        <v>0</v>
      </c>
      <c r="AA127" s="130">
        <f t="shared" si="54"/>
        <v>0</v>
      </c>
      <c r="AB127" s="130">
        <f t="shared" si="54"/>
        <v>0</v>
      </c>
    </row>
    <row r="128" spans="1:28" x14ac:dyDescent="0.25">
      <c r="A128" s="103" t="s">
        <v>187</v>
      </c>
      <c r="B128" s="103" t="s">
        <v>51</v>
      </c>
      <c r="C128" s="103"/>
      <c r="D128" s="131"/>
      <c r="E128" s="131"/>
      <c r="F128" s="131"/>
      <c r="G128" s="131"/>
      <c r="H128" s="130"/>
      <c r="I128" s="130"/>
      <c r="J128" s="130"/>
      <c r="K128" s="130">
        <f>H122*D118*100000</f>
        <v>0</v>
      </c>
      <c r="L128" s="130">
        <f t="shared" ref="L128:AB128" si="55">I122*E118*100000</f>
        <v>0</v>
      </c>
      <c r="M128" s="130">
        <f t="shared" si="55"/>
        <v>0</v>
      </c>
      <c r="N128" s="130">
        <f t="shared" si="55"/>
        <v>0</v>
      </c>
      <c r="O128" s="130">
        <f t="shared" si="55"/>
        <v>0</v>
      </c>
      <c r="P128" s="130">
        <f t="shared" si="55"/>
        <v>0</v>
      </c>
      <c r="Q128" s="130">
        <f t="shared" si="55"/>
        <v>0</v>
      </c>
      <c r="R128" s="130">
        <f t="shared" si="55"/>
        <v>0</v>
      </c>
      <c r="S128" s="130">
        <f t="shared" si="55"/>
        <v>0</v>
      </c>
      <c r="T128" s="130">
        <f t="shared" si="55"/>
        <v>0</v>
      </c>
      <c r="U128" s="130">
        <f t="shared" si="55"/>
        <v>0</v>
      </c>
      <c r="V128" s="130">
        <f t="shared" si="55"/>
        <v>0</v>
      </c>
      <c r="W128" s="130">
        <f t="shared" si="55"/>
        <v>0</v>
      </c>
      <c r="X128" s="130">
        <f t="shared" si="55"/>
        <v>0</v>
      </c>
      <c r="Y128" s="130">
        <f t="shared" si="55"/>
        <v>0</v>
      </c>
      <c r="Z128" s="130">
        <f t="shared" si="55"/>
        <v>0</v>
      </c>
      <c r="AA128" s="130">
        <f t="shared" si="55"/>
        <v>0</v>
      </c>
      <c r="AB128" s="130">
        <f t="shared" si="55"/>
        <v>0</v>
      </c>
    </row>
    <row r="129" spans="1:28" x14ac:dyDescent="0.25">
      <c r="A129" s="103" t="s">
        <v>188</v>
      </c>
      <c r="B129" s="103" t="s">
        <v>51</v>
      </c>
      <c r="C129" s="103"/>
      <c r="D129" s="131"/>
      <c r="E129" s="131"/>
      <c r="F129" s="131"/>
      <c r="G129" s="131"/>
      <c r="H129" s="130"/>
      <c r="I129" s="130"/>
      <c r="J129" s="130"/>
      <c r="K129" s="130"/>
      <c r="L129" s="130">
        <f>H122*D118*100000</f>
        <v>0</v>
      </c>
      <c r="M129" s="130">
        <f>I122*E118*100000</f>
        <v>0</v>
      </c>
      <c r="N129" s="130">
        <f t="shared" ref="N129:AB129" si="56">J122*F118*100000</f>
        <v>0</v>
      </c>
      <c r="O129" s="130">
        <f t="shared" si="56"/>
        <v>0</v>
      </c>
      <c r="P129" s="130">
        <f t="shared" si="56"/>
        <v>0</v>
      </c>
      <c r="Q129" s="130">
        <f t="shared" si="56"/>
        <v>0</v>
      </c>
      <c r="R129" s="130">
        <f t="shared" si="56"/>
        <v>0</v>
      </c>
      <c r="S129" s="130">
        <f t="shared" si="56"/>
        <v>0</v>
      </c>
      <c r="T129" s="130">
        <f t="shared" si="56"/>
        <v>0</v>
      </c>
      <c r="U129" s="130">
        <f t="shared" si="56"/>
        <v>0</v>
      </c>
      <c r="V129" s="130">
        <f t="shared" si="56"/>
        <v>0</v>
      </c>
      <c r="W129" s="130">
        <f t="shared" si="56"/>
        <v>0</v>
      </c>
      <c r="X129" s="130">
        <f t="shared" si="56"/>
        <v>0</v>
      </c>
      <c r="Y129" s="130">
        <f t="shared" si="56"/>
        <v>0</v>
      </c>
      <c r="Z129" s="130">
        <f t="shared" si="56"/>
        <v>0</v>
      </c>
      <c r="AA129" s="130">
        <f t="shared" si="56"/>
        <v>0</v>
      </c>
      <c r="AB129" s="130">
        <f t="shared" si="56"/>
        <v>0</v>
      </c>
    </row>
    <row r="130" spans="1:28" x14ac:dyDescent="0.25">
      <c r="A130" s="104" t="s">
        <v>31</v>
      </c>
      <c r="B130" s="104" t="s">
        <v>51</v>
      </c>
      <c r="C130" s="103"/>
      <c r="D130" s="131"/>
      <c r="E130" s="131"/>
      <c r="F130" s="131"/>
      <c r="G130" s="131"/>
      <c r="H130" s="141">
        <f>SUM(H125:H129)</f>
        <v>0</v>
      </c>
      <c r="I130" s="141">
        <f t="shared" ref="I130:AB130" si="57">SUM(I125:I129)</f>
        <v>0</v>
      </c>
      <c r="J130" s="141">
        <f t="shared" si="57"/>
        <v>0</v>
      </c>
      <c r="K130" s="141">
        <f t="shared" si="57"/>
        <v>0</v>
      </c>
      <c r="L130" s="141">
        <f t="shared" si="57"/>
        <v>0</v>
      </c>
      <c r="M130" s="141">
        <f t="shared" si="57"/>
        <v>0</v>
      </c>
      <c r="N130" s="141">
        <f t="shared" si="57"/>
        <v>0</v>
      </c>
      <c r="O130" s="141">
        <f t="shared" si="57"/>
        <v>0</v>
      </c>
      <c r="P130" s="141">
        <f t="shared" si="57"/>
        <v>0</v>
      </c>
      <c r="Q130" s="141">
        <f t="shared" si="57"/>
        <v>0</v>
      </c>
      <c r="R130" s="141">
        <f t="shared" si="57"/>
        <v>0</v>
      </c>
      <c r="S130" s="141">
        <f t="shared" si="57"/>
        <v>0</v>
      </c>
      <c r="T130" s="141">
        <f t="shared" si="57"/>
        <v>0</v>
      </c>
      <c r="U130" s="141">
        <f t="shared" si="57"/>
        <v>0</v>
      </c>
      <c r="V130" s="141">
        <f t="shared" si="57"/>
        <v>0</v>
      </c>
      <c r="W130" s="141">
        <f t="shared" si="57"/>
        <v>0</v>
      </c>
      <c r="X130" s="141">
        <f t="shared" si="57"/>
        <v>0</v>
      </c>
      <c r="Y130" s="141">
        <f t="shared" si="57"/>
        <v>0</v>
      </c>
      <c r="Z130" s="141">
        <f t="shared" si="57"/>
        <v>0</v>
      </c>
      <c r="AA130" s="141">
        <f t="shared" si="57"/>
        <v>0</v>
      </c>
      <c r="AB130" s="141">
        <f t="shared" si="57"/>
        <v>0</v>
      </c>
    </row>
    <row r="131" spans="1:28" x14ac:dyDescent="0.25">
      <c r="A131" s="120"/>
      <c r="B131" s="103"/>
      <c r="C131" s="103"/>
      <c r="D131" s="131"/>
      <c r="E131" s="131"/>
      <c r="F131" s="131"/>
      <c r="G131" s="131"/>
      <c r="H131" s="131"/>
      <c r="I131" s="131"/>
      <c r="J131" s="131"/>
      <c r="K131" s="131"/>
      <c r="L131" s="131"/>
      <c r="M131" s="131"/>
      <c r="N131" s="131"/>
      <c r="O131" s="131"/>
      <c r="P131" s="131"/>
      <c r="Q131" s="131"/>
      <c r="R131" s="131"/>
      <c r="S131" s="131"/>
      <c r="T131" s="131"/>
      <c r="U131" s="131"/>
      <c r="V131" s="131"/>
      <c r="W131" s="131"/>
      <c r="X131" s="131"/>
      <c r="Y131" s="131"/>
      <c r="Z131" s="131"/>
      <c r="AA131" s="131"/>
      <c r="AB131" s="131"/>
    </row>
    <row r="132" spans="1:28" ht="51" customHeight="1" x14ac:dyDescent="0.25">
      <c r="A132" s="215" t="s">
        <v>57</v>
      </c>
      <c r="B132" s="216" t="s">
        <v>55</v>
      </c>
      <c r="C132" s="217"/>
      <c r="D132" s="218"/>
      <c r="E132" s="218"/>
      <c r="F132" s="218"/>
      <c r="G132" s="218"/>
      <c r="H132" s="218">
        <f>(H130*365/$D$109)*1.03/1000/1000</f>
        <v>0</v>
      </c>
      <c r="I132" s="218">
        <f>((H130*($D$109-365)/$D$109)+(I130*365/$D$109))*1.03/1000/1000</f>
        <v>0</v>
      </c>
      <c r="J132" s="218">
        <f t="shared" ref="J132:AB132" si="58">((I130*($D$109-365)/$D$109)+(J130*365/$D$109))*1.03/1000/1000</f>
        <v>0</v>
      </c>
      <c r="K132" s="218">
        <f t="shared" si="58"/>
        <v>0</v>
      </c>
      <c r="L132" s="218">
        <f t="shared" si="58"/>
        <v>0</v>
      </c>
      <c r="M132" s="218">
        <f t="shared" si="58"/>
        <v>0</v>
      </c>
      <c r="N132" s="218">
        <f t="shared" si="58"/>
        <v>0</v>
      </c>
      <c r="O132" s="218">
        <f t="shared" si="58"/>
        <v>0</v>
      </c>
      <c r="P132" s="218">
        <f t="shared" si="58"/>
        <v>0</v>
      </c>
      <c r="Q132" s="218">
        <f t="shared" si="58"/>
        <v>0</v>
      </c>
      <c r="R132" s="218">
        <f t="shared" si="58"/>
        <v>0</v>
      </c>
      <c r="S132" s="218">
        <f t="shared" si="58"/>
        <v>0</v>
      </c>
      <c r="T132" s="218">
        <f t="shared" si="58"/>
        <v>0</v>
      </c>
      <c r="U132" s="218">
        <f t="shared" si="58"/>
        <v>0</v>
      </c>
      <c r="V132" s="218">
        <f t="shared" si="58"/>
        <v>0</v>
      </c>
      <c r="W132" s="218">
        <f t="shared" si="58"/>
        <v>0</v>
      </c>
      <c r="X132" s="218">
        <f t="shared" si="58"/>
        <v>0</v>
      </c>
      <c r="Y132" s="218">
        <f t="shared" si="58"/>
        <v>0</v>
      </c>
      <c r="Z132" s="218">
        <f t="shared" si="58"/>
        <v>0</v>
      </c>
      <c r="AA132" s="218">
        <f t="shared" si="58"/>
        <v>0</v>
      </c>
      <c r="AB132" s="218">
        <f t="shared" si="58"/>
        <v>0</v>
      </c>
    </row>
    <row r="133" spans="1:28" x14ac:dyDescent="0.25">
      <c r="A133" s="103"/>
      <c r="B133" s="103"/>
      <c r="C133" s="103"/>
      <c r="D133" s="103"/>
      <c r="E133" s="103"/>
      <c r="F133" s="103"/>
      <c r="G133" s="103"/>
      <c r="H133" s="103"/>
      <c r="I133" s="103"/>
      <c r="J133" s="103"/>
      <c r="K133" s="103"/>
      <c r="L133" s="103"/>
      <c r="M133" s="103"/>
      <c r="N133" s="103"/>
      <c r="O133" s="103"/>
      <c r="P133" s="103"/>
      <c r="Q133" s="103"/>
      <c r="R133" s="103"/>
    </row>
    <row r="134" spans="1:28" ht="38.25" x14ac:dyDescent="0.25">
      <c r="A134" s="142" t="s">
        <v>213</v>
      </c>
      <c r="B134" s="143" t="s">
        <v>55</v>
      </c>
      <c r="C134" s="144"/>
      <c r="D134" s="145">
        <f t="shared" ref="D134:AB134" si="59">D132+D115</f>
        <v>0</v>
      </c>
      <c r="E134" s="145">
        <f t="shared" si="59"/>
        <v>0</v>
      </c>
      <c r="F134" s="145">
        <f t="shared" si="59"/>
        <v>0</v>
      </c>
      <c r="G134" s="145">
        <f t="shared" si="59"/>
        <v>0</v>
      </c>
      <c r="H134" s="145">
        <f t="shared" si="59"/>
        <v>0</v>
      </c>
      <c r="I134" s="145">
        <f t="shared" si="59"/>
        <v>0</v>
      </c>
      <c r="J134" s="145">
        <f t="shared" si="59"/>
        <v>0</v>
      </c>
      <c r="K134" s="145">
        <f t="shared" si="59"/>
        <v>0</v>
      </c>
      <c r="L134" s="145">
        <f t="shared" si="59"/>
        <v>0</v>
      </c>
      <c r="M134" s="145">
        <f t="shared" si="59"/>
        <v>0</v>
      </c>
      <c r="N134" s="145">
        <f t="shared" si="59"/>
        <v>0</v>
      </c>
      <c r="O134" s="145">
        <f t="shared" si="59"/>
        <v>0</v>
      </c>
      <c r="P134" s="145">
        <f t="shared" si="59"/>
        <v>0</v>
      </c>
      <c r="Q134" s="145">
        <f t="shared" si="59"/>
        <v>0</v>
      </c>
      <c r="R134" s="145">
        <f t="shared" si="59"/>
        <v>0</v>
      </c>
      <c r="S134" s="145">
        <f t="shared" si="59"/>
        <v>0</v>
      </c>
      <c r="T134" s="145">
        <f t="shared" si="59"/>
        <v>0</v>
      </c>
      <c r="U134" s="145">
        <f t="shared" si="59"/>
        <v>0</v>
      </c>
      <c r="V134" s="145">
        <f t="shared" si="59"/>
        <v>0</v>
      </c>
      <c r="W134" s="145">
        <f t="shared" si="59"/>
        <v>0</v>
      </c>
      <c r="X134" s="145">
        <f t="shared" si="59"/>
        <v>0</v>
      </c>
      <c r="Y134" s="145">
        <f t="shared" si="59"/>
        <v>0</v>
      </c>
      <c r="Z134" s="145">
        <f t="shared" si="59"/>
        <v>0</v>
      </c>
      <c r="AA134" s="145">
        <f t="shared" si="59"/>
        <v>0</v>
      </c>
      <c r="AB134" s="145">
        <f t="shared" si="59"/>
        <v>0</v>
      </c>
    </row>
    <row r="137" spans="1:28" x14ac:dyDescent="0.25">
      <c r="A137" s="107" t="s">
        <v>195</v>
      </c>
    </row>
    <row r="138" spans="1:28" x14ac:dyDescent="0.25">
      <c r="A138" s="118" t="s">
        <v>206</v>
      </c>
      <c r="B138" s="140" t="s">
        <v>55</v>
      </c>
      <c r="C138" s="112">
        <f t="shared" ref="C138:AB138" si="60">C39+C86+C115</f>
        <v>0</v>
      </c>
      <c r="D138" s="112">
        <f t="shared" si="60"/>
        <v>0</v>
      </c>
      <c r="E138" s="112">
        <f t="shared" si="60"/>
        <v>0</v>
      </c>
      <c r="F138" s="112">
        <f t="shared" si="60"/>
        <v>0</v>
      </c>
      <c r="G138" s="112">
        <f t="shared" si="60"/>
        <v>0</v>
      </c>
      <c r="H138" s="112">
        <f t="shared" si="60"/>
        <v>0</v>
      </c>
      <c r="I138" s="112">
        <f t="shared" si="60"/>
        <v>0</v>
      </c>
      <c r="J138" s="112">
        <f t="shared" si="60"/>
        <v>0</v>
      </c>
      <c r="K138" s="112">
        <f t="shared" si="60"/>
        <v>0</v>
      </c>
      <c r="L138" s="112">
        <f t="shared" si="60"/>
        <v>0</v>
      </c>
      <c r="M138" s="112">
        <f t="shared" si="60"/>
        <v>0</v>
      </c>
      <c r="N138" s="112">
        <f t="shared" si="60"/>
        <v>0</v>
      </c>
      <c r="O138" s="112">
        <f t="shared" si="60"/>
        <v>0</v>
      </c>
      <c r="P138" s="112">
        <f t="shared" si="60"/>
        <v>0</v>
      </c>
      <c r="Q138" s="112">
        <f t="shared" si="60"/>
        <v>0</v>
      </c>
      <c r="R138" s="112">
        <f t="shared" si="60"/>
        <v>0</v>
      </c>
      <c r="S138" s="112">
        <f t="shared" si="60"/>
        <v>0</v>
      </c>
      <c r="T138" s="112">
        <f t="shared" si="60"/>
        <v>0</v>
      </c>
      <c r="U138" s="112">
        <f t="shared" si="60"/>
        <v>0</v>
      </c>
      <c r="V138" s="112">
        <f t="shared" si="60"/>
        <v>0</v>
      </c>
      <c r="W138" s="112">
        <f t="shared" si="60"/>
        <v>0</v>
      </c>
      <c r="X138" s="112">
        <f t="shared" si="60"/>
        <v>0</v>
      </c>
      <c r="Y138" s="112">
        <f t="shared" si="60"/>
        <v>0</v>
      </c>
      <c r="Z138" s="112">
        <f t="shared" si="60"/>
        <v>0</v>
      </c>
      <c r="AA138" s="112">
        <f t="shared" si="60"/>
        <v>0</v>
      </c>
      <c r="AB138" s="112">
        <f t="shared" si="60"/>
        <v>0</v>
      </c>
    </row>
    <row r="139" spans="1:28" x14ac:dyDescent="0.25">
      <c r="A139" s="108" t="s">
        <v>144</v>
      </c>
      <c r="B139" s="140" t="s">
        <v>55</v>
      </c>
      <c r="C139" s="112">
        <f t="shared" ref="C139:AB139" si="61">C73+C102+C132</f>
        <v>0</v>
      </c>
      <c r="D139" s="112">
        <f t="shared" si="61"/>
        <v>0</v>
      </c>
      <c r="E139" s="112">
        <f t="shared" si="61"/>
        <v>0</v>
      </c>
      <c r="F139" s="112">
        <f t="shared" si="61"/>
        <v>0</v>
      </c>
      <c r="G139" s="112">
        <f t="shared" si="61"/>
        <v>0</v>
      </c>
      <c r="H139" s="112">
        <f t="shared" si="61"/>
        <v>0</v>
      </c>
      <c r="I139" s="112">
        <f t="shared" si="61"/>
        <v>0</v>
      </c>
      <c r="J139" s="112">
        <f t="shared" si="61"/>
        <v>0</v>
      </c>
      <c r="K139" s="112">
        <f t="shared" si="61"/>
        <v>0</v>
      </c>
      <c r="L139" s="112">
        <f t="shared" si="61"/>
        <v>0</v>
      </c>
      <c r="M139" s="112">
        <f t="shared" si="61"/>
        <v>0</v>
      </c>
      <c r="N139" s="112">
        <f t="shared" si="61"/>
        <v>0</v>
      </c>
      <c r="O139" s="112">
        <f t="shared" si="61"/>
        <v>0</v>
      </c>
      <c r="P139" s="112">
        <f t="shared" si="61"/>
        <v>0</v>
      </c>
      <c r="Q139" s="112">
        <f t="shared" si="61"/>
        <v>0</v>
      </c>
      <c r="R139" s="112">
        <f t="shared" si="61"/>
        <v>0</v>
      </c>
      <c r="S139" s="112">
        <f t="shared" si="61"/>
        <v>0</v>
      </c>
      <c r="T139" s="112">
        <f t="shared" si="61"/>
        <v>0</v>
      </c>
      <c r="U139" s="112">
        <f t="shared" si="61"/>
        <v>0</v>
      </c>
      <c r="V139" s="112">
        <f t="shared" si="61"/>
        <v>0</v>
      </c>
      <c r="W139" s="112">
        <f t="shared" si="61"/>
        <v>0</v>
      </c>
      <c r="X139" s="112">
        <f t="shared" si="61"/>
        <v>0</v>
      </c>
      <c r="Y139" s="112">
        <f t="shared" si="61"/>
        <v>0</v>
      </c>
      <c r="Z139" s="112">
        <f t="shared" si="61"/>
        <v>0</v>
      </c>
      <c r="AA139" s="112">
        <f t="shared" si="61"/>
        <v>0</v>
      </c>
      <c r="AB139" s="112">
        <f t="shared" si="61"/>
        <v>0</v>
      </c>
    </row>
    <row r="140" spans="1:28" x14ac:dyDescent="0.25">
      <c r="A140" s="107" t="s">
        <v>194</v>
      </c>
      <c r="B140" s="137" t="s">
        <v>55</v>
      </c>
      <c r="C140" s="148">
        <f>SUM(C138:C139)</f>
        <v>0</v>
      </c>
      <c r="D140" s="148">
        <f t="shared" ref="D140:AB140" si="62">SUM(D138:D139)</f>
        <v>0</v>
      </c>
      <c r="E140" s="148">
        <f t="shared" si="62"/>
        <v>0</v>
      </c>
      <c r="F140" s="148">
        <f t="shared" si="62"/>
        <v>0</v>
      </c>
      <c r="G140" s="148">
        <f t="shared" si="62"/>
        <v>0</v>
      </c>
      <c r="H140" s="148">
        <f t="shared" si="62"/>
        <v>0</v>
      </c>
      <c r="I140" s="148">
        <f t="shared" si="62"/>
        <v>0</v>
      </c>
      <c r="J140" s="148">
        <f t="shared" si="62"/>
        <v>0</v>
      </c>
      <c r="K140" s="148">
        <f t="shared" si="62"/>
        <v>0</v>
      </c>
      <c r="L140" s="148">
        <f t="shared" si="62"/>
        <v>0</v>
      </c>
      <c r="M140" s="148">
        <f t="shared" si="62"/>
        <v>0</v>
      </c>
      <c r="N140" s="148">
        <f t="shared" si="62"/>
        <v>0</v>
      </c>
      <c r="O140" s="148">
        <f t="shared" si="62"/>
        <v>0</v>
      </c>
      <c r="P140" s="148">
        <f t="shared" si="62"/>
        <v>0</v>
      </c>
      <c r="Q140" s="148">
        <f t="shared" si="62"/>
        <v>0</v>
      </c>
      <c r="R140" s="148">
        <f t="shared" si="62"/>
        <v>0</v>
      </c>
      <c r="S140" s="148">
        <f t="shared" si="62"/>
        <v>0</v>
      </c>
      <c r="T140" s="148">
        <f t="shared" si="62"/>
        <v>0</v>
      </c>
      <c r="U140" s="148">
        <f t="shared" si="62"/>
        <v>0</v>
      </c>
      <c r="V140" s="148">
        <f t="shared" si="62"/>
        <v>0</v>
      </c>
      <c r="W140" s="148">
        <f t="shared" si="62"/>
        <v>0</v>
      </c>
      <c r="X140" s="148">
        <f t="shared" si="62"/>
        <v>0</v>
      </c>
      <c r="Y140" s="148">
        <f t="shared" si="62"/>
        <v>0</v>
      </c>
      <c r="Z140" s="148">
        <f t="shared" si="62"/>
        <v>0</v>
      </c>
      <c r="AA140" s="148">
        <f t="shared" si="62"/>
        <v>0</v>
      </c>
      <c r="AB140" s="148">
        <f t="shared" si="62"/>
        <v>0</v>
      </c>
    </row>
    <row r="141" spans="1:28" x14ac:dyDescent="0.25">
      <c r="A141" s="107"/>
      <c r="B141" s="149"/>
      <c r="C141" s="150">
        <f t="shared" ref="C141:AB141" si="63">C134+C104+C75</f>
        <v>0</v>
      </c>
      <c r="D141" s="150">
        <f t="shared" si="63"/>
        <v>0</v>
      </c>
      <c r="E141" s="150">
        <f t="shared" si="63"/>
        <v>0</v>
      </c>
      <c r="F141" s="150">
        <f t="shared" si="63"/>
        <v>0</v>
      </c>
      <c r="G141" s="150">
        <f t="shared" si="63"/>
        <v>0</v>
      </c>
      <c r="H141" s="150">
        <f t="shared" si="63"/>
        <v>0</v>
      </c>
      <c r="I141" s="150">
        <f t="shared" si="63"/>
        <v>0</v>
      </c>
      <c r="J141" s="150">
        <f t="shared" si="63"/>
        <v>0</v>
      </c>
      <c r="K141" s="150">
        <f t="shared" si="63"/>
        <v>0</v>
      </c>
      <c r="L141" s="150">
        <f t="shared" si="63"/>
        <v>0</v>
      </c>
      <c r="M141" s="150">
        <f t="shared" si="63"/>
        <v>0</v>
      </c>
      <c r="N141" s="150">
        <f t="shared" si="63"/>
        <v>0</v>
      </c>
      <c r="O141" s="150">
        <f t="shared" si="63"/>
        <v>0</v>
      </c>
      <c r="P141" s="150">
        <f t="shared" si="63"/>
        <v>0</v>
      </c>
      <c r="Q141" s="150">
        <f t="shared" si="63"/>
        <v>0</v>
      </c>
      <c r="R141" s="150">
        <f t="shared" si="63"/>
        <v>0</v>
      </c>
      <c r="S141" s="150">
        <f t="shared" si="63"/>
        <v>0</v>
      </c>
      <c r="T141" s="150">
        <f t="shared" si="63"/>
        <v>0</v>
      </c>
      <c r="U141" s="150">
        <f t="shared" si="63"/>
        <v>0</v>
      </c>
      <c r="V141" s="150">
        <f t="shared" si="63"/>
        <v>0</v>
      </c>
      <c r="W141" s="150">
        <f t="shared" si="63"/>
        <v>0</v>
      </c>
      <c r="X141" s="150">
        <f t="shared" si="63"/>
        <v>0</v>
      </c>
      <c r="Y141" s="150">
        <f t="shared" si="63"/>
        <v>0</v>
      </c>
      <c r="Z141" s="150">
        <f t="shared" si="63"/>
        <v>0</v>
      </c>
      <c r="AA141" s="150">
        <f t="shared" si="63"/>
        <v>0</v>
      </c>
      <c r="AB141" s="150">
        <f t="shared" si="63"/>
        <v>0</v>
      </c>
    </row>
  </sheetData>
  <mergeCells count="6">
    <mergeCell ref="A8:H8"/>
    <mergeCell ref="A3:H3"/>
    <mergeCell ref="A4:H4"/>
    <mergeCell ref="A5:H5"/>
    <mergeCell ref="A6:H6"/>
    <mergeCell ref="A7:H7"/>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59"/>
  <sheetViews>
    <sheetView topLeftCell="A43" workbookViewId="0">
      <selection activeCell="B17" sqref="B17:B20"/>
    </sheetView>
  </sheetViews>
  <sheetFormatPr defaultRowHeight="15" x14ac:dyDescent="0.3"/>
  <cols>
    <col min="1" max="1" width="9.140625" style="55"/>
    <col min="2" max="2" width="18.7109375" style="55" customWidth="1"/>
    <col min="3" max="3" width="18.140625" style="55" bestFit="1" customWidth="1"/>
    <col min="4" max="7" width="9.28515625" style="55" bestFit="1" customWidth="1"/>
    <col min="8" max="8" width="9.42578125" style="55" bestFit="1" customWidth="1"/>
    <col min="9" max="9" width="9.5703125" style="55" bestFit="1" customWidth="1"/>
    <col min="10" max="10" width="9.28515625" style="55" bestFit="1" customWidth="1"/>
    <col min="11" max="11" width="9.42578125" style="55" bestFit="1" customWidth="1"/>
    <col min="12" max="16384" width="9.140625" style="55"/>
  </cols>
  <sheetData>
    <row r="1" spans="1:16" ht="15.75" x14ac:dyDescent="0.3">
      <c r="A1" s="428" t="s">
        <v>84</v>
      </c>
      <c r="B1" s="428"/>
      <c r="C1" s="428"/>
      <c r="D1" s="428"/>
      <c r="E1" s="428"/>
      <c r="F1" s="428"/>
      <c r="G1" s="428"/>
      <c r="H1" s="428"/>
      <c r="I1" s="428"/>
      <c r="J1" s="428"/>
      <c r="K1" s="428"/>
    </row>
    <row r="2" spans="1:16" x14ac:dyDescent="0.3">
      <c r="A2" s="56" t="s">
        <v>85</v>
      </c>
      <c r="B2" s="56" t="s">
        <v>86</v>
      </c>
      <c r="C2" s="56" t="s">
        <v>64</v>
      </c>
      <c r="D2" s="57" t="s">
        <v>87</v>
      </c>
      <c r="E2" s="57" t="s">
        <v>88</v>
      </c>
      <c r="F2" s="102" t="s">
        <v>89</v>
      </c>
      <c r="G2" s="102" t="s">
        <v>90</v>
      </c>
      <c r="H2" s="102" t="s">
        <v>91</v>
      </c>
      <c r="I2" s="102" t="s">
        <v>92</v>
      </c>
      <c r="J2" s="102" t="s">
        <v>93</v>
      </c>
      <c r="K2" s="102" t="s">
        <v>94</v>
      </c>
    </row>
    <row r="3" spans="1:16" x14ac:dyDescent="0.3">
      <c r="A3" s="58">
        <v>1</v>
      </c>
      <c r="B3" s="58" t="s">
        <v>95</v>
      </c>
      <c r="C3" s="58" t="s">
        <v>96</v>
      </c>
      <c r="D3" s="59">
        <v>0</v>
      </c>
      <c r="E3" s="59">
        <v>0</v>
      </c>
      <c r="F3" s="60">
        <v>12.239999999999998</v>
      </c>
      <c r="G3" s="60">
        <v>23.256</v>
      </c>
      <c r="H3" s="60">
        <v>34.272000000000006</v>
      </c>
      <c r="I3" s="60">
        <v>45.288000000000004</v>
      </c>
      <c r="J3" s="60">
        <v>62.150399999999991</v>
      </c>
      <c r="K3" s="60">
        <f>66.3984</f>
        <v>66.398399999999995</v>
      </c>
      <c r="L3" s="61"/>
      <c r="M3" s="61"/>
      <c r="N3" s="62"/>
    </row>
    <row r="4" spans="1:16" x14ac:dyDescent="0.3">
      <c r="A4" s="58">
        <v>2</v>
      </c>
      <c r="B4" s="58" t="s">
        <v>97</v>
      </c>
      <c r="C4" s="58" t="s">
        <v>98</v>
      </c>
      <c r="D4" s="59">
        <v>0</v>
      </c>
      <c r="E4" s="60">
        <v>14</v>
      </c>
      <c r="F4" s="60">
        <v>14</v>
      </c>
      <c r="G4" s="60">
        <v>22.327199999999998</v>
      </c>
      <c r="H4" s="60">
        <v>29.821679999999994</v>
      </c>
      <c r="I4" s="60">
        <v>36.566711999999995</v>
      </c>
      <c r="J4" s="60">
        <v>55.338040799999987</v>
      </c>
      <c r="K4" s="60">
        <v>71.150316719999992</v>
      </c>
      <c r="L4" s="61"/>
      <c r="M4" s="61"/>
      <c r="N4" s="62"/>
    </row>
    <row r="5" spans="1:16" x14ac:dyDescent="0.3">
      <c r="A5" s="58">
        <v>3</v>
      </c>
      <c r="B5" s="58" t="s">
        <v>97</v>
      </c>
      <c r="C5" s="58" t="s">
        <v>65</v>
      </c>
      <c r="D5" s="60">
        <v>0</v>
      </c>
      <c r="E5" s="60">
        <v>12</v>
      </c>
      <c r="F5" s="60">
        <v>14</v>
      </c>
      <c r="G5" s="60">
        <v>21.999599999999997</v>
      </c>
      <c r="H5" s="60">
        <v>29.199239999999993</v>
      </c>
      <c r="I5" s="60">
        <v>35.678915999999994</v>
      </c>
      <c r="J5" s="60">
        <v>41.51062439999999</v>
      </c>
      <c r="K5" s="60">
        <v>55.436361959999985</v>
      </c>
      <c r="L5" s="62"/>
      <c r="M5" s="62"/>
      <c r="N5" s="62"/>
    </row>
    <row r="6" spans="1:16" x14ac:dyDescent="0.3">
      <c r="A6" s="58">
        <v>4</v>
      </c>
      <c r="B6" s="58" t="s">
        <v>99</v>
      </c>
      <c r="C6" s="58" t="s">
        <v>66</v>
      </c>
      <c r="D6" s="60">
        <v>0</v>
      </c>
      <c r="E6" s="59">
        <v>0</v>
      </c>
      <c r="F6" s="60">
        <v>6</v>
      </c>
      <c r="G6" s="60">
        <v>11.4</v>
      </c>
      <c r="H6" s="60">
        <v>16.259999999999998</v>
      </c>
      <c r="I6" s="60">
        <v>20.633999999999997</v>
      </c>
      <c r="J6" s="60">
        <v>24.570599999999999</v>
      </c>
      <c r="K6" s="60">
        <v>24.282539999999994</v>
      </c>
      <c r="L6" s="62"/>
      <c r="M6" s="62"/>
      <c r="N6" s="62"/>
    </row>
    <row r="7" spans="1:16" x14ac:dyDescent="0.3">
      <c r="A7" s="58">
        <v>5</v>
      </c>
      <c r="B7" s="58" t="s">
        <v>100</v>
      </c>
      <c r="C7" s="58" t="s">
        <v>66</v>
      </c>
      <c r="D7" s="60">
        <v>0</v>
      </c>
      <c r="E7" s="59">
        <v>0</v>
      </c>
      <c r="F7" s="60">
        <v>6</v>
      </c>
      <c r="G7" s="60">
        <v>11.76</v>
      </c>
      <c r="H7" s="60">
        <v>16.943999999999996</v>
      </c>
      <c r="I7" s="60">
        <v>21.609599999999997</v>
      </c>
      <c r="J7" s="60">
        <v>25.808639999999997</v>
      </c>
      <c r="K7" s="60">
        <v>25.341275999999993</v>
      </c>
      <c r="L7" s="62"/>
      <c r="M7" s="62"/>
      <c r="N7" s="62"/>
    </row>
    <row r="8" spans="1:16" x14ac:dyDescent="0.3">
      <c r="A8" s="58">
        <v>6</v>
      </c>
      <c r="B8" s="58" t="s">
        <v>101</v>
      </c>
      <c r="C8" s="58" t="s">
        <v>65</v>
      </c>
      <c r="D8" s="60">
        <v>0</v>
      </c>
      <c r="E8" s="59">
        <v>0</v>
      </c>
      <c r="F8" s="60">
        <v>8.4</v>
      </c>
      <c r="G8" s="60">
        <v>15.959999999999999</v>
      </c>
      <c r="H8" s="60">
        <v>22.763999999999999</v>
      </c>
      <c r="I8" s="60">
        <v>28.887599999999999</v>
      </c>
      <c r="J8" s="60">
        <v>34.39884</v>
      </c>
      <c r="K8" s="60">
        <v>35.450000000000003</v>
      </c>
      <c r="L8" s="62"/>
      <c r="M8" s="62"/>
      <c r="N8" s="62"/>
    </row>
    <row r="9" spans="1:16" x14ac:dyDescent="0.3">
      <c r="A9" s="58">
        <v>7</v>
      </c>
      <c r="B9" s="58" t="s">
        <v>102</v>
      </c>
      <c r="C9" s="58" t="s">
        <v>65</v>
      </c>
      <c r="D9" s="63"/>
      <c r="E9" s="60">
        <v>0</v>
      </c>
      <c r="F9" s="59">
        <v>0</v>
      </c>
      <c r="G9" s="60">
        <v>0</v>
      </c>
      <c r="H9" s="60">
        <v>6</v>
      </c>
      <c r="I9" s="60">
        <v>11</v>
      </c>
      <c r="J9" s="60">
        <v>16</v>
      </c>
      <c r="K9" s="60">
        <v>22</v>
      </c>
      <c r="L9" s="62"/>
      <c r="M9" s="62"/>
      <c r="N9" s="62"/>
      <c r="O9" s="62"/>
    </row>
    <row r="10" spans="1:16" x14ac:dyDescent="0.3">
      <c r="A10" s="58">
        <v>8</v>
      </c>
      <c r="B10" s="58" t="s">
        <v>103</v>
      </c>
      <c r="C10" s="58" t="s">
        <v>104</v>
      </c>
      <c r="D10" s="63"/>
      <c r="E10" s="59">
        <v>0</v>
      </c>
      <c r="F10" s="59">
        <v>0</v>
      </c>
      <c r="G10" s="64">
        <v>11.76</v>
      </c>
      <c r="H10" s="64">
        <v>24.023999999999997</v>
      </c>
      <c r="I10" s="64">
        <v>35.061599999999999</v>
      </c>
      <c r="J10" s="64">
        <v>44.995440000000009</v>
      </c>
      <c r="K10" s="64">
        <v>66.636696000000001</v>
      </c>
      <c r="L10" s="65"/>
      <c r="M10" s="65"/>
      <c r="N10" s="65"/>
      <c r="O10" s="62"/>
    </row>
    <row r="11" spans="1:16" x14ac:dyDescent="0.3">
      <c r="A11" s="58">
        <v>9</v>
      </c>
      <c r="B11" s="58" t="s">
        <v>105</v>
      </c>
      <c r="C11" s="58" t="s">
        <v>65</v>
      </c>
      <c r="D11" s="63"/>
      <c r="E11" s="63"/>
      <c r="F11" s="60">
        <v>0</v>
      </c>
      <c r="G11" s="60">
        <v>0</v>
      </c>
      <c r="H11" s="60">
        <v>0</v>
      </c>
      <c r="I11" s="60">
        <v>17</v>
      </c>
      <c r="J11" s="60">
        <v>32</v>
      </c>
      <c r="K11" s="60">
        <v>45</v>
      </c>
      <c r="L11" s="62"/>
      <c r="M11" s="62"/>
      <c r="N11" s="62"/>
      <c r="O11" s="62"/>
      <c r="P11" s="62"/>
    </row>
    <row r="12" spans="1:16" x14ac:dyDescent="0.3">
      <c r="A12" s="58">
        <v>11</v>
      </c>
      <c r="B12" s="66" t="s">
        <v>106</v>
      </c>
      <c r="C12" s="66" t="s">
        <v>68</v>
      </c>
      <c r="D12" s="63"/>
      <c r="E12" s="63">
        <v>0</v>
      </c>
      <c r="F12" s="60">
        <v>0</v>
      </c>
      <c r="G12" s="60">
        <v>11.25</v>
      </c>
      <c r="H12" s="60">
        <v>16.875</v>
      </c>
      <c r="I12" s="60">
        <v>19.125</v>
      </c>
      <c r="J12" s="60">
        <v>20</v>
      </c>
      <c r="K12" s="60">
        <v>20</v>
      </c>
      <c r="L12" s="62"/>
      <c r="M12" s="62"/>
      <c r="N12" s="62"/>
      <c r="O12" s="62"/>
      <c r="P12" s="62"/>
    </row>
    <row r="13" spans="1:16" x14ac:dyDescent="0.3">
      <c r="A13" s="58">
        <v>12</v>
      </c>
      <c r="B13" s="66" t="s">
        <v>107</v>
      </c>
      <c r="C13" s="66" t="s">
        <v>69</v>
      </c>
      <c r="D13" s="63"/>
      <c r="E13" s="63">
        <v>0</v>
      </c>
      <c r="F13" s="60">
        <v>0</v>
      </c>
      <c r="G13" s="60">
        <v>0</v>
      </c>
      <c r="H13" s="60">
        <v>11</v>
      </c>
      <c r="I13" s="60">
        <v>17</v>
      </c>
      <c r="J13" s="60">
        <v>19</v>
      </c>
      <c r="K13" s="60">
        <v>20</v>
      </c>
      <c r="L13" s="62"/>
      <c r="M13" s="62"/>
      <c r="N13" s="62"/>
      <c r="O13" s="62"/>
      <c r="P13" s="62"/>
    </row>
    <row r="14" spans="1:16" x14ac:dyDescent="0.3">
      <c r="A14" s="58">
        <v>13</v>
      </c>
      <c r="B14" s="66" t="s">
        <v>108</v>
      </c>
      <c r="C14" s="66" t="s">
        <v>70</v>
      </c>
      <c r="D14" s="63"/>
      <c r="E14" s="63">
        <v>0</v>
      </c>
      <c r="F14" s="60">
        <v>0</v>
      </c>
      <c r="G14" s="60">
        <v>11.25</v>
      </c>
      <c r="H14" s="60">
        <v>16.875</v>
      </c>
      <c r="I14" s="60">
        <v>19.125</v>
      </c>
      <c r="J14" s="60">
        <v>20</v>
      </c>
      <c r="K14" s="60">
        <v>20</v>
      </c>
      <c r="L14" s="62"/>
      <c r="M14" s="62"/>
      <c r="N14" s="62"/>
      <c r="O14" s="62"/>
      <c r="P14" s="62"/>
    </row>
    <row r="15" spans="1:16" x14ac:dyDescent="0.3">
      <c r="A15" s="58">
        <v>14</v>
      </c>
      <c r="B15" s="66" t="s">
        <v>233</v>
      </c>
      <c r="C15" s="66" t="s">
        <v>233</v>
      </c>
      <c r="D15" s="63"/>
      <c r="E15" s="63"/>
      <c r="F15" s="60"/>
      <c r="G15" s="60">
        <v>0</v>
      </c>
      <c r="H15" s="60">
        <v>0</v>
      </c>
      <c r="I15" s="60">
        <v>11</v>
      </c>
      <c r="J15" s="60">
        <v>17</v>
      </c>
      <c r="K15" s="60">
        <v>19</v>
      </c>
      <c r="L15" s="62"/>
      <c r="M15" s="62"/>
      <c r="N15" s="62"/>
      <c r="O15" s="62"/>
      <c r="P15" s="62"/>
    </row>
    <row r="16" spans="1:16" x14ac:dyDescent="0.3">
      <c r="A16" s="58">
        <v>15</v>
      </c>
      <c r="B16" s="66" t="s">
        <v>234</v>
      </c>
      <c r="C16" s="66" t="s">
        <v>234</v>
      </c>
      <c r="D16" s="63"/>
      <c r="E16" s="63"/>
      <c r="F16" s="60"/>
      <c r="G16" s="60">
        <v>0</v>
      </c>
      <c r="H16" s="60">
        <v>0</v>
      </c>
      <c r="I16" s="60">
        <v>11</v>
      </c>
      <c r="J16" s="60">
        <v>17</v>
      </c>
      <c r="K16" s="60">
        <v>19</v>
      </c>
      <c r="L16" s="62"/>
      <c r="M16" s="62"/>
      <c r="N16" s="62"/>
      <c r="O16" s="62"/>
      <c r="P16" s="62"/>
    </row>
    <row r="17" spans="1:16" ht="32.25" customHeight="1" x14ac:dyDescent="0.3">
      <c r="A17" s="58">
        <v>16</v>
      </c>
      <c r="B17" s="67" t="s">
        <v>109</v>
      </c>
      <c r="C17" s="58" t="s">
        <v>96</v>
      </c>
      <c r="D17" s="63"/>
      <c r="E17" s="63"/>
      <c r="F17" s="60">
        <v>0</v>
      </c>
      <c r="G17" s="60">
        <v>30</v>
      </c>
      <c r="H17" s="60">
        <v>35</v>
      </c>
      <c r="I17" s="60">
        <v>40</v>
      </c>
      <c r="J17" s="60">
        <v>45</v>
      </c>
      <c r="K17" s="60">
        <v>50</v>
      </c>
      <c r="L17" s="62"/>
      <c r="M17" s="62"/>
      <c r="N17" s="62"/>
      <c r="O17" s="62"/>
      <c r="P17" s="62"/>
    </row>
    <row r="18" spans="1:16" x14ac:dyDescent="0.3">
      <c r="A18" s="58">
        <v>17</v>
      </c>
      <c r="B18" s="66" t="s">
        <v>23</v>
      </c>
      <c r="C18" s="58" t="s">
        <v>96</v>
      </c>
      <c r="D18" s="63"/>
      <c r="E18" s="63"/>
      <c r="F18" s="60">
        <v>0</v>
      </c>
      <c r="G18" s="60">
        <v>0</v>
      </c>
      <c r="H18" s="60">
        <v>0</v>
      </c>
      <c r="I18" s="60">
        <v>50</v>
      </c>
      <c r="J18" s="60">
        <v>0</v>
      </c>
      <c r="K18" s="60">
        <v>50</v>
      </c>
      <c r="L18" s="62"/>
      <c r="M18" s="62"/>
      <c r="N18" s="62"/>
      <c r="O18" s="62"/>
      <c r="P18" s="62"/>
    </row>
    <row r="19" spans="1:16" x14ac:dyDescent="0.3">
      <c r="A19" s="58">
        <v>18</v>
      </c>
      <c r="B19" s="66" t="s">
        <v>23</v>
      </c>
      <c r="C19" s="58" t="s">
        <v>110</v>
      </c>
      <c r="D19" s="63"/>
      <c r="E19" s="63"/>
      <c r="F19" s="60">
        <v>100</v>
      </c>
      <c r="G19" s="60">
        <v>100</v>
      </c>
      <c r="H19" s="60">
        <v>0</v>
      </c>
      <c r="I19" s="60">
        <v>50</v>
      </c>
      <c r="J19" s="60">
        <v>0</v>
      </c>
      <c r="K19" s="60">
        <v>50</v>
      </c>
      <c r="L19" s="62"/>
      <c r="M19" s="62"/>
      <c r="N19" s="62"/>
      <c r="O19" s="62"/>
      <c r="P19" s="62"/>
    </row>
    <row r="20" spans="1:16" x14ac:dyDescent="0.3">
      <c r="A20" s="429" t="s">
        <v>116</v>
      </c>
      <c r="B20" s="430"/>
      <c r="C20" s="431"/>
      <c r="D20" s="68">
        <f>SUM(D3:D19)</f>
        <v>0</v>
      </c>
      <c r="E20" s="68">
        <f t="shared" ref="E20:K20" si="0">SUM(E3:E19)</f>
        <v>26</v>
      </c>
      <c r="F20" s="68">
        <f t="shared" si="0"/>
        <v>160.63999999999999</v>
      </c>
      <c r="G20" s="68">
        <f t="shared" si="0"/>
        <v>270.96280000000002</v>
      </c>
      <c r="H20" s="68">
        <f t="shared" si="0"/>
        <v>259.03492</v>
      </c>
      <c r="I20" s="68">
        <f t="shared" si="0"/>
        <v>468.97642799999994</v>
      </c>
      <c r="J20" s="68">
        <f t="shared" si="0"/>
        <v>474.77258519999998</v>
      </c>
      <c r="K20" s="68">
        <f t="shared" si="0"/>
        <v>659.6955906799999</v>
      </c>
      <c r="L20" s="62"/>
      <c r="M20" s="62"/>
      <c r="N20" s="62"/>
      <c r="O20" s="62"/>
      <c r="P20" s="62"/>
    </row>
    <row r="22" spans="1:16" ht="15.75" x14ac:dyDescent="0.3">
      <c r="C22" s="428" t="s">
        <v>111</v>
      </c>
      <c r="D22" s="428"/>
      <c r="E22" s="428"/>
      <c r="F22" s="428"/>
      <c r="G22" s="428"/>
      <c r="H22" s="428"/>
      <c r="I22" s="428"/>
      <c r="J22" s="428"/>
      <c r="K22" s="428"/>
    </row>
    <row r="23" spans="1:16" x14ac:dyDescent="0.3">
      <c r="C23" s="56" t="s">
        <v>112</v>
      </c>
      <c r="D23" s="57" t="s">
        <v>87</v>
      </c>
      <c r="E23" s="57" t="s">
        <v>88</v>
      </c>
      <c r="F23" s="57" t="s">
        <v>89</v>
      </c>
      <c r="G23" s="57" t="s">
        <v>90</v>
      </c>
      <c r="H23" s="57" t="s">
        <v>91</v>
      </c>
      <c r="I23" s="57" t="s">
        <v>92</v>
      </c>
      <c r="J23" s="57" t="s">
        <v>93</v>
      </c>
      <c r="K23" s="57" t="s">
        <v>94</v>
      </c>
    </row>
    <row r="24" spans="1:16" x14ac:dyDescent="0.3">
      <c r="C24" s="58" t="s">
        <v>96</v>
      </c>
      <c r="D24" s="63">
        <f t="shared" ref="D24:K29" si="1">SUMIF($C$3:$C$19,$C24,D$3:D$19)</f>
        <v>0</v>
      </c>
      <c r="E24" s="63">
        <f t="shared" si="1"/>
        <v>0</v>
      </c>
      <c r="F24" s="63">
        <f t="shared" si="1"/>
        <v>12.239999999999998</v>
      </c>
      <c r="G24" s="63">
        <f t="shared" si="1"/>
        <v>53.256</v>
      </c>
      <c r="H24" s="63">
        <f t="shared" si="1"/>
        <v>69.272000000000006</v>
      </c>
      <c r="I24" s="63">
        <f t="shared" si="1"/>
        <v>135.28800000000001</v>
      </c>
      <c r="J24" s="63">
        <f t="shared" si="1"/>
        <v>107.15039999999999</v>
      </c>
      <c r="K24" s="63">
        <f t="shared" si="1"/>
        <v>166.39839999999998</v>
      </c>
    </row>
    <row r="25" spans="1:16" x14ac:dyDescent="0.3">
      <c r="C25" s="58" t="s">
        <v>110</v>
      </c>
      <c r="D25" s="63">
        <f t="shared" si="1"/>
        <v>0</v>
      </c>
      <c r="E25" s="63">
        <f t="shared" si="1"/>
        <v>0</v>
      </c>
      <c r="F25" s="63">
        <f t="shared" si="1"/>
        <v>100</v>
      </c>
      <c r="G25" s="63">
        <f t="shared" si="1"/>
        <v>100</v>
      </c>
      <c r="H25" s="63">
        <f t="shared" si="1"/>
        <v>0</v>
      </c>
      <c r="I25" s="63">
        <f t="shared" si="1"/>
        <v>50</v>
      </c>
      <c r="J25" s="63">
        <f t="shared" si="1"/>
        <v>0</v>
      </c>
      <c r="K25" s="63">
        <f t="shared" si="1"/>
        <v>50</v>
      </c>
    </row>
    <row r="26" spans="1:16" x14ac:dyDescent="0.3">
      <c r="C26" s="58" t="s">
        <v>98</v>
      </c>
      <c r="D26" s="63">
        <f t="shared" si="1"/>
        <v>0</v>
      </c>
      <c r="E26" s="63">
        <f t="shared" si="1"/>
        <v>14</v>
      </c>
      <c r="F26" s="63">
        <f t="shared" si="1"/>
        <v>14</v>
      </c>
      <c r="G26" s="63">
        <f t="shared" si="1"/>
        <v>22.327199999999998</v>
      </c>
      <c r="H26" s="63">
        <f t="shared" si="1"/>
        <v>29.821679999999994</v>
      </c>
      <c r="I26" s="63">
        <f t="shared" si="1"/>
        <v>36.566711999999995</v>
      </c>
      <c r="J26" s="63">
        <f t="shared" si="1"/>
        <v>55.338040799999987</v>
      </c>
      <c r="K26" s="63">
        <f t="shared" si="1"/>
        <v>71.150316719999992</v>
      </c>
    </row>
    <row r="27" spans="1:16" x14ac:dyDescent="0.3">
      <c r="C27" s="58" t="s">
        <v>104</v>
      </c>
      <c r="D27" s="63">
        <f t="shared" si="1"/>
        <v>0</v>
      </c>
      <c r="E27" s="63">
        <f t="shared" si="1"/>
        <v>0</v>
      </c>
      <c r="F27" s="63">
        <f t="shared" si="1"/>
        <v>0</v>
      </c>
      <c r="G27" s="63">
        <f t="shared" si="1"/>
        <v>11.76</v>
      </c>
      <c r="H27" s="63">
        <f t="shared" si="1"/>
        <v>24.023999999999997</v>
      </c>
      <c r="I27" s="63">
        <f t="shared" si="1"/>
        <v>35.061599999999999</v>
      </c>
      <c r="J27" s="63">
        <f t="shared" si="1"/>
        <v>44.995440000000009</v>
      </c>
      <c r="K27" s="63">
        <f t="shared" si="1"/>
        <v>66.636696000000001</v>
      </c>
    </row>
    <row r="28" spans="1:16" x14ac:dyDescent="0.3">
      <c r="C28" s="58" t="s">
        <v>65</v>
      </c>
      <c r="D28" s="63">
        <f t="shared" si="1"/>
        <v>0</v>
      </c>
      <c r="E28" s="63">
        <f t="shared" si="1"/>
        <v>12</v>
      </c>
      <c r="F28" s="63">
        <f t="shared" si="1"/>
        <v>22.4</v>
      </c>
      <c r="G28" s="63">
        <f t="shared" si="1"/>
        <v>37.959599999999995</v>
      </c>
      <c r="H28" s="63">
        <f t="shared" si="1"/>
        <v>57.963239999999992</v>
      </c>
      <c r="I28" s="63">
        <f t="shared" si="1"/>
        <v>92.566515999999993</v>
      </c>
      <c r="J28" s="63">
        <f t="shared" si="1"/>
        <v>123.90946439999999</v>
      </c>
      <c r="K28" s="63">
        <f t="shared" si="1"/>
        <v>157.88636195999999</v>
      </c>
    </row>
    <row r="29" spans="1:16" x14ac:dyDescent="0.3">
      <c r="C29" s="58" t="s">
        <v>66</v>
      </c>
      <c r="D29" s="63">
        <f t="shared" si="1"/>
        <v>0</v>
      </c>
      <c r="E29" s="63">
        <f t="shared" si="1"/>
        <v>0</v>
      </c>
      <c r="F29" s="63">
        <f t="shared" si="1"/>
        <v>12</v>
      </c>
      <c r="G29" s="63">
        <f t="shared" si="1"/>
        <v>23.16</v>
      </c>
      <c r="H29" s="63">
        <f t="shared" si="1"/>
        <v>33.203999999999994</v>
      </c>
      <c r="I29" s="63">
        <f t="shared" si="1"/>
        <v>42.243599999999994</v>
      </c>
      <c r="J29" s="63">
        <f t="shared" si="1"/>
        <v>50.379239999999996</v>
      </c>
      <c r="K29" s="63">
        <f t="shared" si="1"/>
        <v>49.623815999999991</v>
      </c>
    </row>
    <row r="30" spans="1:16" x14ac:dyDescent="0.3">
      <c r="C30" s="58" t="s">
        <v>11</v>
      </c>
      <c r="D30" s="63">
        <f>SUM(D12:D16)</f>
        <v>0</v>
      </c>
      <c r="E30" s="63">
        <f t="shared" ref="E30:K30" si="2">SUM(E12:E16)</f>
        <v>0</v>
      </c>
      <c r="F30" s="63">
        <f t="shared" si="2"/>
        <v>0</v>
      </c>
      <c r="G30" s="63">
        <f t="shared" si="2"/>
        <v>22.5</v>
      </c>
      <c r="H30" s="63">
        <f t="shared" si="2"/>
        <v>44.75</v>
      </c>
      <c r="I30" s="63">
        <f t="shared" si="2"/>
        <v>77.25</v>
      </c>
      <c r="J30" s="63">
        <f t="shared" si="2"/>
        <v>93</v>
      </c>
      <c r="K30" s="63">
        <f t="shared" si="2"/>
        <v>98</v>
      </c>
    </row>
    <row r="31" spans="1:16" x14ac:dyDescent="0.3">
      <c r="C31" s="56" t="s">
        <v>116</v>
      </c>
      <c r="D31" s="68">
        <f t="shared" ref="D31:K31" si="3">SUM(D24:D30)</f>
        <v>0</v>
      </c>
      <c r="E31" s="68">
        <f t="shared" si="3"/>
        <v>26</v>
      </c>
      <c r="F31" s="68">
        <f t="shared" si="3"/>
        <v>160.63999999999999</v>
      </c>
      <c r="G31" s="68">
        <f t="shared" si="3"/>
        <v>270.96280000000002</v>
      </c>
      <c r="H31" s="68">
        <f t="shared" si="3"/>
        <v>259.03492</v>
      </c>
      <c r="I31" s="68">
        <f t="shared" si="3"/>
        <v>468.976428</v>
      </c>
      <c r="J31" s="68">
        <f t="shared" si="3"/>
        <v>474.77258519999998</v>
      </c>
      <c r="K31" s="68">
        <f t="shared" si="3"/>
        <v>659.6955906799999</v>
      </c>
    </row>
    <row r="32" spans="1:16" x14ac:dyDescent="0.3">
      <c r="C32" s="69"/>
      <c r="D32" s="70"/>
      <c r="E32" s="70"/>
      <c r="F32" s="70"/>
      <c r="G32" s="70"/>
      <c r="H32" s="71"/>
      <c r="I32" s="70"/>
      <c r="J32" s="72"/>
      <c r="K32" s="70"/>
    </row>
    <row r="33" spans="1:12" x14ac:dyDescent="0.3">
      <c r="C33" s="69"/>
      <c r="D33" s="70"/>
      <c r="E33" s="70"/>
      <c r="F33" s="70"/>
      <c r="G33" s="70"/>
      <c r="H33" s="70"/>
      <c r="I33" s="70"/>
      <c r="J33" s="70"/>
      <c r="K33" s="70"/>
    </row>
    <row r="34" spans="1:12" x14ac:dyDescent="0.3">
      <c r="G34" s="73"/>
      <c r="H34" s="73"/>
      <c r="I34" s="73"/>
      <c r="J34" s="73"/>
      <c r="K34" s="73"/>
    </row>
    <row r="36" spans="1:12" ht="15.75" x14ac:dyDescent="0.3">
      <c r="C36" s="432" t="s">
        <v>113</v>
      </c>
      <c r="D36" s="427"/>
      <c r="E36" s="427"/>
      <c r="F36" s="427"/>
      <c r="G36" s="427"/>
      <c r="H36" s="427"/>
      <c r="I36" s="427"/>
      <c r="J36" s="427"/>
      <c r="K36" s="427"/>
      <c r="L36" s="427"/>
    </row>
    <row r="37" spans="1:12" x14ac:dyDescent="0.3">
      <c r="C37" s="56" t="s">
        <v>112</v>
      </c>
      <c r="D37" s="57" t="s">
        <v>87</v>
      </c>
      <c r="E37" s="57" t="s">
        <v>88</v>
      </c>
      <c r="F37" s="57" t="s">
        <v>89</v>
      </c>
      <c r="G37" s="57" t="s">
        <v>90</v>
      </c>
      <c r="H37" s="57" t="s">
        <v>91</v>
      </c>
      <c r="I37" s="57" t="s">
        <v>92</v>
      </c>
      <c r="J37" s="57" t="s">
        <v>93</v>
      </c>
      <c r="K37" s="57" t="s">
        <v>94</v>
      </c>
      <c r="L37" s="55" t="s">
        <v>114</v>
      </c>
    </row>
    <row r="38" spans="1:12" x14ac:dyDescent="0.3">
      <c r="C38" s="58" t="s">
        <v>96</v>
      </c>
      <c r="D38" s="63">
        <f>D24</f>
        <v>0</v>
      </c>
      <c r="E38" s="63">
        <f>SUM($D24:E24)</f>
        <v>0</v>
      </c>
      <c r="F38" s="63">
        <f>SUM($D24:F24)</f>
        <v>12.239999999999998</v>
      </c>
      <c r="G38" s="63">
        <f>SUM(E24:G24)+D24/3</f>
        <v>65.495999999999995</v>
      </c>
      <c r="H38" s="63">
        <f>SUM(F24:H24)+E24/3</f>
        <v>134.768</v>
      </c>
      <c r="I38" s="63">
        <f>SUM(G24:I24)+F24/3</f>
        <v>261.89600000000002</v>
      </c>
      <c r="J38" s="63">
        <f>SUM(H24:J24)+G24/3</f>
        <v>329.4624</v>
      </c>
      <c r="K38" s="63">
        <f>SUM(I24:K24)+H24/3</f>
        <v>431.92746666666665</v>
      </c>
      <c r="L38" s="55">
        <v>35000</v>
      </c>
    </row>
    <row r="39" spans="1:12" x14ac:dyDescent="0.3">
      <c r="C39" s="58" t="s">
        <v>110</v>
      </c>
      <c r="D39" s="63">
        <f t="shared" ref="D39:D44" si="4">D25</f>
        <v>0</v>
      </c>
      <c r="E39" s="63">
        <f>SUM($D25:E25)</f>
        <v>0</v>
      </c>
      <c r="F39" s="63">
        <f>SUM($D25:F25)</f>
        <v>100</v>
      </c>
      <c r="G39" s="63">
        <f t="shared" ref="G39:K44" si="5">SUM(E25:G25)+D25/3</f>
        <v>200</v>
      </c>
      <c r="H39" s="63">
        <f t="shared" si="5"/>
        <v>200</v>
      </c>
      <c r="I39" s="63">
        <f t="shared" si="5"/>
        <v>183.33333333333334</v>
      </c>
      <c r="J39" s="63">
        <f t="shared" si="5"/>
        <v>83.333333333333343</v>
      </c>
      <c r="K39" s="63">
        <f t="shared" si="5"/>
        <v>100</v>
      </c>
      <c r="L39" s="55">
        <v>35000</v>
      </c>
    </row>
    <row r="40" spans="1:12" x14ac:dyDescent="0.3">
      <c r="C40" s="58" t="s">
        <v>98</v>
      </c>
      <c r="D40" s="63">
        <f t="shared" si="4"/>
        <v>0</v>
      </c>
      <c r="E40" s="63">
        <f>SUM($D26:E26)</f>
        <v>14</v>
      </c>
      <c r="F40" s="63">
        <f>SUM($D26:F26)</f>
        <v>28</v>
      </c>
      <c r="G40" s="63">
        <f t="shared" si="5"/>
        <v>50.327199999999998</v>
      </c>
      <c r="H40" s="63">
        <f t="shared" si="5"/>
        <v>70.815546666666663</v>
      </c>
      <c r="I40" s="63">
        <f t="shared" si="5"/>
        <v>93.382258666666658</v>
      </c>
      <c r="J40" s="63">
        <f t="shared" si="5"/>
        <v>129.16883279999996</v>
      </c>
      <c r="K40" s="63">
        <f t="shared" si="5"/>
        <v>172.99562951999997</v>
      </c>
      <c r="L40" s="55">
        <v>30000</v>
      </c>
    </row>
    <row r="41" spans="1:12" x14ac:dyDescent="0.3">
      <c r="C41" s="58" t="s">
        <v>104</v>
      </c>
      <c r="D41" s="63">
        <f t="shared" si="4"/>
        <v>0</v>
      </c>
      <c r="E41" s="63">
        <f>SUM($D27:E27)</f>
        <v>0</v>
      </c>
      <c r="F41" s="63">
        <f>SUM($D27:F27)</f>
        <v>0</v>
      </c>
      <c r="G41" s="63">
        <f t="shared" si="5"/>
        <v>11.76</v>
      </c>
      <c r="H41" s="63">
        <f t="shared" si="5"/>
        <v>35.783999999999999</v>
      </c>
      <c r="I41" s="63">
        <f t="shared" si="5"/>
        <v>70.84559999999999</v>
      </c>
      <c r="J41" s="63">
        <f t="shared" si="5"/>
        <v>108.00104</v>
      </c>
      <c r="K41" s="63">
        <f t="shared" si="5"/>
        <v>154.70173600000001</v>
      </c>
      <c r="L41" s="55">
        <v>30000</v>
      </c>
    </row>
    <row r="42" spans="1:12" x14ac:dyDescent="0.3">
      <c r="C42" s="58" t="s">
        <v>65</v>
      </c>
      <c r="D42" s="63">
        <f t="shared" si="4"/>
        <v>0</v>
      </c>
      <c r="E42" s="63">
        <f>SUM($D28:E28)</f>
        <v>12</v>
      </c>
      <c r="F42" s="63">
        <f>SUM($D28:F28)</f>
        <v>34.4</v>
      </c>
      <c r="G42" s="63">
        <f t="shared" si="5"/>
        <v>72.3596</v>
      </c>
      <c r="H42" s="63">
        <f t="shared" si="5"/>
        <v>122.32283999999999</v>
      </c>
      <c r="I42" s="63">
        <f t="shared" si="5"/>
        <v>195.95602266666666</v>
      </c>
      <c r="J42" s="63">
        <f t="shared" si="5"/>
        <v>287.09242039999992</v>
      </c>
      <c r="K42" s="63">
        <f t="shared" si="5"/>
        <v>393.68342235999995</v>
      </c>
      <c r="L42" s="55">
        <v>25000</v>
      </c>
    </row>
    <row r="43" spans="1:12" x14ac:dyDescent="0.3">
      <c r="C43" s="58" t="s">
        <v>66</v>
      </c>
      <c r="D43" s="63">
        <f t="shared" si="4"/>
        <v>0</v>
      </c>
      <c r="E43" s="63">
        <f>SUM($D29:E29)</f>
        <v>0</v>
      </c>
      <c r="F43" s="63">
        <f>SUM($D29:F29)</f>
        <v>12</v>
      </c>
      <c r="G43" s="63">
        <f t="shared" si="5"/>
        <v>35.159999999999997</v>
      </c>
      <c r="H43" s="63">
        <f t="shared" si="5"/>
        <v>68.36399999999999</v>
      </c>
      <c r="I43" s="63">
        <f t="shared" si="5"/>
        <v>102.60759999999999</v>
      </c>
      <c r="J43" s="63">
        <f t="shared" si="5"/>
        <v>133.54684</v>
      </c>
      <c r="K43" s="63">
        <f t="shared" si="5"/>
        <v>153.31465599999996</v>
      </c>
      <c r="L43" s="55">
        <v>25000</v>
      </c>
    </row>
    <row r="44" spans="1:12" x14ac:dyDescent="0.3">
      <c r="A44" s="74"/>
      <c r="C44" s="58" t="s">
        <v>11</v>
      </c>
      <c r="D44" s="63">
        <f t="shared" si="4"/>
        <v>0</v>
      </c>
      <c r="E44" s="63">
        <f>SUM($D30:E30)</f>
        <v>0</v>
      </c>
      <c r="F44" s="63">
        <f>SUM($D30:F30)</f>
        <v>0</v>
      </c>
      <c r="G44" s="63">
        <f t="shared" si="5"/>
        <v>22.5</v>
      </c>
      <c r="H44" s="63">
        <f t="shared" si="5"/>
        <v>67.25</v>
      </c>
      <c r="I44" s="63">
        <f t="shared" si="5"/>
        <v>144.5</v>
      </c>
      <c r="J44" s="63">
        <f t="shared" si="5"/>
        <v>222.5</v>
      </c>
      <c r="K44" s="63">
        <f t="shared" si="5"/>
        <v>283.16666666666669</v>
      </c>
      <c r="L44" s="55">
        <v>20000</v>
      </c>
    </row>
    <row r="45" spans="1:12" x14ac:dyDescent="0.3">
      <c r="C45" s="56" t="s">
        <v>116</v>
      </c>
      <c r="D45" s="68">
        <f t="shared" ref="D45:K45" si="6">SUM(D38:D44)</f>
        <v>0</v>
      </c>
      <c r="E45" s="68">
        <f t="shared" si="6"/>
        <v>26</v>
      </c>
      <c r="F45" s="68">
        <f t="shared" si="6"/>
        <v>186.64000000000001</v>
      </c>
      <c r="G45" s="68">
        <f t="shared" si="6"/>
        <v>457.6028</v>
      </c>
      <c r="H45" s="68">
        <f t="shared" si="6"/>
        <v>699.30438666666669</v>
      </c>
      <c r="I45" s="68">
        <f t="shared" si="6"/>
        <v>1052.5208146666666</v>
      </c>
      <c r="J45" s="68">
        <f t="shared" si="6"/>
        <v>1293.1048665333333</v>
      </c>
      <c r="K45" s="68">
        <f t="shared" si="6"/>
        <v>1689.7895772133334</v>
      </c>
    </row>
    <row r="46" spans="1:12" x14ac:dyDescent="0.3">
      <c r="C46" s="69"/>
      <c r="D46" s="75"/>
      <c r="E46" s="75"/>
      <c r="F46" s="75"/>
      <c r="G46" s="75"/>
      <c r="H46" s="75"/>
      <c r="I46" s="75"/>
      <c r="J46" s="75"/>
      <c r="K46" s="75"/>
    </row>
    <row r="47" spans="1:12" x14ac:dyDescent="0.3">
      <c r="C47" s="69"/>
      <c r="D47" s="70"/>
      <c r="E47" s="70"/>
      <c r="F47" s="70"/>
      <c r="G47" s="70"/>
      <c r="H47" s="70"/>
      <c r="I47" s="70"/>
      <c r="J47" s="70"/>
      <c r="K47" s="70"/>
    </row>
    <row r="50" spans="2:12" ht="15.75" x14ac:dyDescent="0.3">
      <c r="B50" s="427" t="s">
        <v>115</v>
      </c>
      <c r="C50" s="427"/>
      <c r="D50" s="427"/>
      <c r="E50" s="427"/>
      <c r="F50" s="427"/>
      <c r="G50" s="427"/>
      <c r="H50" s="427"/>
      <c r="I50" s="427"/>
      <c r="J50" s="427"/>
      <c r="K50" s="427"/>
      <c r="L50" s="427"/>
    </row>
    <row r="51" spans="2:12" x14ac:dyDescent="0.3">
      <c r="C51" s="56" t="s">
        <v>112</v>
      </c>
      <c r="D51" s="57" t="s">
        <v>87</v>
      </c>
      <c r="E51" s="57" t="s">
        <v>88</v>
      </c>
      <c r="F51" s="57" t="s">
        <v>89</v>
      </c>
      <c r="G51" s="57" t="s">
        <v>90</v>
      </c>
      <c r="H51" s="57" t="s">
        <v>91</v>
      </c>
      <c r="I51" s="57" t="s">
        <v>92</v>
      </c>
      <c r="J51" s="57" t="s">
        <v>93</v>
      </c>
      <c r="K51" s="57" t="s">
        <v>94</v>
      </c>
    </row>
    <row r="52" spans="2:12" x14ac:dyDescent="0.3">
      <c r="C52" s="58" t="s">
        <v>96</v>
      </c>
      <c r="D52" s="63">
        <f>D38*$L38/100000</f>
        <v>0</v>
      </c>
      <c r="E52" s="63">
        <f t="shared" ref="E52:K52" si="7">E38*$L38/100000</f>
        <v>0</v>
      </c>
      <c r="F52" s="63">
        <f>F38*$L38/100000</f>
        <v>4.2839999999999998</v>
      </c>
      <c r="G52" s="63">
        <f t="shared" si="7"/>
        <v>22.9236</v>
      </c>
      <c r="H52" s="63">
        <f t="shared" si="7"/>
        <v>47.168799999999997</v>
      </c>
      <c r="I52" s="63">
        <f t="shared" si="7"/>
        <v>91.663600000000002</v>
      </c>
      <c r="J52" s="63">
        <f t="shared" si="7"/>
        <v>115.31184</v>
      </c>
      <c r="K52" s="63">
        <f t="shared" si="7"/>
        <v>151.17461333333333</v>
      </c>
    </row>
    <row r="53" spans="2:12" x14ac:dyDescent="0.3">
      <c r="C53" s="58" t="s">
        <v>110</v>
      </c>
      <c r="D53" s="63">
        <f t="shared" ref="D53:K58" si="8">D39*$L39/100000</f>
        <v>0</v>
      </c>
      <c r="E53" s="63">
        <f t="shared" si="8"/>
        <v>0</v>
      </c>
      <c r="F53" s="63">
        <f t="shared" si="8"/>
        <v>35</v>
      </c>
      <c r="G53" s="63">
        <f t="shared" si="8"/>
        <v>70</v>
      </c>
      <c r="H53" s="63">
        <f t="shared" si="8"/>
        <v>70</v>
      </c>
      <c r="I53" s="63">
        <f t="shared" si="8"/>
        <v>64.166666666666671</v>
      </c>
      <c r="J53" s="63">
        <f t="shared" si="8"/>
        <v>29.166666666666671</v>
      </c>
      <c r="K53" s="63">
        <f t="shared" si="8"/>
        <v>35</v>
      </c>
    </row>
    <row r="54" spans="2:12" x14ac:dyDescent="0.3">
      <c r="C54" s="58" t="s">
        <v>98</v>
      </c>
      <c r="D54" s="63">
        <f t="shared" si="8"/>
        <v>0</v>
      </c>
      <c r="E54" s="63">
        <f t="shared" si="8"/>
        <v>4.2</v>
      </c>
      <c r="F54" s="63">
        <f t="shared" si="8"/>
        <v>8.4</v>
      </c>
      <c r="G54" s="63">
        <f t="shared" si="8"/>
        <v>15.09816</v>
      </c>
      <c r="H54" s="63">
        <f t="shared" si="8"/>
        <v>21.244664</v>
      </c>
      <c r="I54" s="63">
        <f t="shared" si="8"/>
        <v>28.014677599999999</v>
      </c>
      <c r="J54" s="63">
        <f t="shared" si="8"/>
        <v>38.750649839999987</v>
      </c>
      <c r="K54" s="63">
        <f t="shared" si="8"/>
        <v>51.898688855999985</v>
      </c>
    </row>
    <row r="55" spans="2:12" x14ac:dyDescent="0.3">
      <c r="C55" s="58" t="s">
        <v>104</v>
      </c>
      <c r="D55" s="63">
        <f t="shared" si="8"/>
        <v>0</v>
      </c>
      <c r="E55" s="63">
        <f t="shared" si="8"/>
        <v>0</v>
      </c>
      <c r="F55" s="63">
        <f t="shared" si="8"/>
        <v>0</v>
      </c>
      <c r="G55" s="63">
        <f t="shared" si="8"/>
        <v>3.528</v>
      </c>
      <c r="H55" s="63">
        <f t="shared" si="8"/>
        <v>10.735200000000001</v>
      </c>
      <c r="I55" s="63">
        <f t="shared" si="8"/>
        <v>21.253679999999996</v>
      </c>
      <c r="J55" s="63">
        <f t="shared" si="8"/>
        <v>32.400312</v>
      </c>
      <c r="K55" s="63">
        <f t="shared" si="8"/>
        <v>46.4105208</v>
      </c>
    </row>
    <row r="56" spans="2:12" x14ac:dyDescent="0.3">
      <c r="C56" s="58" t="s">
        <v>65</v>
      </c>
      <c r="D56" s="63">
        <f t="shared" si="8"/>
        <v>0</v>
      </c>
      <c r="E56" s="63">
        <f t="shared" si="8"/>
        <v>3</v>
      </c>
      <c r="F56" s="63">
        <f t="shared" si="8"/>
        <v>8.6</v>
      </c>
      <c r="G56" s="63">
        <f t="shared" si="8"/>
        <v>18.0899</v>
      </c>
      <c r="H56" s="63">
        <f t="shared" si="8"/>
        <v>30.580709999999996</v>
      </c>
      <c r="I56" s="63">
        <f t="shared" si="8"/>
        <v>48.989005666666664</v>
      </c>
      <c r="J56" s="63">
        <f t="shared" si="8"/>
        <v>71.773105099999981</v>
      </c>
      <c r="K56" s="63">
        <f t="shared" si="8"/>
        <v>98.420855589999988</v>
      </c>
    </row>
    <row r="57" spans="2:12" x14ac:dyDescent="0.3">
      <c r="C57" s="58" t="s">
        <v>66</v>
      </c>
      <c r="D57" s="63">
        <f t="shared" si="8"/>
        <v>0</v>
      </c>
      <c r="E57" s="63">
        <f t="shared" si="8"/>
        <v>0</v>
      </c>
      <c r="F57" s="63">
        <f t="shared" si="8"/>
        <v>3</v>
      </c>
      <c r="G57" s="63">
        <f t="shared" si="8"/>
        <v>8.7899999999999991</v>
      </c>
      <c r="H57" s="63">
        <f t="shared" si="8"/>
        <v>17.090999999999998</v>
      </c>
      <c r="I57" s="63">
        <f t="shared" si="8"/>
        <v>25.651900000000001</v>
      </c>
      <c r="J57" s="63">
        <f t="shared" si="8"/>
        <v>33.386710000000001</v>
      </c>
      <c r="K57" s="63">
        <f t="shared" si="8"/>
        <v>38.328663999999989</v>
      </c>
    </row>
    <row r="58" spans="2:12" x14ac:dyDescent="0.3">
      <c r="C58" s="58" t="s">
        <v>11</v>
      </c>
      <c r="D58" s="63">
        <f t="shared" si="8"/>
        <v>0</v>
      </c>
      <c r="E58" s="63">
        <f t="shared" si="8"/>
        <v>0</v>
      </c>
      <c r="F58" s="63">
        <f t="shared" si="8"/>
        <v>0</v>
      </c>
      <c r="G58" s="63">
        <f t="shared" si="8"/>
        <v>4.5</v>
      </c>
      <c r="H58" s="63">
        <f t="shared" si="8"/>
        <v>13.45</v>
      </c>
      <c r="I58" s="63">
        <f t="shared" si="8"/>
        <v>28.9</v>
      </c>
      <c r="J58" s="63">
        <f t="shared" si="8"/>
        <v>44.5</v>
      </c>
      <c r="K58" s="63">
        <f t="shared" si="8"/>
        <v>56.63333333333334</v>
      </c>
    </row>
    <row r="59" spans="2:12" x14ac:dyDescent="0.3">
      <c r="C59" s="56" t="s">
        <v>117</v>
      </c>
      <c r="D59" s="68">
        <f t="shared" ref="D59:K59" si="9">SUM(D52:D58)</f>
        <v>0</v>
      </c>
      <c r="E59" s="68">
        <f t="shared" si="9"/>
        <v>7.2</v>
      </c>
      <c r="F59" s="68">
        <f>SUM(F52:F58)</f>
        <v>59.283999999999999</v>
      </c>
      <c r="G59" s="68">
        <f t="shared" si="9"/>
        <v>142.92965999999998</v>
      </c>
      <c r="H59" s="68">
        <f t="shared" si="9"/>
        <v>210.270374</v>
      </c>
      <c r="I59" s="68">
        <f t="shared" si="9"/>
        <v>308.63952993333328</v>
      </c>
      <c r="J59" s="68">
        <f t="shared" si="9"/>
        <v>365.28928360666669</v>
      </c>
      <c r="K59" s="68">
        <f t="shared" si="9"/>
        <v>477.86667591266661</v>
      </c>
    </row>
  </sheetData>
  <mergeCells count="5">
    <mergeCell ref="B50:L50"/>
    <mergeCell ref="A1:K1"/>
    <mergeCell ref="A20:C20"/>
    <mergeCell ref="C22:K22"/>
    <mergeCell ref="C36:L36"/>
  </mergeCells>
  <printOptions horizontalCentered="1" verticalCentered="1"/>
  <pageMargins left="0.44" right="0.4" top="0.47" bottom="0.75" header="0.3" footer="0.3"/>
  <pageSetup scale="11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9"/>
  <sheetViews>
    <sheetView topLeftCell="A49" workbookViewId="0">
      <selection activeCell="A50" sqref="A50"/>
    </sheetView>
  </sheetViews>
  <sheetFormatPr defaultRowHeight="15" x14ac:dyDescent="0.3"/>
  <cols>
    <col min="1" max="1" width="19.5703125" style="1" customWidth="1"/>
    <col min="2" max="2" width="19.7109375" style="1" bestFit="1" customWidth="1"/>
    <col min="3" max="10" width="9.5703125" style="1" bestFit="1" customWidth="1"/>
    <col min="11" max="16384" width="9.140625" style="1"/>
  </cols>
  <sheetData>
    <row r="1" spans="1:10" ht="15.75" thickBot="1" x14ac:dyDescent="0.35"/>
    <row r="2" spans="1:10" ht="16.5" thickBot="1" x14ac:dyDescent="0.35">
      <c r="A2" s="433" t="s">
        <v>0</v>
      </c>
      <c r="B2" s="434"/>
      <c r="C2" s="434"/>
      <c r="D2" s="434"/>
      <c r="E2" s="434"/>
      <c r="F2" s="434"/>
      <c r="G2" s="434"/>
      <c r="H2" s="434"/>
      <c r="I2" s="434"/>
      <c r="J2" s="435"/>
    </row>
    <row r="3" spans="1:10" ht="15.75" thickBot="1" x14ac:dyDescent="0.35">
      <c r="A3" s="2"/>
      <c r="B3" s="3"/>
      <c r="C3" s="3"/>
      <c r="D3" s="3"/>
      <c r="E3" s="3"/>
      <c r="F3" s="3"/>
      <c r="G3" s="3"/>
      <c r="H3" s="3"/>
      <c r="I3" s="3"/>
      <c r="J3" s="4"/>
    </row>
    <row r="4" spans="1:10" x14ac:dyDescent="0.3">
      <c r="A4" s="5"/>
      <c r="B4" s="6" t="s">
        <v>1</v>
      </c>
      <c r="C4" s="7" t="s">
        <v>2</v>
      </c>
      <c r="D4" s="7" t="s">
        <v>3</v>
      </c>
      <c r="E4" s="7" t="s">
        <v>4</v>
      </c>
      <c r="F4" s="7" t="s">
        <v>5</v>
      </c>
      <c r="G4" s="7" t="s">
        <v>6</v>
      </c>
      <c r="H4" s="7" t="s">
        <v>7</v>
      </c>
      <c r="I4" s="7" t="s">
        <v>8</v>
      </c>
      <c r="J4" s="8" t="s">
        <v>9</v>
      </c>
    </row>
    <row r="5" spans="1:10" x14ac:dyDescent="0.3">
      <c r="A5" s="9" t="s">
        <v>10</v>
      </c>
      <c r="B5" s="10"/>
      <c r="C5" s="11"/>
      <c r="D5" s="11"/>
      <c r="E5" s="11"/>
      <c r="F5" s="11"/>
      <c r="G5" s="11"/>
      <c r="H5" s="11"/>
      <c r="I5" s="11"/>
      <c r="J5" s="12"/>
    </row>
    <row r="6" spans="1:10" x14ac:dyDescent="0.3">
      <c r="A6" s="13" t="s">
        <v>11</v>
      </c>
      <c r="B6" s="14">
        <v>40.964010000000002</v>
      </c>
      <c r="C6" s="11">
        <v>44.864434467513227</v>
      </c>
      <c r="D6" s="11">
        <v>48.917191803556705</v>
      </c>
      <c r="E6" s="11">
        <v>57.546237926171976</v>
      </c>
      <c r="F6" s="11">
        <v>66.886124704265939</v>
      </c>
      <c r="G6" s="11">
        <v>78.07815094917791</v>
      </c>
      <c r="H6" s="11">
        <v>86.62816620934862</v>
      </c>
      <c r="I6" s="11">
        <v>95.478664433881718</v>
      </c>
      <c r="J6" s="15">
        <v>107.37139984577892</v>
      </c>
    </row>
    <row r="7" spans="1:10" x14ac:dyDescent="0.3">
      <c r="A7" s="13" t="s">
        <v>12</v>
      </c>
      <c r="B7" s="14">
        <v>132.26634000000001</v>
      </c>
      <c r="C7" s="11">
        <v>144.60734925500736</v>
      </c>
      <c r="D7" s="11">
        <v>157.92571937277523</v>
      </c>
      <c r="E7" s="11">
        <v>177.75591053112072</v>
      </c>
      <c r="F7" s="11">
        <v>205.75112547116271</v>
      </c>
      <c r="G7" s="11">
        <v>235.75190355331887</v>
      </c>
      <c r="H7" s="11">
        <v>260.69198463264956</v>
      </c>
      <c r="I7" s="11">
        <v>287.59544307018473</v>
      </c>
      <c r="J7" s="15">
        <v>316.60434296679438</v>
      </c>
    </row>
    <row r="8" spans="1:10" x14ac:dyDescent="0.3">
      <c r="A8" s="13" t="s">
        <v>13</v>
      </c>
      <c r="B8" s="14">
        <v>122.53217000000001</v>
      </c>
      <c r="C8" s="11">
        <v>127.19907755065475</v>
      </c>
      <c r="D8" s="11">
        <v>136.25880847326258</v>
      </c>
      <c r="E8" s="11">
        <v>155.09015770099435</v>
      </c>
      <c r="F8" s="11">
        <v>177.19300523136445</v>
      </c>
      <c r="G8" s="11">
        <v>201.4709774623731</v>
      </c>
      <c r="H8" s="11">
        <v>218.53675113359574</v>
      </c>
      <c r="I8" s="11">
        <v>238.11890128663299</v>
      </c>
      <c r="J8" s="15">
        <v>260.37010985233394</v>
      </c>
    </row>
    <row r="9" spans="1:10" x14ac:dyDescent="0.3">
      <c r="A9" s="13" t="s">
        <v>14</v>
      </c>
      <c r="B9" s="14">
        <v>117.40942999999999</v>
      </c>
      <c r="C9" s="11">
        <v>124.16218627235008</v>
      </c>
      <c r="D9" s="11">
        <v>135.76745274222071</v>
      </c>
      <c r="E9" s="11">
        <v>166.72012441315141</v>
      </c>
      <c r="F9" s="11">
        <v>200.99648664600841</v>
      </c>
      <c r="G9" s="11">
        <v>238.02534592929484</v>
      </c>
      <c r="H9" s="11">
        <v>264.16748534220062</v>
      </c>
      <c r="I9" s="11">
        <v>289.86264576549718</v>
      </c>
      <c r="J9" s="15">
        <v>320.39661809427503</v>
      </c>
    </row>
    <row r="10" spans="1:10" ht="25.5" x14ac:dyDescent="0.3">
      <c r="A10" s="16" t="s">
        <v>15</v>
      </c>
      <c r="B10" s="17">
        <f>SUM(B6:B9)</f>
        <v>413.17194999999998</v>
      </c>
      <c r="C10" s="17">
        <f t="shared" ref="C10:J10" si="0">SUM(C6:C9)</f>
        <v>440.8330475455254</v>
      </c>
      <c r="D10" s="17">
        <f t="shared" si="0"/>
        <v>478.86917239181525</v>
      </c>
      <c r="E10" s="17">
        <f t="shared" si="0"/>
        <v>557.11243057143849</v>
      </c>
      <c r="F10" s="17">
        <f t="shared" si="0"/>
        <v>650.82674205280159</v>
      </c>
      <c r="G10" s="17">
        <f t="shared" si="0"/>
        <v>753.32637789416469</v>
      </c>
      <c r="H10" s="17">
        <f t="shared" si="0"/>
        <v>830.02438731779455</v>
      </c>
      <c r="I10" s="17">
        <f t="shared" si="0"/>
        <v>911.0556545561966</v>
      </c>
      <c r="J10" s="18">
        <f t="shared" si="0"/>
        <v>1004.7424707591822</v>
      </c>
    </row>
    <row r="11" spans="1:10" x14ac:dyDescent="0.3">
      <c r="A11" s="13"/>
      <c r="B11" s="10"/>
      <c r="C11" s="11"/>
      <c r="D11" s="11"/>
      <c r="E11" s="11"/>
      <c r="F11" s="11"/>
      <c r="G11" s="11"/>
      <c r="H11" s="11"/>
      <c r="I11" s="11"/>
      <c r="J11" s="12"/>
    </row>
    <row r="12" spans="1:10" x14ac:dyDescent="0.3">
      <c r="A12" s="9" t="s">
        <v>16</v>
      </c>
      <c r="B12" s="10"/>
      <c r="C12" s="11"/>
      <c r="D12" s="11"/>
      <c r="E12" s="11"/>
      <c r="F12" s="11"/>
      <c r="G12" s="11"/>
      <c r="H12" s="11"/>
      <c r="I12" s="11"/>
      <c r="J12" s="12"/>
    </row>
    <row r="13" spans="1:10" x14ac:dyDescent="0.3">
      <c r="A13" s="13" t="s">
        <v>11</v>
      </c>
      <c r="B13" s="19"/>
      <c r="C13" s="19">
        <v>224.3221723375662</v>
      </c>
      <c r="D13" s="19">
        <v>244.58595901778355</v>
      </c>
      <c r="E13" s="19">
        <v>287.73118963085989</v>
      </c>
      <c r="F13" s="19">
        <v>334.43062352132972</v>
      </c>
      <c r="G13" s="19">
        <v>390.39075474588964</v>
      </c>
      <c r="H13" s="19">
        <v>433.14083104674319</v>
      </c>
      <c r="I13" s="19">
        <v>477.39332216940858</v>
      </c>
      <c r="J13" s="20">
        <v>536.85699922889467</v>
      </c>
    </row>
    <row r="14" spans="1:10" x14ac:dyDescent="0.3">
      <c r="A14" s="13" t="s">
        <v>12</v>
      </c>
      <c r="B14" s="19"/>
      <c r="C14" s="19">
        <v>413.16385501430676</v>
      </c>
      <c r="D14" s="19">
        <v>451.21634106507213</v>
      </c>
      <c r="E14" s="19">
        <v>507.87403008891613</v>
      </c>
      <c r="F14" s="19">
        <v>587.86035848903634</v>
      </c>
      <c r="G14" s="19">
        <v>673.57686729519673</v>
      </c>
      <c r="H14" s="19">
        <v>744.83424180757015</v>
      </c>
      <c r="I14" s="19">
        <v>821.70126591481358</v>
      </c>
      <c r="J14" s="20">
        <v>904.58383704798393</v>
      </c>
    </row>
    <row r="15" spans="1:10" x14ac:dyDescent="0.3">
      <c r="A15" s="13" t="s">
        <v>13</v>
      </c>
      <c r="B15" s="19"/>
      <c r="C15" s="19">
        <v>423.99692516884915</v>
      </c>
      <c r="D15" s="19">
        <v>454.19602824420861</v>
      </c>
      <c r="E15" s="19">
        <v>516.96719233664783</v>
      </c>
      <c r="F15" s="19">
        <v>590.64335077121484</v>
      </c>
      <c r="G15" s="19">
        <v>671.56992487457683</v>
      </c>
      <c r="H15" s="19">
        <v>728.45583711198594</v>
      </c>
      <c r="I15" s="19">
        <v>793.72967095544311</v>
      </c>
      <c r="J15" s="20">
        <v>867.90036617444616</v>
      </c>
    </row>
    <row r="16" spans="1:10" x14ac:dyDescent="0.3">
      <c r="A16" s="13" t="s">
        <v>14</v>
      </c>
      <c r="B16" s="19"/>
      <c r="C16" s="19">
        <v>496.64874508940039</v>
      </c>
      <c r="D16" s="19">
        <v>543.06981096888285</v>
      </c>
      <c r="E16" s="19">
        <v>666.88049765260564</v>
      </c>
      <c r="F16" s="19">
        <v>803.98594658403351</v>
      </c>
      <c r="G16" s="19">
        <v>952.10138371717937</v>
      </c>
      <c r="H16" s="19">
        <v>1056.6699413688023</v>
      </c>
      <c r="I16" s="19">
        <v>1159.4505830619887</v>
      </c>
      <c r="J16" s="20">
        <v>1281.5864723771001</v>
      </c>
    </row>
    <row r="17" spans="1:10" x14ac:dyDescent="0.3">
      <c r="A17" s="16" t="s">
        <v>17</v>
      </c>
      <c r="B17" s="21"/>
      <c r="C17" s="21">
        <f t="shared" ref="C17:J17" si="1">SUM(C13:C16)</f>
        <v>1558.1316976101225</v>
      </c>
      <c r="D17" s="21">
        <f t="shared" si="1"/>
        <v>1693.0681392959473</v>
      </c>
      <c r="E17" s="21">
        <f t="shared" si="1"/>
        <v>1979.4529097090294</v>
      </c>
      <c r="F17" s="21">
        <f t="shared" si="1"/>
        <v>2316.9202793656145</v>
      </c>
      <c r="G17" s="21">
        <f t="shared" si="1"/>
        <v>2687.6389306328424</v>
      </c>
      <c r="H17" s="21">
        <f t="shared" si="1"/>
        <v>2963.1008513351017</v>
      </c>
      <c r="I17" s="21">
        <f t="shared" si="1"/>
        <v>3252.274842101654</v>
      </c>
      <c r="J17" s="22">
        <f t="shared" si="1"/>
        <v>3590.9276748284246</v>
      </c>
    </row>
    <row r="18" spans="1:10" x14ac:dyDescent="0.3">
      <c r="A18" s="13"/>
      <c r="B18" s="10"/>
      <c r="C18" s="11"/>
      <c r="D18" s="11"/>
      <c r="E18" s="11"/>
      <c r="F18" s="11"/>
      <c r="G18" s="11"/>
      <c r="H18" s="11"/>
      <c r="I18" s="11"/>
      <c r="J18" s="12"/>
    </row>
    <row r="19" spans="1:10" x14ac:dyDescent="0.3">
      <c r="A19" s="9" t="s">
        <v>18</v>
      </c>
      <c r="B19" s="10"/>
      <c r="C19" s="11"/>
      <c r="D19" s="11"/>
      <c r="E19" s="11"/>
      <c r="F19" s="11"/>
      <c r="G19" s="11"/>
      <c r="H19" s="11"/>
      <c r="I19" s="11"/>
      <c r="J19" s="12"/>
    </row>
    <row r="20" spans="1:10" x14ac:dyDescent="0.3">
      <c r="A20" s="13" t="s">
        <v>11</v>
      </c>
      <c r="B20" s="19"/>
      <c r="C20" s="11">
        <v>67.296651701269852</v>
      </c>
      <c r="D20" s="11">
        <v>73.375787705335043</v>
      </c>
      <c r="E20" s="11">
        <v>86.319356889257975</v>
      </c>
      <c r="F20" s="11">
        <v>100.32918705639891</v>
      </c>
      <c r="G20" s="11">
        <v>117.11722642376685</v>
      </c>
      <c r="H20" s="11">
        <v>129.94224931402294</v>
      </c>
      <c r="I20" s="11">
        <v>143.21799665082258</v>
      </c>
      <c r="J20" s="12">
        <v>161.05709976866837</v>
      </c>
    </row>
    <row r="21" spans="1:10" x14ac:dyDescent="0.3">
      <c r="A21" s="13" t="s">
        <v>12</v>
      </c>
      <c r="B21" s="19"/>
      <c r="C21" s="11">
        <v>123.94915650429203</v>
      </c>
      <c r="D21" s="11">
        <v>135.3649023195216</v>
      </c>
      <c r="E21" s="11">
        <v>152.36220902667486</v>
      </c>
      <c r="F21" s="11">
        <v>176.35810754671093</v>
      </c>
      <c r="G21" s="11">
        <v>202.073060188559</v>
      </c>
      <c r="H21" s="11">
        <v>223.45027254227108</v>
      </c>
      <c r="I21" s="11">
        <v>246.51037977444412</v>
      </c>
      <c r="J21" s="12">
        <v>271.37515111439518</v>
      </c>
    </row>
    <row r="22" spans="1:10" x14ac:dyDescent="0.3">
      <c r="A22" s="13" t="s">
        <v>13</v>
      </c>
      <c r="B22" s="19"/>
      <c r="C22" s="11">
        <v>127.19907755065475</v>
      </c>
      <c r="D22" s="11">
        <v>136.25880847326258</v>
      </c>
      <c r="E22" s="11">
        <v>155.09015770099433</v>
      </c>
      <c r="F22" s="11">
        <v>177.19300523136445</v>
      </c>
      <c r="G22" s="11">
        <v>201.4709774623731</v>
      </c>
      <c r="H22" s="11">
        <v>218.53675113359574</v>
      </c>
      <c r="I22" s="11">
        <v>238.11890128663296</v>
      </c>
      <c r="J22" s="12">
        <v>260.37010985233394</v>
      </c>
    </row>
    <row r="23" spans="1:10" x14ac:dyDescent="0.3">
      <c r="A23" s="13" t="s">
        <v>14</v>
      </c>
      <c r="B23" s="19"/>
      <c r="C23" s="11">
        <v>148.99462352682008</v>
      </c>
      <c r="D23" s="11">
        <v>162.92094329066487</v>
      </c>
      <c r="E23" s="11">
        <v>200.06414929578165</v>
      </c>
      <c r="F23" s="11">
        <v>241.19578397521013</v>
      </c>
      <c r="G23" s="11">
        <v>285.63041511515388</v>
      </c>
      <c r="H23" s="11">
        <v>317.00098241064063</v>
      </c>
      <c r="I23" s="11">
        <v>347.83517491859658</v>
      </c>
      <c r="J23" s="12">
        <v>384.47594171313</v>
      </c>
    </row>
    <row r="24" spans="1:10" x14ac:dyDescent="0.3">
      <c r="A24" s="16" t="s">
        <v>17</v>
      </c>
      <c r="B24" s="21"/>
      <c r="C24" s="21">
        <f t="shared" ref="C24:J24" si="2">SUM(C20:C23)</f>
        <v>467.43950928303673</v>
      </c>
      <c r="D24" s="21">
        <f t="shared" si="2"/>
        <v>507.9204417887841</v>
      </c>
      <c r="E24" s="21">
        <f t="shared" si="2"/>
        <v>593.83587291270874</v>
      </c>
      <c r="F24" s="21">
        <f t="shared" si="2"/>
        <v>695.07608380968441</v>
      </c>
      <c r="G24" s="21">
        <f t="shared" si="2"/>
        <v>806.29167918985286</v>
      </c>
      <c r="H24" s="21">
        <f t="shared" si="2"/>
        <v>888.93025540053043</v>
      </c>
      <c r="I24" s="21">
        <f t="shared" si="2"/>
        <v>975.6824526304963</v>
      </c>
      <c r="J24" s="22">
        <f t="shared" si="2"/>
        <v>1077.2783024485275</v>
      </c>
    </row>
    <row r="25" spans="1:10" x14ac:dyDescent="0.3">
      <c r="A25" s="16"/>
      <c r="B25" s="23"/>
      <c r="C25" s="24"/>
      <c r="D25" s="24"/>
      <c r="E25" s="24"/>
      <c r="F25" s="24"/>
      <c r="G25" s="24"/>
      <c r="H25" s="24"/>
      <c r="I25" s="24"/>
      <c r="J25" s="25"/>
    </row>
    <row r="26" spans="1:10" x14ac:dyDescent="0.3">
      <c r="A26" s="9" t="s">
        <v>19</v>
      </c>
      <c r="B26" s="23"/>
      <c r="C26" s="24"/>
      <c r="D26" s="24"/>
      <c r="E26" s="24"/>
      <c r="F26" s="24"/>
      <c r="G26" s="24"/>
      <c r="H26" s="24"/>
      <c r="I26" s="24"/>
      <c r="J26" s="25"/>
    </row>
    <row r="27" spans="1:10" x14ac:dyDescent="0.3">
      <c r="A27" s="9"/>
      <c r="B27" s="23" t="s">
        <v>20</v>
      </c>
      <c r="C27" s="24"/>
      <c r="D27" s="24"/>
      <c r="E27" s="24"/>
      <c r="F27" s="24"/>
      <c r="G27" s="24"/>
      <c r="H27" s="24"/>
      <c r="I27" s="24"/>
      <c r="J27" s="25"/>
    </row>
    <row r="28" spans="1:10" x14ac:dyDescent="0.3">
      <c r="A28" s="13" t="s">
        <v>11</v>
      </c>
      <c r="B28" s="11" t="s">
        <v>21</v>
      </c>
      <c r="C28" s="11">
        <v>0</v>
      </c>
      <c r="D28" s="11">
        <v>0</v>
      </c>
      <c r="E28" s="11">
        <v>0</v>
      </c>
      <c r="F28" s="11">
        <v>33.75</v>
      </c>
      <c r="G28" s="11">
        <v>61.875</v>
      </c>
      <c r="H28" s="11">
        <v>74.25</v>
      </c>
      <c r="I28" s="11">
        <v>74.25</v>
      </c>
      <c r="J28" s="12">
        <v>71.081249999999997</v>
      </c>
    </row>
    <row r="29" spans="1:10" x14ac:dyDescent="0.3">
      <c r="A29" s="13" t="s">
        <v>12</v>
      </c>
      <c r="B29" s="26" t="s">
        <v>22</v>
      </c>
      <c r="C29" s="11">
        <v>0</v>
      </c>
      <c r="D29" s="11">
        <v>0</v>
      </c>
      <c r="E29" s="11">
        <v>12.239999999999998</v>
      </c>
      <c r="F29" s="11">
        <v>53.256</v>
      </c>
      <c r="G29" s="11">
        <v>69.272000000000006</v>
      </c>
      <c r="H29" s="11">
        <v>85.288000000000011</v>
      </c>
      <c r="I29" s="11">
        <v>107.15039999999999</v>
      </c>
      <c r="J29" s="12">
        <v>116.3984</v>
      </c>
    </row>
    <row r="30" spans="1:10" x14ac:dyDescent="0.3">
      <c r="A30" s="13" t="s">
        <v>12</v>
      </c>
      <c r="B30" s="26" t="s">
        <v>23</v>
      </c>
      <c r="C30" s="11">
        <v>0</v>
      </c>
      <c r="D30" s="11">
        <v>0</v>
      </c>
      <c r="E30" s="11">
        <v>100</v>
      </c>
      <c r="F30" s="11">
        <v>100</v>
      </c>
      <c r="G30" s="11">
        <v>0</v>
      </c>
      <c r="H30" s="11">
        <v>100</v>
      </c>
      <c r="I30" s="11">
        <v>0</v>
      </c>
      <c r="J30" s="12">
        <v>100</v>
      </c>
    </row>
    <row r="31" spans="1:10" x14ac:dyDescent="0.3">
      <c r="A31" s="13" t="s">
        <v>13</v>
      </c>
      <c r="B31" s="26" t="s">
        <v>22</v>
      </c>
      <c r="C31" s="11">
        <v>0</v>
      </c>
      <c r="D31" s="11">
        <v>14</v>
      </c>
      <c r="E31" s="11">
        <v>14</v>
      </c>
      <c r="F31" s="11">
        <v>34.087199999999996</v>
      </c>
      <c r="G31" s="11">
        <v>53.845679999999987</v>
      </c>
      <c r="H31" s="11">
        <v>71.628311999999994</v>
      </c>
      <c r="I31" s="11">
        <v>100.33348079999999</v>
      </c>
      <c r="J31" s="12">
        <v>137.78701272000001</v>
      </c>
    </row>
    <row r="32" spans="1:10" x14ac:dyDescent="0.3">
      <c r="A32" s="13" t="s">
        <v>14</v>
      </c>
      <c r="B32" s="26" t="s">
        <v>22</v>
      </c>
      <c r="C32" s="11">
        <v>0</v>
      </c>
      <c r="D32" s="11">
        <v>12</v>
      </c>
      <c r="E32" s="11">
        <v>34.4</v>
      </c>
      <c r="F32" s="11">
        <v>66.999600000000001</v>
      </c>
      <c r="G32" s="11">
        <v>112.99924</v>
      </c>
      <c r="H32" s="11">
        <v>154.92811599999999</v>
      </c>
      <c r="I32" s="11">
        <v>193.19330439999999</v>
      </c>
      <c r="J32" s="12">
        <v>220.33049395999996</v>
      </c>
    </row>
    <row r="33" spans="1:10" x14ac:dyDescent="0.3">
      <c r="A33" s="16" t="s">
        <v>24</v>
      </c>
      <c r="B33" s="27"/>
      <c r="C33" s="24">
        <f>SUM(C28:C32)</f>
        <v>0</v>
      </c>
      <c r="D33" s="24">
        <f>SUM(D28:D32)</f>
        <v>26</v>
      </c>
      <c r="E33" s="24">
        <f t="shared" ref="E33:J33" si="3">SUM(E28:E32)</f>
        <v>160.63999999999999</v>
      </c>
      <c r="F33" s="24">
        <f t="shared" si="3"/>
        <v>288.09280000000001</v>
      </c>
      <c r="G33" s="24">
        <f t="shared" si="3"/>
        <v>297.99191999999999</v>
      </c>
      <c r="H33" s="24">
        <f t="shared" si="3"/>
        <v>486.09442799999999</v>
      </c>
      <c r="I33" s="24">
        <f t="shared" si="3"/>
        <v>474.92718519999994</v>
      </c>
      <c r="J33" s="25">
        <f t="shared" si="3"/>
        <v>645.5971566799999</v>
      </c>
    </row>
    <row r="34" spans="1:10" x14ac:dyDescent="0.3">
      <c r="A34" s="16" t="s">
        <v>25</v>
      </c>
      <c r="B34" s="27"/>
      <c r="C34" s="24"/>
      <c r="D34" s="24"/>
      <c r="E34" s="24"/>
      <c r="F34" s="28"/>
      <c r="G34" s="28"/>
      <c r="H34" s="28"/>
      <c r="I34" s="28"/>
      <c r="J34" s="28"/>
    </row>
    <row r="35" spans="1:10" x14ac:dyDescent="0.3">
      <c r="A35" s="13" t="s">
        <v>13</v>
      </c>
      <c r="B35" s="26" t="s">
        <v>26</v>
      </c>
      <c r="C35" s="11">
        <v>0</v>
      </c>
      <c r="D35" s="11">
        <v>45</v>
      </c>
      <c r="E35" s="11">
        <v>60</v>
      </c>
      <c r="F35" s="11">
        <v>75</v>
      </c>
      <c r="G35" s="11">
        <v>90</v>
      </c>
      <c r="H35" s="11">
        <v>105</v>
      </c>
      <c r="I35" s="11">
        <v>120</v>
      </c>
      <c r="J35" s="12">
        <v>120</v>
      </c>
    </row>
    <row r="36" spans="1:10" x14ac:dyDescent="0.3">
      <c r="A36" s="13" t="s">
        <v>14</v>
      </c>
      <c r="B36" s="26" t="s">
        <v>27</v>
      </c>
      <c r="C36" s="11">
        <v>0</v>
      </c>
      <c r="D36" s="11">
        <v>30</v>
      </c>
      <c r="E36" s="11">
        <v>40</v>
      </c>
      <c r="F36" s="11">
        <v>50</v>
      </c>
      <c r="G36" s="11">
        <v>60</v>
      </c>
      <c r="H36" s="11">
        <v>70</v>
      </c>
      <c r="I36" s="11">
        <v>80</v>
      </c>
      <c r="J36" s="12">
        <v>80</v>
      </c>
    </row>
    <row r="37" spans="1:10" ht="15.75" thickBot="1" x14ac:dyDescent="0.35">
      <c r="A37" s="29" t="s">
        <v>28</v>
      </c>
      <c r="B37" s="30"/>
      <c r="C37" s="31">
        <f>SUM(C35:C36)+C33</f>
        <v>0</v>
      </c>
      <c r="D37" s="31">
        <f t="shared" ref="D37:J37" si="4">SUM(D35:D36)+D33</f>
        <v>101</v>
      </c>
      <c r="E37" s="31">
        <f t="shared" si="4"/>
        <v>260.64</v>
      </c>
      <c r="F37" s="31">
        <f t="shared" si="4"/>
        <v>413.09280000000001</v>
      </c>
      <c r="G37" s="31">
        <f t="shared" si="4"/>
        <v>447.99191999999999</v>
      </c>
      <c r="H37" s="31">
        <f t="shared" si="4"/>
        <v>661.09442799999999</v>
      </c>
      <c r="I37" s="31">
        <f t="shared" si="4"/>
        <v>674.92718519999994</v>
      </c>
      <c r="J37" s="32">
        <f t="shared" si="4"/>
        <v>845.5971566799999</v>
      </c>
    </row>
    <row r="38" spans="1:10" x14ac:dyDescent="0.3">
      <c r="A38" s="436" t="s">
        <v>29</v>
      </c>
      <c r="B38" s="33" t="s">
        <v>30</v>
      </c>
      <c r="C38" s="34">
        <f>C53</f>
        <v>0</v>
      </c>
      <c r="D38" s="34">
        <f t="shared" ref="D38:J38" si="5">D53</f>
        <v>1.5035421812680172E-2</v>
      </c>
      <c r="E38" s="34">
        <f t="shared" si="5"/>
        <v>0.10641299089160786</v>
      </c>
      <c r="F38" s="34">
        <f t="shared" si="5"/>
        <v>0.22532826407446901</v>
      </c>
      <c r="G38" s="34">
        <f t="shared" si="5"/>
        <v>0.29585234307474578</v>
      </c>
      <c r="H38" s="34">
        <f t="shared" si="5"/>
        <v>0.39236441110572101</v>
      </c>
      <c r="I38" s="34">
        <f t="shared" si="5"/>
        <v>0.41799634490186538</v>
      </c>
      <c r="J38" s="35">
        <f t="shared" si="5"/>
        <v>0.48176987536608806</v>
      </c>
    </row>
    <row r="39" spans="1:10" x14ac:dyDescent="0.3">
      <c r="A39" s="437"/>
      <c r="B39" s="36" t="s">
        <v>25</v>
      </c>
      <c r="C39" s="37">
        <f>C56</f>
        <v>0</v>
      </c>
      <c r="D39" s="37">
        <f t="shared" ref="D39:J39" si="6">D56</f>
        <v>4.3853313620317164E-2</v>
      </c>
      <c r="E39" s="37">
        <f t="shared" si="6"/>
        <v>8.7953521248377048E-2</v>
      </c>
      <c r="F39" s="37">
        <f t="shared" si="6"/>
        <v>0.12906660801160669</v>
      </c>
      <c r="G39" s="37">
        <f t="shared" si="6"/>
        <v>0.1486739390608926</v>
      </c>
      <c r="H39" s="37">
        <f t="shared" si="6"/>
        <v>0.16304741812546017</v>
      </c>
      <c r="I39" s="37">
        <f t="shared" si="6"/>
        <v>0.17415694186537714</v>
      </c>
      <c r="J39" s="38">
        <f t="shared" si="6"/>
        <v>0.17417398496927297</v>
      </c>
    </row>
    <row r="40" spans="1:10" ht="15.75" thickBot="1" x14ac:dyDescent="0.35">
      <c r="A40" s="438"/>
      <c r="B40" s="39" t="s">
        <v>31</v>
      </c>
      <c r="C40" s="40">
        <f>C59</f>
        <v>0</v>
      </c>
      <c r="D40" s="40">
        <f t="shared" ref="D40:J40" si="7">D59</f>
        <v>5.888873543299733E-2</v>
      </c>
      <c r="E40" s="40">
        <f t="shared" si="7"/>
        <v>0.1943665121399849</v>
      </c>
      <c r="F40" s="40">
        <f t="shared" si="7"/>
        <v>0.35439487208607573</v>
      </c>
      <c r="G40" s="40">
        <f t="shared" si="7"/>
        <v>0.44452628213563838</v>
      </c>
      <c r="H40" s="40">
        <f t="shared" si="7"/>
        <v>0.55541182923118115</v>
      </c>
      <c r="I40" s="40">
        <f t="shared" si="7"/>
        <v>0.59215328676724244</v>
      </c>
      <c r="J40" s="41">
        <f t="shared" si="7"/>
        <v>0.65594386033536101</v>
      </c>
    </row>
    <row r="41" spans="1:10" x14ac:dyDescent="0.3">
      <c r="A41" s="42" t="s">
        <v>32</v>
      </c>
      <c r="B41" s="43"/>
      <c r="C41" s="44"/>
      <c r="D41" s="44"/>
      <c r="E41" s="44"/>
      <c r="F41" s="44"/>
      <c r="G41" s="44"/>
      <c r="H41" s="44"/>
      <c r="I41" s="44"/>
      <c r="J41" s="44"/>
    </row>
    <row r="42" spans="1:10" s="48" customFormat="1" ht="12.75" x14ac:dyDescent="0.25">
      <c r="A42" s="45" t="s">
        <v>33</v>
      </c>
      <c r="B42" s="46"/>
      <c r="C42" s="47"/>
      <c r="D42" s="47"/>
      <c r="E42" s="47"/>
      <c r="F42" s="47"/>
      <c r="G42" s="47"/>
      <c r="H42" s="47"/>
      <c r="I42" s="47"/>
      <c r="J42" s="47"/>
    </row>
    <row r="43" spans="1:10" s="48" customFormat="1" ht="12.75" x14ac:dyDescent="0.25">
      <c r="A43" s="45" t="s">
        <v>34</v>
      </c>
      <c r="B43" s="46"/>
      <c r="C43" s="47"/>
      <c r="D43" s="47"/>
      <c r="E43" s="47"/>
      <c r="F43" s="47"/>
      <c r="G43" s="47"/>
      <c r="H43" s="47"/>
      <c r="I43" s="47"/>
      <c r="J43" s="47"/>
    </row>
    <row r="44" spans="1:10" s="48" customFormat="1" ht="12.75" x14ac:dyDescent="0.25">
      <c r="A44" s="45" t="s">
        <v>35</v>
      </c>
      <c r="B44" s="46"/>
      <c r="C44" s="47"/>
      <c r="D44" s="47"/>
      <c r="E44" s="47"/>
      <c r="F44" s="47"/>
      <c r="G44" s="47"/>
      <c r="H44" s="47"/>
      <c r="I44" s="47"/>
      <c r="J44" s="47"/>
    </row>
    <row r="45" spans="1:10" s="48" customFormat="1" ht="12.75" x14ac:dyDescent="0.25">
      <c r="A45" s="45" t="s">
        <v>36</v>
      </c>
      <c r="B45" s="46"/>
      <c r="C45" s="47"/>
      <c r="D45" s="47"/>
      <c r="E45" s="47"/>
      <c r="F45" s="47"/>
      <c r="G45" s="47"/>
      <c r="H45" s="47"/>
      <c r="I45" s="47"/>
      <c r="J45" s="47"/>
    </row>
    <row r="46" spans="1:10" ht="30" customHeight="1" x14ac:dyDescent="0.3">
      <c r="A46" s="43"/>
      <c r="B46" s="43"/>
      <c r="C46" s="44"/>
      <c r="D46" s="44"/>
      <c r="E46" s="44"/>
      <c r="F46" s="44"/>
      <c r="G46" s="44"/>
      <c r="H46" s="44"/>
      <c r="I46" s="44"/>
      <c r="J46" s="44"/>
    </row>
    <row r="47" spans="1:10" ht="15.75" thickBot="1" x14ac:dyDescent="0.35">
      <c r="A47" s="49"/>
      <c r="B47" s="49"/>
    </row>
    <row r="48" spans="1:10" x14ac:dyDescent="0.3">
      <c r="C48" s="7" t="s">
        <v>2</v>
      </c>
      <c r="D48" s="7" t="s">
        <v>3</v>
      </c>
      <c r="E48" s="7" t="s">
        <v>4</v>
      </c>
      <c r="F48" s="7" t="s">
        <v>5</v>
      </c>
      <c r="G48" s="7" t="s">
        <v>6</v>
      </c>
      <c r="H48" s="7" t="s">
        <v>7</v>
      </c>
      <c r="I48" s="7" t="s">
        <v>8</v>
      </c>
      <c r="J48" s="8" t="s">
        <v>9</v>
      </c>
    </row>
    <row r="50" spans="1:12" x14ac:dyDescent="0.3">
      <c r="E50" s="50">
        <v>656.38136363123908</v>
      </c>
      <c r="F50" s="50">
        <f>E50*(1+$L$50)</f>
        <v>707.20215203294981</v>
      </c>
      <c r="G50" s="50">
        <f>F50*(1+$L$50)</f>
        <v>761.95777569488655</v>
      </c>
      <c r="H50" s="50">
        <f>G50*(1+$L$50)</f>
        <v>820.95289200258094</v>
      </c>
      <c r="I50" s="50">
        <f>H50*(1+$L$50)</f>
        <v>884.51574665376074</v>
      </c>
      <c r="J50" s="50">
        <v>952.99999999999977</v>
      </c>
      <c r="L50" s="1">
        <f>(J50/E50)^(1/5)-1</f>
        <v>7.7425702827026432E-2</v>
      </c>
    </row>
    <row r="52" spans="1:12" x14ac:dyDescent="0.3">
      <c r="A52" s="1" t="s">
        <v>37</v>
      </c>
      <c r="C52" s="50">
        <v>0</v>
      </c>
      <c r="D52" s="50">
        <v>7.2</v>
      </c>
      <c r="E52" s="50">
        <v>59.283999999999999</v>
      </c>
      <c r="F52" s="50">
        <v>146.64966000000001</v>
      </c>
      <c r="G52" s="50">
        <v>222.87337400000001</v>
      </c>
      <c r="H52" s="50">
        <v>325.67202993333336</v>
      </c>
      <c r="I52" s="50">
        <v>380.81793360666666</v>
      </c>
      <c r="J52" s="50">
        <v>484.05465491266659</v>
      </c>
    </row>
    <row r="53" spans="1:12" x14ac:dyDescent="0.3">
      <c r="A53" s="1" t="s">
        <v>38</v>
      </c>
      <c r="C53" s="51">
        <f t="shared" ref="C53:J53" si="8">C52/C10</f>
        <v>0</v>
      </c>
      <c r="D53" s="51">
        <f t="shared" si="8"/>
        <v>1.5035421812680172E-2</v>
      </c>
      <c r="E53" s="51">
        <f t="shared" si="8"/>
        <v>0.10641299089160786</v>
      </c>
      <c r="F53" s="51">
        <f t="shared" si="8"/>
        <v>0.22532826407446901</v>
      </c>
      <c r="G53" s="51">
        <f t="shared" si="8"/>
        <v>0.29585234307474578</v>
      </c>
      <c r="H53" s="51">
        <f t="shared" si="8"/>
        <v>0.39236441110572101</v>
      </c>
      <c r="I53" s="51">
        <f t="shared" si="8"/>
        <v>0.41799634490186538</v>
      </c>
      <c r="J53" s="51">
        <f t="shared" si="8"/>
        <v>0.48176987536608806</v>
      </c>
    </row>
    <row r="55" spans="1:12" x14ac:dyDescent="0.3">
      <c r="A55" s="1" t="s">
        <v>39</v>
      </c>
      <c r="C55" s="50">
        <v>0</v>
      </c>
      <c r="D55" s="50">
        <v>21</v>
      </c>
      <c r="E55" s="50">
        <v>49</v>
      </c>
      <c r="F55" s="50">
        <v>84</v>
      </c>
      <c r="G55" s="50">
        <v>112</v>
      </c>
      <c r="H55" s="50">
        <v>135.33333333333334</v>
      </c>
      <c r="I55" s="50">
        <v>158.66666666666666</v>
      </c>
      <c r="J55" s="50">
        <v>175</v>
      </c>
    </row>
    <row r="56" spans="1:12" x14ac:dyDescent="0.3">
      <c r="A56" s="1" t="s">
        <v>40</v>
      </c>
      <c r="C56" s="51">
        <f t="shared" ref="C56:J56" si="9">C55/C10</f>
        <v>0</v>
      </c>
      <c r="D56" s="51">
        <f t="shared" si="9"/>
        <v>4.3853313620317164E-2</v>
      </c>
      <c r="E56" s="51">
        <f t="shared" si="9"/>
        <v>8.7953521248377048E-2</v>
      </c>
      <c r="F56" s="51">
        <f t="shared" si="9"/>
        <v>0.12906660801160669</v>
      </c>
      <c r="G56" s="51">
        <f t="shared" si="9"/>
        <v>0.1486739390608926</v>
      </c>
      <c r="H56" s="51">
        <f t="shared" si="9"/>
        <v>0.16304741812546017</v>
      </c>
      <c r="I56" s="51">
        <f t="shared" si="9"/>
        <v>0.17415694186537714</v>
      </c>
      <c r="J56" s="51">
        <f t="shared" si="9"/>
        <v>0.17417398496927297</v>
      </c>
    </row>
    <row r="58" spans="1:12" x14ac:dyDescent="0.3">
      <c r="A58" s="1" t="s">
        <v>41</v>
      </c>
      <c r="C58" s="50">
        <v>0</v>
      </c>
      <c r="D58" s="50">
        <v>28.2</v>
      </c>
      <c r="E58" s="50">
        <v>108.28399999999999</v>
      </c>
      <c r="F58" s="50">
        <v>230.64966000000001</v>
      </c>
      <c r="G58" s="50">
        <v>334.87337400000001</v>
      </c>
      <c r="H58" s="50">
        <v>461.00536326666668</v>
      </c>
      <c r="I58" s="50">
        <v>539.48460027333329</v>
      </c>
      <c r="J58" s="50">
        <v>659.05465491266659</v>
      </c>
    </row>
    <row r="59" spans="1:12" x14ac:dyDescent="0.3">
      <c r="A59" s="1" t="s">
        <v>42</v>
      </c>
      <c r="C59" s="51">
        <f t="shared" ref="C59:J59" si="10">C58/C10</f>
        <v>0</v>
      </c>
      <c r="D59" s="51">
        <f t="shared" si="10"/>
        <v>5.888873543299733E-2</v>
      </c>
      <c r="E59" s="51">
        <f t="shared" si="10"/>
        <v>0.1943665121399849</v>
      </c>
      <c r="F59" s="51">
        <f t="shared" si="10"/>
        <v>0.35439487208607573</v>
      </c>
      <c r="G59" s="51">
        <f t="shared" si="10"/>
        <v>0.44452628213563838</v>
      </c>
      <c r="H59" s="51">
        <f t="shared" si="10"/>
        <v>0.55541182923118115</v>
      </c>
      <c r="I59" s="51">
        <f t="shared" si="10"/>
        <v>0.59215328676724244</v>
      </c>
      <c r="J59" s="52">
        <f t="shared" si="10"/>
        <v>0.65594386033536101</v>
      </c>
    </row>
  </sheetData>
  <mergeCells count="2">
    <mergeCell ref="A2:J2"/>
    <mergeCell ref="A38:A40"/>
  </mergeCells>
  <printOptions horizontalCentered="1" verticalCentered="1"/>
  <pageMargins left="0" right="0" top="0" bottom="0" header="0" footer="0"/>
  <pageSetup scale="8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C66"/>
  <sheetViews>
    <sheetView workbookViewId="0">
      <selection activeCell="F19" sqref="F19"/>
    </sheetView>
  </sheetViews>
  <sheetFormatPr defaultRowHeight="15" x14ac:dyDescent="0.25"/>
  <cols>
    <col min="1" max="1" width="39.85546875" customWidth="1"/>
    <col min="2" max="2" width="13.5703125" customWidth="1"/>
    <col min="3" max="3" width="12.42578125" customWidth="1"/>
    <col min="4" max="4" width="14.42578125" bestFit="1" customWidth="1"/>
    <col min="5" max="5" width="14.5703125" bestFit="1" customWidth="1"/>
    <col min="6" max="7" width="14.7109375" bestFit="1" customWidth="1"/>
    <col min="8" max="8" width="14.42578125" bestFit="1" customWidth="1"/>
    <col min="9" max="9" width="14.7109375" bestFit="1" customWidth="1"/>
    <col min="10" max="14" width="14.28515625" bestFit="1" customWidth="1"/>
    <col min="15" max="16" width="14.42578125" bestFit="1" customWidth="1"/>
    <col min="17" max="28" width="15" customWidth="1"/>
  </cols>
  <sheetData>
    <row r="1" spans="1:29" x14ac:dyDescent="0.25">
      <c r="A1" s="103"/>
      <c r="B1" s="104" t="s">
        <v>47</v>
      </c>
      <c r="C1" s="105" t="s">
        <v>4</v>
      </c>
      <c r="D1" s="105" t="s">
        <v>5</v>
      </c>
      <c r="E1" s="105" t="s">
        <v>6</v>
      </c>
      <c r="F1" s="105" t="s">
        <v>7</v>
      </c>
      <c r="G1" s="105" t="s">
        <v>8</v>
      </c>
      <c r="H1" s="105" t="s">
        <v>9</v>
      </c>
      <c r="I1" s="106" t="s">
        <v>48</v>
      </c>
      <c r="J1" s="104" t="s">
        <v>49</v>
      </c>
      <c r="K1" s="104" t="s">
        <v>121</v>
      </c>
      <c r="L1" s="104" t="s">
        <v>122</v>
      </c>
      <c r="M1" s="104" t="s">
        <v>123</v>
      </c>
      <c r="N1" s="104" t="s">
        <v>124</v>
      </c>
      <c r="O1" s="104" t="s">
        <v>125</v>
      </c>
      <c r="P1" s="104" t="s">
        <v>126</v>
      </c>
      <c r="Q1" s="104" t="s">
        <v>127</v>
      </c>
      <c r="R1" s="104" t="s">
        <v>196</v>
      </c>
      <c r="S1" s="107" t="s">
        <v>167</v>
      </c>
      <c r="T1" s="107" t="s">
        <v>168</v>
      </c>
      <c r="U1" s="107" t="s">
        <v>169</v>
      </c>
      <c r="V1" s="107" t="s">
        <v>170</v>
      </c>
      <c r="W1" s="107" t="s">
        <v>171</v>
      </c>
      <c r="X1" s="107" t="s">
        <v>172</v>
      </c>
      <c r="Y1" s="107" t="s">
        <v>173</v>
      </c>
      <c r="Z1" s="107" t="s">
        <v>174</v>
      </c>
      <c r="AA1" s="107" t="s">
        <v>175</v>
      </c>
      <c r="AB1" s="107" t="s">
        <v>176</v>
      </c>
      <c r="AC1" s="107" t="s">
        <v>177</v>
      </c>
    </row>
    <row r="2" spans="1:29" x14ac:dyDescent="0.25">
      <c r="A2" s="109" t="s">
        <v>310</v>
      </c>
      <c r="B2" s="107"/>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row>
    <row r="3" spans="1:29" hidden="1" x14ac:dyDescent="0.25">
      <c r="A3" s="439" t="s">
        <v>225</v>
      </c>
      <c r="B3" s="439"/>
      <c r="C3" s="439"/>
      <c r="D3" s="439"/>
      <c r="E3" s="439"/>
      <c r="F3" s="439"/>
      <c r="G3" s="439"/>
      <c r="H3" s="439"/>
      <c r="I3" s="111"/>
      <c r="J3" s="178"/>
      <c r="K3" s="178"/>
      <c r="L3" s="178"/>
      <c r="M3" s="178"/>
      <c r="N3" s="178"/>
      <c r="O3" s="178"/>
      <c r="P3" s="178"/>
      <c r="Q3" s="178"/>
      <c r="R3" s="178"/>
      <c r="S3" s="178"/>
      <c r="T3" s="178"/>
      <c r="U3" s="178"/>
      <c r="V3" s="178"/>
      <c r="W3" s="178"/>
      <c r="X3" s="178"/>
      <c r="Y3" s="178"/>
      <c r="Z3" s="178"/>
      <c r="AA3" s="178"/>
      <c r="AB3" s="178"/>
      <c r="AC3" s="178"/>
    </row>
    <row r="4" spans="1:29" hidden="1" x14ac:dyDescent="0.25">
      <c r="A4" s="439" t="s">
        <v>226</v>
      </c>
      <c r="B4" s="439"/>
      <c r="C4" s="439"/>
      <c r="D4" s="439"/>
      <c r="E4" s="439"/>
      <c r="F4" s="439"/>
      <c r="G4" s="439"/>
      <c r="H4" s="439"/>
      <c r="I4" s="111"/>
      <c r="J4" s="178"/>
      <c r="K4" s="178"/>
      <c r="L4" s="178"/>
      <c r="M4" s="178"/>
      <c r="N4" s="178"/>
      <c r="O4" s="178"/>
      <c r="P4" s="178"/>
      <c r="Q4" s="178"/>
      <c r="R4" s="178"/>
      <c r="S4" s="178"/>
      <c r="T4" s="178"/>
      <c r="U4" s="178"/>
      <c r="V4" s="178"/>
      <c r="W4" s="178"/>
      <c r="X4" s="178"/>
      <c r="Y4" s="178"/>
      <c r="Z4" s="178"/>
      <c r="AA4" s="178"/>
      <c r="AB4" s="178"/>
      <c r="AC4" s="178"/>
    </row>
    <row r="5" spans="1:29" hidden="1" x14ac:dyDescent="0.25">
      <c r="A5" s="440" t="s">
        <v>229</v>
      </c>
      <c r="B5" s="440"/>
      <c r="C5" s="440"/>
      <c r="D5" s="440"/>
      <c r="E5" s="440"/>
      <c r="F5" s="440"/>
      <c r="G5" s="440"/>
      <c r="H5" s="440"/>
      <c r="I5" s="111"/>
      <c r="J5" s="178"/>
      <c r="K5" s="178"/>
      <c r="L5" s="178"/>
      <c r="M5" s="178"/>
      <c r="N5" s="178"/>
      <c r="O5" s="178"/>
      <c r="P5" s="178"/>
      <c r="Q5" s="178"/>
      <c r="R5" s="178"/>
      <c r="S5" s="178"/>
      <c r="T5" s="178"/>
      <c r="U5" s="178"/>
      <c r="V5" s="178"/>
      <c r="W5" s="178"/>
      <c r="X5" s="178"/>
      <c r="Y5" s="178"/>
      <c r="Z5" s="178"/>
      <c r="AA5" s="178"/>
      <c r="AB5" s="178"/>
      <c r="AC5" s="178"/>
    </row>
    <row r="6" spans="1:29" hidden="1" x14ac:dyDescent="0.25">
      <c r="A6" s="441" t="s">
        <v>227</v>
      </c>
      <c r="B6" s="441"/>
      <c r="C6" s="441"/>
      <c r="D6" s="441"/>
      <c r="E6" s="441"/>
      <c r="F6" s="441"/>
      <c r="G6" s="441"/>
      <c r="H6" s="441"/>
      <c r="I6" s="111"/>
      <c r="J6" s="178"/>
      <c r="K6" s="178"/>
      <c r="L6" s="178"/>
      <c r="M6" s="178"/>
      <c r="N6" s="178"/>
      <c r="O6" s="178"/>
      <c r="P6" s="178"/>
      <c r="Q6" s="178"/>
      <c r="R6" s="178"/>
      <c r="S6" s="178"/>
      <c r="T6" s="178"/>
      <c r="U6" s="178"/>
      <c r="V6" s="178"/>
      <c r="W6" s="178"/>
      <c r="X6" s="178"/>
      <c r="Y6" s="178"/>
      <c r="Z6" s="178"/>
      <c r="AA6" s="178"/>
      <c r="AB6" s="178"/>
      <c r="AC6" s="178"/>
    </row>
    <row r="7" spans="1:29" hidden="1" x14ac:dyDescent="0.25">
      <c r="A7" s="442" t="s">
        <v>228</v>
      </c>
      <c r="B7" s="442"/>
      <c r="C7" s="442"/>
      <c r="D7" s="442"/>
      <c r="E7" s="442"/>
      <c r="F7" s="442"/>
      <c r="G7" s="442"/>
      <c r="H7" s="442"/>
      <c r="I7" s="111"/>
      <c r="J7" s="178"/>
      <c r="K7" s="178"/>
      <c r="L7" s="178"/>
      <c r="M7" s="178"/>
      <c r="N7" s="178"/>
      <c r="O7" s="178"/>
      <c r="P7" s="178"/>
      <c r="Q7" s="178"/>
      <c r="R7" s="178"/>
      <c r="S7" s="178"/>
      <c r="T7" s="178"/>
      <c r="U7" s="178"/>
      <c r="V7" s="178"/>
      <c r="W7" s="178"/>
      <c r="X7" s="178"/>
      <c r="Y7" s="178"/>
      <c r="Z7" s="178"/>
      <c r="AA7" s="178"/>
      <c r="AB7" s="178"/>
      <c r="AC7" s="178"/>
    </row>
    <row r="8" spans="1:29" hidden="1" x14ac:dyDescent="0.25">
      <c r="A8" s="110"/>
      <c r="B8" s="110"/>
      <c r="C8" s="112"/>
      <c r="D8" s="112"/>
      <c r="E8" s="112"/>
      <c r="F8" s="112"/>
      <c r="G8" s="112"/>
      <c r="H8" s="112"/>
      <c r="I8" s="111"/>
      <c r="J8" s="178"/>
      <c r="K8" s="178"/>
      <c r="L8" s="178"/>
      <c r="M8" s="178"/>
      <c r="N8" s="178"/>
      <c r="O8" s="178"/>
      <c r="P8" s="178"/>
      <c r="Q8" s="178"/>
      <c r="R8" s="178"/>
      <c r="S8" s="178"/>
      <c r="T8" s="178"/>
      <c r="U8" s="178"/>
      <c r="V8" s="178"/>
      <c r="W8" s="178"/>
      <c r="X8" s="178"/>
      <c r="Y8" s="178"/>
      <c r="Z8" s="178"/>
      <c r="AA8" s="178"/>
      <c r="AB8" s="178"/>
      <c r="AC8" s="178"/>
    </row>
    <row r="9" spans="1:29" x14ac:dyDescent="0.25">
      <c r="A9" s="110"/>
      <c r="B9" s="110"/>
      <c r="C9" s="112"/>
      <c r="D9" s="112"/>
      <c r="E9" s="112"/>
      <c r="F9" s="112"/>
      <c r="G9" s="112"/>
      <c r="H9" s="112"/>
      <c r="I9" s="111"/>
      <c r="J9" s="178"/>
      <c r="K9" s="178"/>
      <c r="L9" s="178"/>
      <c r="M9" s="178"/>
      <c r="N9" s="178"/>
      <c r="O9" s="178"/>
      <c r="P9" s="178"/>
      <c r="Q9" s="178"/>
      <c r="R9" s="178"/>
      <c r="S9" s="178"/>
      <c r="T9" s="178"/>
      <c r="U9" s="178"/>
      <c r="V9" s="178"/>
      <c r="W9" s="178"/>
      <c r="X9" s="178"/>
      <c r="Y9" s="178"/>
      <c r="Z9" s="178"/>
      <c r="AA9" s="178"/>
      <c r="AB9" s="178"/>
      <c r="AC9" s="178"/>
    </row>
    <row r="10" spans="1:29" ht="25.5" x14ac:dyDescent="0.25">
      <c r="A10" s="107" t="s">
        <v>50</v>
      </c>
      <c r="B10" s="113" t="s">
        <v>47</v>
      </c>
      <c r="C10" s="114" t="s">
        <v>134</v>
      </c>
      <c r="D10" s="115" t="s">
        <v>135</v>
      </c>
      <c r="E10" s="115" t="s">
        <v>14</v>
      </c>
      <c r="F10" s="116"/>
      <c r="G10" s="112"/>
      <c r="H10" s="112"/>
      <c r="I10" s="111"/>
      <c r="J10" s="178"/>
      <c r="K10" s="178"/>
      <c r="L10" s="178"/>
      <c r="M10" s="178"/>
      <c r="N10" s="178"/>
      <c r="O10" s="178"/>
      <c r="P10" s="178"/>
      <c r="Q10" s="178"/>
      <c r="R10" s="178"/>
      <c r="S10" s="178"/>
      <c r="T10" s="178"/>
      <c r="U10" s="178"/>
      <c r="V10" s="178"/>
      <c r="W10" s="178"/>
      <c r="X10" s="178"/>
      <c r="Y10" s="178"/>
      <c r="Z10" s="178"/>
      <c r="AA10" s="178"/>
      <c r="AB10" s="178"/>
      <c r="AC10" s="178"/>
    </row>
    <row r="11" spans="1:29" x14ac:dyDescent="0.25">
      <c r="A11" s="103" t="s">
        <v>328</v>
      </c>
      <c r="B11" s="117" t="s">
        <v>51</v>
      </c>
      <c r="C11" s="116">
        <f>Assumptions!C3</f>
        <v>779.6400000000001</v>
      </c>
      <c r="D11" s="116">
        <f>Assumptions!D3</f>
        <v>2507.1849999999999</v>
      </c>
      <c r="E11" s="116">
        <f>Assumptions!E3</f>
        <v>1668.415</v>
      </c>
      <c r="F11" s="117"/>
      <c r="G11" s="187" t="s">
        <v>311</v>
      </c>
      <c r="H11" s="178"/>
      <c r="I11" s="178"/>
      <c r="J11" s="178"/>
      <c r="K11" s="178"/>
      <c r="L11" s="178"/>
      <c r="M11" s="178"/>
      <c r="N11" s="178"/>
      <c r="O11" s="178"/>
      <c r="P11" s="178"/>
      <c r="Q11" s="178"/>
      <c r="R11" s="178"/>
      <c r="S11" s="178"/>
      <c r="T11" s="178"/>
      <c r="U11" s="178"/>
      <c r="V11" s="178"/>
      <c r="W11" s="178"/>
      <c r="X11" s="178"/>
      <c r="Y11" s="178"/>
      <c r="Z11" s="178"/>
      <c r="AA11" s="178"/>
      <c r="AB11" s="178"/>
      <c r="AC11" s="178"/>
    </row>
    <row r="12" spans="1:29" x14ac:dyDescent="0.25">
      <c r="A12" s="178" t="s">
        <v>52</v>
      </c>
      <c r="B12" s="117" t="s">
        <v>53</v>
      </c>
      <c r="C12" s="117">
        <f>Assumptions!C4</f>
        <v>4</v>
      </c>
      <c r="D12" s="117">
        <f>Assumptions!D4</f>
        <v>3</v>
      </c>
      <c r="E12" s="117">
        <f>Assumptions!E4</f>
        <v>4</v>
      </c>
      <c r="F12" s="117"/>
      <c r="G12" s="178"/>
      <c r="H12" s="178"/>
      <c r="I12" s="178"/>
      <c r="J12" s="178"/>
      <c r="K12" s="178"/>
      <c r="L12" s="178"/>
      <c r="M12" s="178"/>
      <c r="N12" s="178"/>
      <c r="O12" s="178"/>
      <c r="P12" s="178"/>
      <c r="Q12" s="178"/>
      <c r="R12" s="178"/>
      <c r="S12" s="178"/>
      <c r="T12" s="178"/>
      <c r="U12" s="178"/>
      <c r="V12" s="178"/>
      <c r="W12" s="178"/>
      <c r="X12" s="178"/>
      <c r="Y12" s="178"/>
      <c r="Z12" s="178"/>
      <c r="AA12" s="178"/>
      <c r="AB12" s="178"/>
      <c r="AC12" s="178"/>
    </row>
    <row r="13" spans="1:29" x14ac:dyDescent="0.25">
      <c r="A13" s="179" t="s">
        <v>77</v>
      </c>
      <c r="B13" s="117" t="s">
        <v>54</v>
      </c>
      <c r="C13" s="117">
        <f>Assumptions!C5</f>
        <v>5</v>
      </c>
      <c r="D13" s="117">
        <f>Assumptions!D5</f>
        <v>5</v>
      </c>
      <c r="E13" s="117">
        <f>Assumptions!E5</f>
        <v>5</v>
      </c>
      <c r="F13" s="117"/>
      <c r="G13" s="119"/>
      <c r="H13" s="178"/>
      <c r="I13" s="178"/>
      <c r="J13" s="178"/>
      <c r="K13" s="178"/>
      <c r="L13" s="178"/>
      <c r="M13" s="178"/>
      <c r="N13" s="178"/>
      <c r="O13" s="178"/>
      <c r="P13" s="178"/>
      <c r="Q13" s="178"/>
      <c r="R13" s="178"/>
      <c r="S13" s="178"/>
      <c r="T13" s="178"/>
      <c r="U13" s="178"/>
      <c r="V13" s="178"/>
      <c r="W13" s="178"/>
      <c r="X13" s="178"/>
      <c r="Y13" s="178"/>
      <c r="Z13" s="178"/>
      <c r="AA13" s="178"/>
      <c r="AB13" s="178"/>
      <c r="AC13" s="178"/>
    </row>
    <row r="14" spans="1:29" x14ac:dyDescent="0.25">
      <c r="A14" s="120" t="s">
        <v>178</v>
      </c>
      <c r="B14" s="121" t="s">
        <v>137</v>
      </c>
      <c r="C14" s="122">
        <f>Assumptions!C6</f>
        <v>0.01</v>
      </c>
      <c r="D14" s="122">
        <f>Assumptions!D6</f>
        <v>0.01</v>
      </c>
      <c r="E14" s="122">
        <f>Assumptions!E6</f>
        <v>0.01</v>
      </c>
      <c r="F14" s="117"/>
      <c r="G14" s="119"/>
      <c r="H14" s="178"/>
      <c r="I14" s="178"/>
      <c r="J14" s="178"/>
      <c r="K14" s="178"/>
      <c r="L14" s="178"/>
      <c r="M14" s="178"/>
      <c r="N14" s="178"/>
      <c r="O14" s="178"/>
      <c r="P14" s="178"/>
      <c r="Q14" s="178"/>
      <c r="R14" s="178"/>
      <c r="S14" s="178"/>
      <c r="T14" s="178"/>
      <c r="U14" s="178"/>
      <c r="V14" s="178"/>
      <c r="W14" s="178"/>
      <c r="X14" s="178"/>
      <c r="Y14" s="178"/>
      <c r="Z14" s="178"/>
      <c r="AA14" s="178"/>
      <c r="AB14" s="178"/>
      <c r="AC14" s="178"/>
    </row>
    <row r="15" spans="1:29" x14ac:dyDescent="0.25">
      <c r="A15" s="123" t="s">
        <v>78</v>
      </c>
      <c r="B15" s="117"/>
      <c r="C15" s="124">
        <f>Assumptions!C7</f>
        <v>0.9</v>
      </c>
      <c r="D15" s="124">
        <f>Assumptions!D7</f>
        <v>0.9</v>
      </c>
      <c r="E15" s="124">
        <f>Assumptions!E7</f>
        <v>0.9</v>
      </c>
      <c r="F15" s="117"/>
      <c r="G15" s="119"/>
      <c r="H15" s="178"/>
      <c r="I15" s="178"/>
      <c r="J15" s="178"/>
      <c r="K15" s="178"/>
      <c r="L15" s="178"/>
      <c r="M15" s="178"/>
      <c r="N15" s="178"/>
      <c r="O15" s="178"/>
      <c r="P15" s="178"/>
      <c r="Q15" s="178"/>
      <c r="R15" s="178"/>
      <c r="S15" s="178"/>
      <c r="T15" s="178"/>
      <c r="U15" s="178"/>
      <c r="V15" s="178"/>
      <c r="W15" s="178"/>
      <c r="X15" s="178"/>
      <c r="Y15" s="178"/>
      <c r="Z15" s="178"/>
      <c r="AA15" s="178"/>
      <c r="AB15" s="178"/>
      <c r="AC15" s="178"/>
    </row>
    <row r="16" spans="1:29" x14ac:dyDescent="0.25">
      <c r="A16" s="123" t="s">
        <v>79</v>
      </c>
      <c r="B16" s="117"/>
      <c r="C16" s="124">
        <f>Assumptions!C8</f>
        <v>0.9</v>
      </c>
      <c r="D16" s="124">
        <f>Assumptions!D8</f>
        <v>0.9</v>
      </c>
      <c r="E16" s="124">
        <f>Assumptions!E8</f>
        <v>0.9</v>
      </c>
      <c r="F16" s="117"/>
      <c r="G16" s="119"/>
      <c r="H16" s="178"/>
      <c r="I16" s="178"/>
      <c r="J16" s="178"/>
      <c r="K16" s="178"/>
      <c r="L16" s="178"/>
      <c r="M16" s="178"/>
      <c r="N16" s="178"/>
      <c r="O16" s="178"/>
      <c r="P16" s="178"/>
      <c r="Q16" s="178"/>
      <c r="R16" s="178"/>
      <c r="S16" s="178"/>
      <c r="T16" s="178"/>
      <c r="U16" s="178"/>
      <c r="V16" s="178"/>
      <c r="W16" s="178"/>
      <c r="X16" s="178"/>
      <c r="Y16" s="178"/>
      <c r="Z16" s="178"/>
      <c r="AA16" s="178"/>
      <c r="AB16" s="178"/>
      <c r="AC16" s="178"/>
    </row>
    <row r="17" spans="1:29" x14ac:dyDescent="0.25">
      <c r="A17" s="123" t="s">
        <v>136</v>
      </c>
      <c r="B17" s="126" t="s">
        <v>137</v>
      </c>
      <c r="C17" s="124">
        <f>Assumptions!C9</f>
        <v>0.2</v>
      </c>
      <c r="D17" s="124">
        <f>Assumptions!D9</f>
        <v>0.5</v>
      </c>
      <c r="E17" s="124">
        <f>Assumptions!E9</f>
        <v>0.3</v>
      </c>
      <c r="F17" s="117"/>
      <c r="G17" s="178"/>
      <c r="H17" s="178"/>
      <c r="I17" s="178"/>
      <c r="J17" s="178"/>
      <c r="K17" s="178"/>
      <c r="L17" s="178"/>
      <c r="M17" s="178"/>
      <c r="N17" s="178"/>
      <c r="O17" s="178"/>
      <c r="P17" s="178"/>
      <c r="Q17" s="178"/>
      <c r="R17" s="178"/>
      <c r="S17" s="178"/>
      <c r="T17" s="178"/>
      <c r="U17" s="178"/>
      <c r="V17" s="178"/>
      <c r="W17" s="178"/>
      <c r="X17" s="178"/>
      <c r="Y17" s="178"/>
      <c r="Z17" s="178"/>
      <c r="AA17" s="178"/>
      <c r="AB17" s="178"/>
      <c r="AC17" s="178"/>
    </row>
    <row r="18" spans="1:29" x14ac:dyDescent="0.25">
      <c r="A18" s="123"/>
      <c r="B18" s="126"/>
      <c r="C18" s="124"/>
      <c r="D18" s="124"/>
      <c r="E18" s="124"/>
      <c r="F18" s="117"/>
      <c r="G18" s="178"/>
      <c r="H18" s="178"/>
      <c r="I18" s="178"/>
      <c r="J18" s="178"/>
      <c r="K18" s="178"/>
      <c r="L18" s="178"/>
      <c r="M18" s="178"/>
      <c r="N18" s="178"/>
      <c r="O18" s="178"/>
      <c r="P18" s="178"/>
      <c r="Q18" s="178"/>
      <c r="R18" s="178"/>
      <c r="S18" s="178"/>
      <c r="T18" s="178"/>
      <c r="U18" s="178"/>
      <c r="V18" s="178"/>
      <c r="W18" s="178"/>
      <c r="X18" s="178"/>
      <c r="Y18" s="178"/>
      <c r="Z18" s="178"/>
      <c r="AA18" s="178"/>
      <c r="AB18" s="178"/>
      <c r="AC18" s="178"/>
    </row>
    <row r="19" spans="1:29" ht="25.5" x14ac:dyDescent="0.25">
      <c r="A19" s="123"/>
      <c r="B19" s="126"/>
      <c r="C19" s="127" t="s">
        <v>75</v>
      </c>
      <c r="D19" s="104" t="s">
        <v>74</v>
      </c>
      <c r="E19" s="124"/>
      <c r="F19" s="117"/>
      <c r="G19" s="178"/>
      <c r="H19" s="178"/>
      <c r="I19" s="178"/>
      <c r="J19" s="178"/>
      <c r="K19" s="178"/>
      <c r="L19" s="178"/>
      <c r="M19" s="178"/>
      <c r="N19" s="178"/>
      <c r="O19" s="178"/>
      <c r="P19" s="178"/>
      <c r="Q19" s="178"/>
      <c r="R19" s="178"/>
      <c r="S19" s="178"/>
      <c r="T19" s="178"/>
      <c r="U19" s="178"/>
      <c r="V19" s="178"/>
      <c r="W19" s="178"/>
      <c r="X19" s="178"/>
      <c r="Y19" s="178"/>
      <c r="Z19" s="178"/>
      <c r="AA19" s="178"/>
      <c r="AB19" s="178"/>
      <c r="AC19" s="178"/>
    </row>
    <row r="20" spans="1:29" x14ac:dyDescent="0.25">
      <c r="A20" s="103" t="s">
        <v>43</v>
      </c>
      <c r="B20" s="103"/>
      <c r="C20" s="128">
        <f>Assumptions!B17</f>
        <v>0.35</v>
      </c>
      <c r="D20" s="128">
        <f>Assumptions!C17</f>
        <v>0.37</v>
      </c>
      <c r="E20" s="124"/>
      <c r="F20" s="117"/>
      <c r="G20" s="178"/>
      <c r="H20" s="178"/>
      <c r="I20" s="178"/>
      <c r="J20" s="178"/>
      <c r="K20" s="178"/>
      <c r="L20" s="178"/>
      <c r="M20" s="178"/>
      <c r="N20" s="178"/>
      <c r="O20" s="178"/>
      <c r="P20" s="178"/>
      <c r="Q20" s="178"/>
      <c r="R20" s="178"/>
      <c r="S20" s="178"/>
      <c r="T20" s="178"/>
      <c r="U20" s="178"/>
      <c r="V20" s="178"/>
      <c r="W20" s="178"/>
      <c r="X20" s="178"/>
      <c r="Y20" s="178"/>
      <c r="Z20" s="178"/>
      <c r="AA20" s="178"/>
      <c r="AB20" s="178"/>
      <c r="AC20" s="178"/>
    </row>
    <row r="21" spans="1:29" x14ac:dyDescent="0.25">
      <c r="A21" s="123"/>
      <c r="B21" s="126"/>
      <c r="C21" s="124"/>
      <c r="D21" s="124"/>
      <c r="E21" s="124"/>
      <c r="F21" s="117"/>
      <c r="G21" s="178"/>
      <c r="H21" s="178"/>
      <c r="I21" s="178"/>
      <c r="J21" s="178"/>
      <c r="K21" s="178"/>
      <c r="L21" s="178"/>
      <c r="M21" s="178"/>
      <c r="N21" s="178"/>
      <c r="O21" s="178"/>
      <c r="P21" s="178"/>
      <c r="Q21" s="178"/>
      <c r="R21" s="178"/>
      <c r="S21" s="178"/>
      <c r="T21" s="178"/>
      <c r="U21" s="178"/>
      <c r="V21" s="178"/>
      <c r="W21" s="178"/>
      <c r="X21" s="178"/>
      <c r="Y21" s="178"/>
      <c r="Z21" s="178"/>
      <c r="AA21" s="178"/>
      <c r="AB21" s="178"/>
      <c r="AC21" s="178"/>
    </row>
    <row r="22" spans="1:29" x14ac:dyDescent="0.25">
      <c r="A22" s="123"/>
      <c r="B22" s="126"/>
      <c r="C22" s="124"/>
      <c r="D22" s="124"/>
      <c r="E22" s="124"/>
      <c r="F22" s="117"/>
      <c r="G22" s="178"/>
      <c r="H22" s="178"/>
      <c r="I22" s="178"/>
      <c r="J22" s="178"/>
      <c r="K22" s="178"/>
      <c r="L22" s="178"/>
      <c r="M22" s="178"/>
      <c r="N22" s="178"/>
      <c r="O22" s="178"/>
      <c r="P22" s="178"/>
      <c r="Q22" s="178"/>
      <c r="R22" s="178"/>
      <c r="S22" s="178"/>
      <c r="T22" s="178"/>
      <c r="U22" s="178"/>
      <c r="V22" s="178"/>
      <c r="W22" s="178"/>
      <c r="X22" s="178"/>
      <c r="Y22" s="178"/>
      <c r="Z22" s="178"/>
      <c r="AA22" s="178"/>
      <c r="AB22" s="178"/>
      <c r="AC22" s="178"/>
    </row>
    <row r="23" spans="1:29" x14ac:dyDescent="0.25">
      <c r="A23" s="178"/>
      <c r="B23" s="178"/>
      <c r="C23" s="178"/>
      <c r="D23" s="178"/>
      <c r="E23" s="178"/>
      <c r="F23" s="178"/>
      <c r="G23" s="178"/>
      <c r="H23" s="178"/>
      <c r="I23" s="178"/>
      <c r="J23" s="178"/>
      <c r="K23" s="178"/>
      <c r="L23" s="178"/>
      <c r="M23" s="178"/>
      <c r="N23" s="178"/>
      <c r="O23" s="178"/>
      <c r="P23" s="178"/>
      <c r="Q23" s="178"/>
      <c r="R23" s="178"/>
      <c r="S23" s="178"/>
      <c r="T23" s="178"/>
      <c r="U23" s="178"/>
      <c r="V23" s="178"/>
      <c r="W23" s="178"/>
      <c r="X23" s="178"/>
      <c r="Y23" s="178"/>
      <c r="Z23" s="178"/>
      <c r="AA23" s="178"/>
      <c r="AB23" s="178"/>
      <c r="AC23" s="178"/>
    </row>
    <row r="24" spans="1:29" x14ac:dyDescent="0.25">
      <c r="A24" s="129" t="s">
        <v>138</v>
      </c>
      <c r="B24" s="129" t="s">
        <v>56</v>
      </c>
      <c r="C24" s="131">
        <f>'Semen production'!G47+'Semen production'!G40-'NDSP Bull, SS &amp; Non-NDSP AI'!C29</f>
        <v>376.56</v>
      </c>
      <c r="D24" s="131">
        <f>'Semen production'!H47+'Semen production'!H40-'NDSP Bull, SS &amp; Non-NDSP AI'!D29</f>
        <v>491.95323200000001</v>
      </c>
      <c r="E24" s="131">
        <f>'Semen production'!I47+'Semen production'!I40-'NDSP Bull, SS &amp; Non-NDSP AI'!E29</f>
        <v>552.90776799999992</v>
      </c>
      <c r="F24" s="131">
        <f>'Semen production'!J47+'Semen production'!J40-'NDSP Bull, SS &amp; Non-NDSP AI'!F29</f>
        <v>495.57447040000005</v>
      </c>
      <c r="G24" s="131">
        <f>'Semen production'!K47+'Semen production'!K40-'NDSP Bull, SS &amp; Non-NDSP AI'!G29</f>
        <v>373.40242927999998</v>
      </c>
      <c r="H24" s="131">
        <f>'Semen production'!L47+'Semen production'!L40-'NDSP Bull, SS &amp; Non-NDSP AI'!H29</f>
        <v>272.14577070400003</v>
      </c>
      <c r="I24" s="131">
        <f>H24</f>
        <v>272.14577070400003</v>
      </c>
      <c r="J24" s="131">
        <f t="shared" ref="J24:AB24" si="0">I24</f>
        <v>272.14577070400003</v>
      </c>
      <c r="K24" s="131">
        <f t="shared" si="0"/>
        <v>272.14577070400003</v>
      </c>
      <c r="L24" s="131">
        <f t="shared" si="0"/>
        <v>272.14577070400003</v>
      </c>
      <c r="M24" s="131">
        <f t="shared" si="0"/>
        <v>272.14577070400003</v>
      </c>
      <c r="N24" s="131">
        <f t="shared" si="0"/>
        <v>272.14577070400003</v>
      </c>
      <c r="O24" s="131">
        <f t="shared" si="0"/>
        <v>272.14577070400003</v>
      </c>
      <c r="P24" s="131">
        <f t="shared" si="0"/>
        <v>272.14577070400003</v>
      </c>
      <c r="Q24" s="131">
        <f t="shared" si="0"/>
        <v>272.14577070400003</v>
      </c>
      <c r="R24" s="131">
        <f t="shared" si="0"/>
        <v>272.14577070400003</v>
      </c>
      <c r="S24" s="131">
        <f t="shared" si="0"/>
        <v>272.14577070400003</v>
      </c>
      <c r="T24" s="131">
        <f t="shared" si="0"/>
        <v>272.14577070400003</v>
      </c>
      <c r="U24" s="131">
        <f t="shared" si="0"/>
        <v>272.14577070400003</v>
      </c>
      <c r="V24" s="131">
        <f t="shared" si="0"/>
        <v>272.14577070400003</v>
      </c>
      <c r="W24" s="131">
        <f t="shared" si="0"/>
        <v>272.14577070400003</v>
      </c>
      <c r="X24" s="131">
        <f t="shared" si="0"/>
        <v>272.14577070400003</v>
      </c>
      <c r="Y24" s="131">
        <f t="shared" si="0"/>
        <v>272.14577070400003</v>
      </c>
      <c r="Z24" s="131">
        <f t="shared" si="0"/>
        <v>272.14577070400003</v>
      </c>
      <c r="AA24" s="131">
        <f t="shared" si="0"/>
        <v>272.14577070400003</v>
      </c>
      <c r="AB24" s="131">
        <f t="shared" si="0"/>
        <v>272.14577070400003</v>
      </c>
      <c r="AC24" s="178"/>
    </row>
    <row r="25" spans="1:29" x14ac:dyDescent="0.25">
      <c r="A25" s="129" t="s">
        <v>46</v>
      </c>
      <c r="B25" s="129" t="s">
        <v>128</v>
      </c>
      <c r="C25" s="130">
        <f>C24*100000</f>
        <v>37656000</v>
      </c>
      <c r="D25" s="130">
        <f t="shared" ref="D25:AB25" si="1">D24*100000</f>
        <v>49195323.200000003</v>
      </c>
      <c r="E25" s="130">
        <f t="shared" si="1"/>
        <v>55290776.79999999</v>
      </c>
      <c r="F25" s="130">
        <f t="shared" si="1"/>
        <v>49557447.040000007</v>
      </c>
      <c r="G25" s="130">
        <f t="shared" si="1"/>
        <v>37340242.927999996</v>
      </c>
      <c r="H25" s="130">
        <f t="shared" si="1"/>
        <v>27214577.070400003</v>
      </c>
      <c r="I25" s="130">
        <f t="shared" si="1"/>
        <v>27214577.070400003</v>
      </c>
      <c r="J25" s="130">
        <f t="shared" si="1"/>
        <v>27214577.070400003</v>
      </c>
      <c r="K25" s="130">
        <f t="shared" si="1"/>
        <v>27214577.070400003</v>
      </c>
      <c r="L25" s="130">
        <f t="shared" si="1"/>
        <v>27214577.070400003</v>
      </c>
      <c r="M25" s="130">
        <f t="shared" si="1"/>
        <v>27214577.070400003</v>
      </c>
      <c r="N25" s="130">
        <f t="shared" si="1"/>
        <v>27214577.070400003</v>
      </c>
      <c r="O25" s="130">
        <f t="shared" si="1"/>
        <v>27214577.070400003</v>
      </c>
      <c r="P25" s="130">
        <f t="shared" si="1"/>
        <v>27214577.070400003</v>
      </c>
      <c r="Q25" s="130">
        <f t="shared" si="1"/>
        <v>27214577.070400003</v>
      </c>
      <c r="R25" s="130">
        <f t="shared" si="1"/>
        <v>27214577.070400003</v>
      </c>
      <c r="S25" s="130">
        <f t="shared" si="1"/>
        <v>27214577.070400003</v>
      </c>
      <c r="T25" s="130">
        <f t="shared" si="1"/>
        <v>27214577.070400003</v>
      </c>
      <c r="U25" s="130">
        <f t="shared" si="1"/>
        <v>27214577.070400003</v>
      </c>
      <c r="V25" s="130">
        <f t="shared" si="1"/>
        <v>27214577.070400003</v>
      </c>
      <c r="W25" s="130">
        <f t="shared" si="1"/>
        <v>27214577.070400003</v>
      </c>
      <c r="X25" s="130">
        <f t="shared" si="1"/>
        <v>27214577.070400003</v>
      </c>
      <c r="Y25" s="130">
        <f t="shared" si="1"/>
        <v>27214577.070400003</v>
      </c>
      <c r="Z25" s="130">
        <f t="shared" si="1"/>
        <v>27214577.070400003</v>
      </c>
      <c r="AA25" s="130">
        <f t="shared" si="1"/>
        <v>27214577.070400003</v>
      </c>
      <c r="AB25" s="130">
        <f t="shared" si="1"/>
        <v>27214577.070400003</v>
      </c>
      <c r="AC25" s="178"/>
    </row>
    <row r="26" spans="1:29" x14ac:dyDescent="0.25">
      <c r="A26" s="129"/>
      <c r="B26" s="129"/>
      <c r="C26" s="130"/>
      <c r="D26" s="130"/>
      <c r="E26" s="130"/>
      <c r="F26" s="130"/>
      <c r="G26" s="130"/>
      <c r="H26" s="130"/>
      <c r="I26" s="132"/>
      <c r="J26" s="103"/>
      <c r="K26" s="103"/>
      <c r="L26" s="103"/>
      <c r="M26" s="103"/>
      <c r="N26" s="103"/>
      <c r="O26" s="103"/>
      <c r="P26" s="103"/>
      <c r="Q26" s="103"/>
      <c r="R26" s="103"/>
      <c r="S26" s="178"/>
      <c r="T26" s="178"/>
      <c r="U26" s="178"/>
      <c r="V26" s="178"/>
      <c r="W26" s="178"/>
      <c r="X26" s="178"/>
      <c r="Y26" s="178"/>
      <c r="Z26" s="178"/>
      <c r="AA26" s="178"/>
      <c r="AB26" s="178"/>
      <c r="AC26" s="178"/>
    </row>
    <row r="27" spans="1:29" ht="25.5" x14ac:dyDescent="0.25">
      <c r="A27" s="103"/>
      <c r="B27" s="103"/>
      <c r="C27" s="127" t="s">
        <v>75</v>
      </c>
      <c r="D27" s="104" t="s">
        <v>74</v>
      </c>
      <c r="E27" s="104" t="s">
        <v>45</v>
      </c>
      <c r="F27" s="130"/>
      <c r="G27" s="130"/>
      <c r="H27" s="130"/>
      <c r="I27" s="132"/>
      <c r="J27" s="103"/>
      <c r="K27" s="103"/>
      <c r="L27" s="103"/>
      <c r="M27" s="103"/>
      <c r="N27" s="103"/>
      <c r="O27" s="103"/>
      <c r="P27" s="103"/>
      <c r="Q27" s="103"/>
      <c r="R27" s="103"/>
      <c r="S27" s="178"/>
      <c r="T27" s="178"/>
      <c r="U27" s="178"/>
      <c r="V27" s="178"/>
      <c r="W27" s="178"/>
      <c r="X27" s="178"/>
      <c r="Y27" s="178"/>
      <c r="Z27" s="178"/>
      <c r="AA27" s="178"/>
      <c r="AB27" s="178"/>
      <c r="AC27" s="178"/>
    </row>
    <row r="28" spans="1:29" x14ac:dyDescent="0.25">
      <c r="A28" s="219" t="s">
        <v>141</v>
      </c>
      <c r="B28" s="103"/>
      <c r="C28" s="127"/>
      <c r="D28" s="104"/>
      <c r="E28" s="104"/>
      <c r="F28" s="130"/>
      <c r="G28" s="130"/>
      <c r="H28" s="130"/>
      <c r="I28" s="132"/>
      <c r="J28" s="103"/>
      <c r="K28" s="103"/>
      <c r="L28" s="103"/>
      <c r="M28" s="103"/>
      <c r="N28" s="103"/>
      <c r="O28" s="103"/>
      <c r="P28" s="103"/>
      <c r="Q28" s="103"/>
      <c r="R28" s="103"/>
      <c r="S28" s="178"/>
      <c r="T28" s="178"/>
      <c r="U28" s="178"/>
      <c r="V28" s="178"/>
      <c r="W28" s="178"/>
      <c r="X28" s="178"/>
      <c r="Y28" s="178"/>
      <c r="Z28" s="178"/>
      <c r="AA28" s="178"/>
      <c r="AB28" s="178"/>
      <c r="AC28" s="178"/>
    </row>
    <row r="29" spans="1:29" x14ac:dyDescent="0.25">
      <c r="A29" s="133" t="s">
        <v>138</v>
      </c>
      <c r="B29" s="103" t="s">
        <v>128</v>
      </c>
      <c r="C29" s="134">
        <f>C25*$C$17</f>
        <v>7531200</v>
      </c>
      <c r="D29" s="134">
        <f t="shared" ref="D29:L29" si="2">D25*$C$17</f>
        <v>9839064.6400000006</v>
      </c>
      <c r="E29" s="134">
        <f t="shared" si="2"/>
        <v>11058155.359999999</v>
      </c>
      <c r="F29" s="120">
        <f t="shared" si="2"/>
        <v>9911489.4080000017</v>
      </c>
      <c r="G29" s="120">
        <f t="shared" si="2"/>
        <v>7468048.5855999999</v>
      </c>
      <c r="H29" s="120">
        <f t="shared" si="2"/>
        <v>5442915.4140800014</v>
      </c>
      <c r="I29" s="120">
        <f t="shared" si="2"/>
        <v>5442915.4140800014</v>
      </c>
      <c r="J29" s="120">
        <f t="shared" si="2"/>
        <v>5442915.4140800014</v>
      </c>
      <c r="K29" s="120">
        <f t="shared" si="2"/>
        <v>5442915.4140800014</v>
      </c>
      <c r="L29" s="120">
        <f t="shared" si="2"/>
        <v>5442915.4140800014</v>
      </c>
      <c r="M29" s="120">
        <f>M25*$C$17</f>
        <v>5442915.4140800014</v>
      </c>
      <c r="N29" s="120">
        <f t="shared" ref="N29:AB29" si="3">N25*$C$17</f>
        <v>5442915.4140800014</v>
      </c>
      <c r="O29" s="120">
        <f t="shared" si="3"/>
        <v>5442915.4140800014</v>
      </c>
      <c r="P29" s="120">
        <f t="shared" si="3"/>
        <v>5442915.4140800014</v>
      </c>
      <c r="Q29" s="120">
        <f t="shared" si="3"/>
        <v>5442915.4140800014</v>
      </c>
      <c r="R29" s="120">
        <f t="shared" si="3"/>
        <v>5442915.4140800014</v>
      </c>
      <c r="S29" s="120">
        <f t="shared" si="3"/>
        <v>5442915.4140800014</v>
      </c>
      <c r="T29" s="120">
        <f t="shared" si="3"/>
        <v>5442915.4140800014</v>
      </c>
      <c r="U29" s="120">
        <f t="shared" si="3"/>
        <v>5442915.4140800014</v>
      </c>
      <c r="V29" s="120">
        <f t="shared" si="3"/>
        <v>5442915.4140800014</v>
      </c>
      <c r="W29" s="120">
        <f t="shared" si="3"/>
        <v>5442915.4140800014</v>
      </c>
      <c r="X29" s="120">
        <f t="shared" si="3"/>
        <v>5442915.4140800014</v>
      </c>
      <c r="Y29" s="120">
        <f t="shared" si="3"/>
        <v>5442915.4140800014</v>
      </c>
      <c r="Z29" s="120">
        <f t="shared" si="3"/>
        <v>5442915.4140800014</v>
      </c>
      <c r="AA29" s="120">
        <f t="shared" si="3"/>
        <v>5442915.4140800014</v>
      </c>
      <c r="AB29" s="120">
        <f t="shared" si="3"/>
        <v>5442915.4140800014</v>
      </c>
      <c r="AC29" s="178"/>
    </row>
    <row r="30" spans="1:29" x14ac:dyDescent="0.25">
      <c r="A30" s="103" t="s">
        <v>44</v>
      </c>
      <c r="B30" s="129"/>
      <c r="C30" s="135">
        <f>280+60+((1/C20)-1)*22</f>
        <v>380.85714285714289</v>
      </c>
      <c r="D30" s="135">
        <f>280+60+((1/D20)-1)*22</f>
        <v>377.45945945945948</v>
      </c>
      <c r="E30" s="135">
        <f>C30-D30</f>
        <v>3.3976833976834087</v>
      </c>
      <c r="F30" s="130"/>
      <c r="G30" s="130"/>
      <c r="H30" s="130"/>
      <c r="I30" s="132"/>
      <c r="J30" s="103"/>
      <c r="K30" s="103"/>
      <c r="L30" s="103"/>
      <c r="M30" s="103"/>
      <c r="N30" s="103"/>
      <c r="O30" s="103"/>
      <c r="P30" s="103"/>
      <c r="Q30" s="103"/>
      <c r="R30" s="103"/>
      <c r="S30" s="178"/>
      <c r="T30" s="178"/>
      <c r="U30" s="178"/>
      <c r="V30" s="178"/>
      <c r="W30" s="178"/>
      <c r="X30" s="178"/>
      <c r="Y30" s="178"/>
      <c r="Z30" s="178"/>
      <c r="AA30" s="178"/>
      <c r="AB30" s="178"/>
      <c r="AC30" s="178"/>
    </row>
    <row r="31" spans="1:29" x14ac:dyDescent="0.25">
      <c r="A31" s="103"/>
      <c r="B31" s="129"/>
      <c r="C31" s="133"/>
      <c r="D31" s="135"/>
      <c r="E31" s="135"/>
      <c r="F31" s="130"/>
      <c r="G31" s="130"/>
      <c r="H31" s="130"/>
      <c r="I31" s="132"/>
      <c r="J31" s="103"/>
      <c r="K31" s="103"/>
      <c r="L31" s="103"/>
      <c r="M31" s="103"/>
      <c r="N31" s="103"/>
      <c r="O31" s="103"/>
      <c r="P31" s="103"/>
      <c r="Q31" s="103"/>
      <c r="R31" s="103"/>
      <c r="S31" s="178"/>
      <c r="T31" s="178"/>
      <c r="U31" s="178"/>
      <c r="V31" s="178"/>
      <c r="W31" s="178"/>
      <c r="X31" s="178"/>
      <c r="Y31" s="178"/>
      <c r="Z31" s="178"/>
      <c r="AA31" s="178"/>
      <c r="AB31" s="178"/>
      <c r="AC31" s="178"/>
    </row>
    <row r="32" spans="1:29" x14ac:dyDescent="0.25">
      <c r="A32" s="220" t="s">
        <v>139</v>
      </c>
      <c r="B32" s="129"/>
      <c r="C32" s="133"/>
      <c r="D32" s="135"/>
      <c r="E32" s="135"/>
      <c r="F32" s="130"/>
      <c r="G32" s="130"/>
      <c r="H32" s="130"/>
      <c r="I32" s="132"/>
      <c r="J32" s="103"/>
      <c r="K32" s="103"/>
      <c r="L32" s="103"/>
      <c r="M32" s="103"/>
      <c r="N32" s="103"/>
      <c r="O32" s="103"/>
      <c r="P32" s="103"/>
      <c r="Q32" s="103"/>
      <c r="R32" s="103"/>
      <c r="S32" s="178"/>
      <c r="T32" s="178"/>
      <c r="U32" s="178"/>
      <c r="V32" s="178"/>
      <c r="W32" s="178"/>
      <c r="X32" s="178"/>
      <c r="Y32" s="178"/>
      <c r="Z32" s="178"/>
      <c r="AA32" s="178"/>
      <c r="AB32" s="178"/>
      <c r="AC32" s="178"/>
    </row>
    <row r="33" spans="1:29" x14ac:dyDescent="0.25">
      <c r="A33" s="123" t="s">
        <v>198</v>
      </c>
      <c r="B33" s="103" t="s">
        <v>51</v>
      </c>
      <c r="C33" s="131">
        <f>C11/305</f>
        <v>2.5561967213114758</v>
      </c>
      <c r="D33" s="103"/>
      <c r="E33" s="103"/>
      <c r="F33" s="103"/>
      <c r="G33" s="103"/>
      <c r="H33" s="103"/>
      <c r="I33" s="103"/>
      <c r="J33" s="103"/>
      <c r="K33" s="103"/>
      <c r="L33" s="103"/>
      <c r="M33" s="103"/>
      <c r="N33" s="103"/>
      <c r="O33" s="103"/>
      <c r="P33" s="103"/>
      <c r="Q33" s="103"/>
      <c r="R33" s="103"/>
      <c r="S33" s="178"/>
      <c r="T33" s="178"/>
      <c r="U33" s="178"/>
      <c r="V33" s="178"/>
      <c r="W33" s="178"/>
      <c r="X33" s="178"/>
      <c r="Y33" s="178"/>
      <c r="Z33" s="178"/>
      <c r="AA33" s="178"/>
      <c r="AB33" s="178"/>
      <c r="AC33" s="178"/>
    </row>
    <row r="34" spans="1:29" ht="45" x14ac:dyDescent="0.25">
      <c r="A34" s="120" t="s">
        <v>199</v>
      </c>
      <c r="B34" s="103" t="s">
        <v>51</v>
      </c>
      <c r="C34" s="131">
        <f>C33*E30</f>
        <v>8.6851471612127646</v>
      </c>
      <c r="D34" s="103"/>
      <c r="E34" s="103"/>
      <c r="F34" s="130"/>
      <c r="G34" s="103"/>
      <c r="H34" s="103"/>
      <c r="I34" s="103"/>
      <c r="J34" s="103"/>
      <c r="K34" s="103"/>
      <c r="L34" s="103"/>
      <c r="M34" s="103"/>
      <c r="N34" s="103"/>
      <c r="O34" s="103"/>
      <c r="P34" s="103"/>
      <c r="Q34" s="103"/>
      <c r="R34" s="103"/>
      <c r="S34" s="178"/>
      <c r="T34" s="178"/>
      <c r="U34" s="178"/>
      <c r="V34" s="178"/>
      <c r="W34" s="178"/>
      <c r="X34" s="178"/>
      <c r="Y34" s="178"/>
      <c r="Z34" s="178"/>
      <c r="AA34" s="178"/>
      <c r="AB34" s="178"/>
      <c r="AC34" s="178"/>
    </row>
    <row r="35" spans="1:29" x14ac:dyDescent="0.25">
      <c r="A35" s="120" t="s">
        <v>80</v>
      </c>
      <c r="B35" s="103" t="s">
        <v>54</v>
      </c>
      <c r="C35" s="103"/>
      <c r="D35" s="130">
        <f>C29*$D$20*$C$15*365/$D$30</f>
        <v>2425107.3355291421</v>
      </c>
      <c r="E35" s="130">
        <f t="shared" ref="E35:AB35" si="4">(D29*$D$20*$C$15*365/$D$30)+(C29*$D$20*$C$15*($D$30-365)/$D$30)</f>
        <v>3251040.6871935846</v>
      </c>
      <c r="F35" s="130">
        <f t="shared" si="4"/>
        <v>3668965.6007185108</v>
      </c>
      <c r="G35" s="130">
        <f t="shared" si="4"/>
        <v>3313130.0205719611</v>
      </c>
      <c r="H35" s="130">
        <f t="shared" si="4"/>
        <v>2513718.2579801036</v>
      </c>
      <c r="I35" s="130">
        <f t="shared" si="4"/>
        <v>1834750.9122642349</v>
      </c>
      <c r="J35" s="130">
        <f t="shared" si="4"/>
        <v>1812490.8328886405</v>
      </c>
      <c r="K35" s="130">
        <f t="shared" si="4"/>
        <v>1812490.8328886405</v>
      </c>
      <c r="L35" s="130">
        <f t="shared" si="4"/>
        <v>1812490.8328886405</v>
      </c>
      <c r="M35" s="130">
        <f t="shared" si="4"/>
        <v>1812490.8328886405</v>
      </c>
      <c r="N35" s="130">
        <f t="shared" si="4"/>
        <v>1812490.8328886405</v>
      </c>
      <c r="O35" s="130">
        <f t="shared" si="4"/>
        <v>1812490.8328886405</v>
      </c>
      <c r="P35" s="130">
        <f t="shared" si="4"/>
        <v>1812490.8328886405</v>
      </c>
      <c r="Q35" s="130">
        <f t="shared" si="4"/>
        <v>1812490.8328886405</v>
      </c>
      <c r="R35" s="130">
        <f t="shared" si="4"/>
        <v>1812490.8328886405</v>
      </c>
      <c r="S35" s="130">
        <f t="shared" si="4"/>
        <v>1812490.8328886405</v>
      </c>
      <c r="T35" s="130">
        <f t="shared" si="4"/>
        <v>1812490.8328886405</v>
      </c>
      <c r="U35" s="130">
        <f t="shared" si="4"/>
        <v>1812490.8328886405</v>
      </c>
      <c r="V35" s="130">
        <f t="shared" si="4"/>
        <v>1812490.8328886405</v>
      </c>
      <c r="W35" s="130">
        <f t="shared" si="4"/>
        <v>1812490.8328886405</v>
      </c>
      <c r="X35" s="130">
        <f t="shared" si="4"/>
        <v>1812490.8328886405</v>
      </c>
      <c r="Y35" s="130">
        <f t="shared" si="4"/>
        <v>1812490.8328886405</v>
      </c>
      <c r="Z35" s="130">
        <f t="shared" si="4"/>
        <v>1812490.8328886405</v>
      </c>
      <c r="AA35" s="130">
        <f t="shared" si="4"/>
        <v>1812490.8328886405</v>
      </c>
      <c r="AB35" s="130">
        <f t="shared" si="4"/>
        <v>1812490.8328886405</v>
      </c>
      <c r="AC35" s="178"/>
    </row>
    <row r="36" spans="1:29" ht="25.5" x14ac:dyDescent="0.25">
      <c r="A36" s="215" t="s">
        <v>200</v>
      </c>
      <c r="B36" s="216" t="s">
        <v>201</v>
      </c>
      <c r="C36" s="217"/>
      <c r="D36" s="218">
        <f>D35*$C$34*1.03/1000/1000</f>
        <v>21.694286513531399</v>
      </c>
      <c r="E36" s="218">
        <f t="shared" ref="E36:AB36" si="5">E35*$C$34*1.03/1000/1000</f>
        <v>29.082839799227553</v>
      </c>
      <c r="F36" s="218">
        <f t="shared" si="5"/>
        <v>32.821471356817696</v>
      </c>
      <c r="G36" s="218">
        <f t="shared" si="5"/>
        <v>29.638272446686337</v>
      </c>
      <c r="H36" s="218">
        <f t="shared" si="5"/>
        <v>22.486973382156133</v>
      </c>
      <c r="I36" s="218">
        <f t="shared" si="5"/>
        <v>16.413134127499781</v>
      </c>
      <c r="J36" s="218">
        <f t="shared" si="5"/>
        <v>16.214002100346544</v>
      </c>
      <c r="K36" s="218">
        <f t="shared" si="5"/>
        <v>16.214002100346544</v>
      </c>
      <c r="L36" s="218">
        <f t="shared" si="5"/>
        <v>16.214002100346544</v>
      </c>
      <c r="M36" s="218">
        <f t="shared" si="5"/>
        <v>16.214002100346544</v>
      </c>
      <c r="N36" s="218">
        <f t="shared" si="5"/>
        <v>16.214002100346544</v>
      </c>
      <c r="O36" s="218">
        <f t="shared" si="5"/>
        <v>16.214002100346544</v>
      </c>
      <c r="P36" s="218">
        <f t="shared" si="5"/>
        <v>16.214002100346544</v>
      </c>
      <c r="Q36" s="218">
        <f t="shared" si="5"/>
        <v>16.214002100346544</v>
      </c>
      <c r="R36" s="218">
        <f t="shared" si="5"/>
        <v>16.214002100346544</v>
      </c>
      <c r="S36" s="218">
        <f t="shared" si="5"/>
        <v>16.214002100346544</v>
      </c>
      <c r="T36" s="218">
        <f t="shared" si="5"/>
        <v>16.214002100346544</v>
      </c>
      <c r="U36" s="218">
        <f t="shared" si="5"/>
        <v>16.214002100346544</v>
      </c>
      <c r="V36" s="218">
        <f t="shared" si="5"/>
        <v>16.214002100346544</v>
      </c>
      <c r="W36" s="218">
        <f t="shared" si="5"/>
        <v>16.214002100346544</v>
      </c>
      <c r="X36" s="218">
        <f t="shared" si="5"/>
        <v>16.214002100346544</v>
      </c>
      <c r="Y36" s="218">
        <f t="shared" si="5"/>
        <v>16.214002100346544</v>
      </c>
      <c r="Z36" s="218">
        <f t="shared" si="5"/>
        <v>16.214002100346544</v>
      </c>
      <c r="AA36" s="218">
        <f t="shared" si="5"/>
        <v>16.214002100346544</v>
      </c>
      <c r="AB36" s="218">
        <f t="shared" si="5"/>
        <v>16.214002100346544</v>
      </c>
      <c r="AC36" s="178"/>
    </row>
    <row r="37" spans="1:29" x14ac:dyDescent="0.25">
      <c r="A37" s="120"/>
      <c r="B37" s="103"/>
      <c r="C37" s="103"/>
      <c r="D37" s="103"/>
      <c r="E37" s="103"/>
      <c r="F37" s="103"/>
      <c r="G37" s="103"/>
      <c r="H37" s="103"/>
      <c r="I37" s="103"/>
      <c r="J37" s="103"/>
      <c r="K37" s="103"/>
      <c r="L37" s="103"/>
      <c r="M37" s="103"/>
      <c r="N37" s="103"/>
      <c r="O37" s="103"/>
      <c r="P37" s="103"/>
      <c r="Q37" s="103"/>
      <c r="R37" s="103"/>
      <c r="S37" s="178"/>
      <c r="T37" s="178"/>
      <c r="U37" s="178"/>
      <c r="V37" s="178"/>
      <c r="W37" s="178"/>
      <c r="X37" s="178"/>
      <c r="Y37" s="178"/>
      <c r="Z37" s="178"/>
      <c r="AA37" s="178"/>
      <c r="AB37" s="178"/>
      <c r="AC37" s="178"/>
    </row>
    <row r="38" spans="1:29" x14ac:dyDescent="0.25">
      <c r="A38" s="178"/>
      <c r="B38" s="178"/>
      <c r="C38" s="178"/>
      <c r="D38" s="178"/>
      <c r="E38" s="178"/>
      <c r="F38" s="178"/>
      <c r="G38" s="178"/>
      <c r="H38" s="178"/>
      <c r="I38" s="178"/>
      <c r="J38" s="178"/>
      <c r="K38" s="178"/>
      <c r="L38" s="178"/>
      <c r="M38" s="178"/>
      <c r="N38" s="178"/>
      <c r="O38" s="178"/>
      <c r="P38" s="178"/>
      <c r="Q38" s="178"/>
      <c r="R38" s="178"/>
      <c r="S38" s="178"/>
      <c r="T38" s="178"/>
      <c r="U38" s="178"/>
      <c r="V38" s="178"/>
      <c r="W38" s="178"/>
      <c r="X38" s="178"/>
      <c r="Y38" s="178"/>
      <c r="Z38" s="178"/>
      <c r="AA38" s="178"/>
      <c r="AB38" s="178"/>
      <c r="AC38" s="178"/>
    </row>
    <row r="39" spans="1:29" x14ac:dyDescent="0.25">
      <c r="A39" s="219" t="s">
        <v>142</v>
      </c>
      <c r="B39" s="103"/>
      <c r="C39" s="127"/>
      <c r="D39" s="104"/>
      <c r="E39" s="104"/>
      <c r="F39" s="130"/>
      <c r="G39" s="130"/>
      <c r="H39" s="130"/>
      <c r="I39" s="132"/>
      <c r="J39" s="103"/>
      <c r="K39" s="103"/>
      <c r="L39" s="103"/>
      <c r="M39" s="103"/>
      <c r="N39" s="103"/>
      <c r="O39" s="103"/>
      <c r="P39" s="103"/>
      <c r="Q39" s="103"/>
      <c r="R39" s="103"/>
      <c r="S39" s="178"/>
      <c r="T39" s="178"/>
      <c r="U39" s="178"/>
      <c r="V39" s="178"/>
      <c r="W39" s="178"/>
      <c r="X39" s="178"/>
      <c r="Y39" s="178"/>
      <c r="Z39" s="178"/>
      <c r="AA39" s="178"/>
      <c r="AB39" s="178"/>
      <c r="AC39" s="178"/>
    </row>
    <row r="40" spans="1:29" x14ac:dyDescent="0.25">
      <c r="A40" s="133" t="s">
        <v>138</v>
      </c>
      <c r="B40" s="103" t="s">
        <v>128</v>
      </c>
      <c r="C40" s="120">
        <f>C25*$D$17</f>
        <v>18828000</v>
      </c>
      <c r="D40" s="120">
        <f t="shared" ref="D40:AB40" si="6">D25*$D$17</f>
        <v>24597661.600000001</v>
      </c>
      <c r="E40" s="120">
        <f t="shared" si="6"/>
        <v>27645388.399999995</v>
      </c>
      <c r="F40" s="120">
        <f t="shared" si="6"/>
        <v>24778723.520000003</v>
      </c>
      <c r="G40" s="120">
        <f t="shared" si="6"/>
        <v>18670121.463999998</v>
      </c>
      <c r="H40" s="120">
        <f t="shared" si="6"/>
        <v>13607288.535200002</v>
      </c>
      <c r="I40" s="120">
        <f t="shared" si="6"/>
        <v>13607288.535200002</v>
      </c>
      <c r="J40" s="120">
        <f t="shared" si="6"/>
        <v>13607288.535200002</v>
      </c>
      <c r="K40" s="120">
        <f t="shared" si="6"/>
        <v>13607288.535200002</v>
      </c>
      <c r="L40" s="120">
        <f t="shared" si="6"/>
        <v>13607288.535200002</v>
      </c>
      <c r="M40" s="120">
        <f t="shared" si="6"/>
        <v>13607288.535200002</v>
      </c>
      <c r="N40" s="120">
        <f t="shared" si="6"/>
        <v>13607288.535200002</v>
      </c>
      <c r="O40" s="120">
        <f t="shared" si="6"/>
        <v>13607288.535200002</v>
      </c>
      <c r="P40" s="120">
        <f t="shared" si="6"/>
        <v>13607288.535200002</v>
      </c>
      <c r="Q40" s="120">
        <f t="shared" si="6"/>
        <v>13607288.535200002</v>
      </c>
      <c r="R40" s="120">
        <f t="shared" si="6"/>
        <v>13607288.535200002</v>
      </c>
      <c r="S40" s="120">
        <f t="shared" si="6"/>
        <v>13607288.535200002</v>
      </c>
      <c r="T40" s="120">
        <f t="shared" si="6"/>
        <v>13607288.535200002</v>
      </c>
      <c r="U40" s="120">
        <f t="shared" si="6"/>
        <v>13607288.535200002</v>
      </c>
      <c r="V40" s="120">
        <f t="shared" si="6"/>
        <v>13607288.535200002</v>
      </c>
      <c r="W40" s="120">
        <f t="shared" si="6"/>
        <v>13607288.535200002</v>
      </c>
      <c r="X40" s="120">
        <f t="shared" si="6"/>
        <v>13607288.535200002</v>
      </c>
      <c r="Y40" s="120">
        <f t="shared" si="6"/>
        <v>13607288.535200002</v>
      </c>
      <c r="Z40" s="120">
        <f t="shared" si="6"/>
        <v>13607288.535200002</v>
      </c>
      <c r="AA40" s="120">
        <f t="shared" si="6"/>
        <v>13607288.535200002</v>
      </c>
      <c r="AB40" s="120">
        <f t="shared" si="6"/>
        <v>13607288.535200002</v>
      </c>
      <c r="AC40" s="178"/>
    </row>
    <row r="41" spans="1:29" x14ac:dyDescent="0.25">
      <c r="A41" s="103" t="s">
        <v>44</v>
      </c>
      <c r="B41" s="129"/>
      <c r="C41" s="135">
        <f>280+60+((1/C20)-1)*22</f>
        <v>380.85714285714289</v>
      </c>
      <c r="D41" s="135">
        <f>280+60+((1/D20)-1)*22</f>
        <v>377.45945945945948</v>
      </c>
      <c r="E41" s="135">
        <f>C41-D41</f>
        <v>3.3976833976834087</v>
      </c>
      <c r="F41" s="130"/>
      <c r="G41" s="130"/>
      <c r="H41" s="130"/>
      <c r="I41" s="132"/>
      <c r="J41" s="103"/>
      <c r="K41" s="103"/>
      <c r="L41" s="103"/>
      <c r="M41" s="103"/>
      <c r="N41" s="103"/>
      <c r="O41" s="103"/>
      <c r="P41" s="103"/>
      <c r="Q41" s="103"/>
      <c r="R41" s="103"/>
      <c r="S41" s="178"/>
      <c r="T41" s="178"/>
      <c r="U41" s="178"/>
      <c r="V41" s="178"/>
      <c r="W41" s="178"/>
      <c r="X41" s="178"/>
      <c r="Y41" s="178"/>
      <c r="Z41" s="178"/>
      <c r="AA41" s="178"/>
      <c r="AB41" s="178"/>
      <c r="AC41" s="178"/>
    </row>
    <row r="42" spans="1:29" x14ac:dyDescent="0.25">
      <c r="A42" s="103"/>
      <c r="B42" s="129"/>
      <c r="C42" s="133"/>
      <c r="D42" s="130"/>
      <c r="E42" s="130"/>
      <c r="F42" s="130"/>
      <c r="G42" s="130"/>
      <c r="H42" s="130"/>
      <c r="I42" s="130"/>
      <c r="J42" s="130"/>
      <c r="K42" s="130"/>
      <c r="L42" s="130"/>
      <c r="M42" s="130"/>
      <c r="N42" s="130"/>
      <c r="O42" s="130"/>
      <c r="P42" s="130"/>
      <c r="Q42" s="130"/>
      <c r="R42" s="130"/>
      <c r="S42" s="178"/>
      <c r="T42" s="178"/>
      <c r="U42" s="178"/>
      <c r="V42" s="178"/>
      <c r="W42" s="178"/>
      <c r="X42" s="178"/>
      <c r="Y42" s="178"/>
      <c r="Z42" s="178"/>
      <c r="AA42" s="178"/>
      <c r="AB42" s="178"/>
      <c r="AC42" s="178"/>
    </row>
    <row r="43" spans="1:29" x14ac:dyDescent="0.25">
      <c r="A43" s="220" t="s">
        <v>139</v>
      </c>
      <c r="B43" s="129"/>
      <c r="C43" s="133"/>
      <c r="D43" s="135"/>
      <c r="E43" s="135"/>
      <c r="F43" s="130"/>
      <c r="G43" s="130"/>
      <c r="H43" s="130"/>
      <c r="I43" s="132"/>
      <c r="J43" s="103"/>
      <c r="K43" s="103"/>
      <c r="L43" s="103"/>
      <c r="M43" s="103"/>
      <c r="N43" s="103"/>
      <c r="O43" s="103"/>
      <c r="P43" s="103"/>
      <c r="Q43" s="103"/>
      <c r="R43" s="103"/>
      <c r="S43" s="178"/>
      <c r="T43" s="178"/>
      <c r="U43" s="178"/>
      <c r="V43" s="178"/>
      <c r="W43" s="178"/>
      <c r="X43" s="178"/>
      <c r="Y43" s="178"/>
      <c r="Z43" s="178"/>
      <c r="AA43" s="178"/>
      <c r="AB43" s="178"/>
      <c r="AC43" s="178"/>
    </row>
    <row r="44" spans="1:29" x14ac:dyDescent="0.25">
      <c r="A44" s="123" t="s">
        <v>198</v>
      </c>
      <c r="B44" s="103" t="s">
        <v>51</v>
      </c>
      <c r="C44" s="103">
        <f>D11/305</f>
        <v>8.2202786885245906</v>
      </c>
      <c r="D44" s="103"/>
      <c r="E44" s="103"/>
      <c r="F44" s="103"/>
      <c r="G44" s="103"/>
      <c r="H44" s="103"/>
      <c r="I44" s="103"/>
      <c r="J44" s="103"/>
      <c r="K44" s="103"/>
      <c r="L44" s="103"/>
      <c r="M44" s="103"/>
      <c r="N44" s="103"/>
      <c r="O44" s="103"/>
      <c r="P44" s="103"/>
      <c r="Q44" s="103"/>
      <c r="R44" s="103"/>
      <c r="S44" s="178"/>
      <c r="T44" s="178"/>
      <c r="U44" s="178"/>
      <c r="V44" s="178"/>
      <c r="W44" s="178"/>
      <c r="X44" s="178"/>
      <c r="Y44" s="178"/>
      <c r="Z44" s="178"/>
      <c r="AA44" s="178"/>
      <c r="AB44" s="178"/>
      <c r="AC44" s="178"/>
    </row>
    <row r="45" spans="1:29" ht="45" x14ac:dyDescent="0.25">
      <c r="A45" s="123" t="s">
        <v>199</v>
      </c>
      <c r="B45" s="103" t="s">
        <v>51</v>
      </c>
      <c r="C45" s="103">
        <f>C44*E41</f>
        <v>27.929904424330747</v>
      </c>
      <c r="D45" s="103"/>
      <c r="E45" s="103"/>
      <c r="F45" s="103"/>
      <c r="G45" s="103"/>
      <c r="H45" s="103"/>
      <c r="I45" s="103"/>
      <c r="J45" s="103"/>
      <c r="K45" s="103"/>
      <c r="L45" s="103"/>
      <c r="M45" s="103"/>
      <c r="N45" s="103"/>
      <c r="O45" s="103"/>
      <c r="P45" s="103"/>
      <c r="Q45" s="103"/>
      <c r="R45" s="103"/>
      <c r="S45" s="178"/>
      <c r="T45" s="178"/>
      <c r="U45" s="178"/>
      <c r="V45" s="178"/>
      <c r="W45" s="178"/>
      <c r="X45" s="178"/>
      <c r="Y45" s="178"/>
      <c r="Z45" s="178"/>
      <c r="AA45" s="178"/>
      <c r="AB45" s="178"/>
      <c r="AC45" s="178"/>
    </row>
    <row r="46" spans="1:29" x14ac:dyDescent="0.25">
      <c r="A46" s="120" t="s">
        <v>80</v>
      </c>
      <c r="B46" s="103" t="s">
        <v>54</v>
      </c>
      <c r="C46" s="103"/>
      <c r="D46" s="130">
        <f>C40*$D$20*$D$15*365/$D$41</f>
        <v>6062768.3388228556</v>
      </c>
      <c r="E46" s="130">
        <f t="shared" ref="E46:AB46" si="7">(D40*$D$20*$D$15*(365/$D$41))+(C40*$D$20*$D$15*($D$41-365)/$D$41)</f>
        <v>8127601.7179839611</v>
      </c>
      <c r="F46" s="130">
        <f t="shared" si="7"/>
        <v>9172414.0017962754</v>
      </c>
      <c r="G46" s="130">
        <f t="shared" si="7"/>
        <v>8282825.0514299022</v>
      </c>
      <c r="H46" s="130">
        <f t="shared" si="7"/>
        <v>6284295.6449502595</v>
      </c>
      <c r="I46" s="130">
        <f t="shared" si="7"/>
        <v>4586877.2806605855</v>
      </c>
      <c r="J46" s="130">
        <f t="shared" si="7"/>
        <v>4531227.0822215993</v>
      </c>
      <c r="K46" s="130">
        <f t="shared" si="7"/>
        <v>4531227.0822215993</v>
      </c>
      <c r="L46" s="130">
        <f t="shared" si="7"/>
        <v>4531227.0822215993</v>
      </c>
      <c r="M46" s="130">
        <f t="shared" si="7"/>
        <v>4531227.0822215993</v>
      </c>
      <c r="N46" s="130">
        <f t="shared" si="7"/>
        <v>4531227.0822215993</v>
      </c>
      <c r="O46" s="130">
        <f t="shared" si="7"/>
        <v>4531227.0822215993</v>
      </c>
      <c r="P46" s="130">
        <f t="shared" si="7"/>
        <v>4531227.0822215993</v>
      </c>
      <c r="Q46" s="130">
        <f t="shared" si="7"/>
        <v>4531227.0822215993</v>
      </c>
      <c r="R46" s="130">
        <f t="shared" si="7"/>
        <v>4531227.0822215993</v>
      </c>
      <c r="S46" s="130">
        <f t="shared" si="7"/>
        <v>4531227.0822215993</v>
      </c>
      <c r="T46" s="130">
        <f t="shared" si="7"/>
        <v>4531227.0822215993</v>
      </c>
      <c r="U46" s="130">
        <f t="shared" si="7"/>
        <v>4531227.0822215993</v>
      </c>
      <c r="V46" s="130">
        <f t="shared" si="7"/>
        <v>4531227.0822215993</v>
      </c>
      <c r="W46" s="130">
        <f t="shared" si="7"/>
        <v>4531227.0822215993</v>
      </c>
      <c r="X46" s="130">
        <f t="shared" si="7"/>
        <v>4531227.0822215993</v>
      </c>
      <c r="Y46" s="130">
        <f t="shared" si="7"/>
        <v>4531227.0822215993</v>
      </c>
      <c r="Z46" s="130">
        <f t="shared" si="7"/>
        <v>4531227.0822215993</v>
      </c>
      <c r="AA46" s="130">
        <f t="shared" si="7"/>
        <v>4531227.0822215993</v>
      </c>
      <c r="AB46" s="130">
        <f t="shared" si="7"/>
        <v>4531227.0822215993</v>
      </c>
      <c r="AC46" s="178"/>
    </row>
    <row r="47" spans="1:29" ht="25.5" x14ac:dyDescent="0.25">
      <c r="A47" s="215" t="s">
        <v>200</v>
      </c>
      <c r="B47" s="216" t="s">
        <v>201</v>
      </c>
      <c r="C47" s="217"/>
      <c r="D47" s="218">
        <f>D46*$C$45*1.03/1000/1000</f>
        <v>174.41251645768628</v>
      </c>
      <c r="E47" s="218">
        <f t="shared" ref="E47:AB47" si="8">E46*$C$45*1.03/1000/1000</f>
        <v>233.81323335778796</v>
      </c>
      <c r="F47" s="218">
        <f t="shared" si="8"/>
        <v>263.87018580287997</v>
      </c>
      <c r="G47" s="218">
        <f t="shared" si="8"/>
        <v>238.27866741138624</v>
      </c>
      <c r="H47" s="218">
        <f t="shared" si="8"/>
        <v>180.78537003982967</v>
      </c>
      <c r="I47" s="218">
        <f t="shared" si="8"/>
        <v>131.95437537663381</v>
      </c>
      <c r="J47" s="218">
        <f t="shared" si="8"/>
        <v>130.35344151133</v>
      </c>
      <c r="K47" s="218">
        <f t="shared" si="8"/>
        <v>130.35344151133</v>
      </c>
      <c r="L47" s="218">
        <f t="shared" si="8"/>
        <v>130.35344151133</v>
      </c>
      <c r="M47" s="218">
        <f t="shared" si="8"/>
        <v>130.35344151133</v>
      </c>
      <c r="N47" s="218">
        <f t="shared" si="8"/>
        <v>130.35344151133</v>
      </c>
      <c r="O47" s="218">
        <f t="shared" si="8"/>
        <v>130.35344151133</v>
      </c>
      <c r="P47" s="218">
        <f t="shared" si="8"/>
        <v>130.35344151133</v>
      </c>
      <c r="Q47" s="218">
        <f t="shared" si="8"/>
        <v>130.35344151133</v>
      </c>
      <c r="R47" s="218">
        <f t="shared" si="8"/>
        <v>130.35344151133</v>
      </c>
      <c r="S47" s="218">
        <f t="shared" si="8"/>
        <v>130.35344151133</v>
      </c>
      <c r="T47" s="218">
        <f t="shared" si="8"/>
        <v>130.35344151133</v>
      </c>
      <c r="U47" s="218">
        <f t="shared" si="8"/>
        <v>130.35344151133</v>
      </c>
      <c r="V47" s="218">
        <f t="shared" si="8"/>
        <v>130.35344151133</v>
      </c>
      <c r="W47" s="218">
        <f t="shared" si="8"/>
        <v>130.35344151133</v>
      </c>
      <c r="X47" s="218">
        <f t="shared" si="8"/>
        <v>130.35344151133</v>
      </c>
      <c r="Y47" s="218">
        <f t="shared" si="8"/>
        <v>130.35344151133</v>
      </c>
      <c r="Z47" s="218">
        <f t="shared" si="8"/>
        <v>130.35344151133</v>
      </c>
      <c r="AA47" s="218">
        <f t="shared" si="8"/>
        <v>130.35344151133</v>
      </c>
      <c r="AB47" s="218">
        <f t="shared" si="8"/>
        <v>130.35344151133</v>
      </c>
      <c r="AC47" s="178"/>
    </row>
    <row r="48" spans="1:29" x14ac:dyDescent="0.25">
      <c r="A48" s="120"/>
      <c r="B48" s="103"/>
      <c r="C48" s="103"/>
      <c r="D48" s="103"/>
      <c r="E48" s="103"/>
      <c r="F48" s="103"/>
      <c r="G48" s="103"/>
      <c r="H48" s="103"/>
      <c r="I48" s="103"/>
      <c r="J48" s="103"/>
      <c r="K48" s="103"/>
      <c r="L48" s="103"/>
      <c r="M48" s="103"/>
      <c r="N48" s="103"/>
      <c r="O48" s="103"/>
      <c r="P48" s="103"/>
      <c r="Q48" s="103"/>
      <c r="R48" s="103"/>
      <c r="S48" s="178"/>
      <c r="T48" s="178"/>
      <c r="U48" s="178"/>
      <c r="V48" s="178"/>
      <c r="W48" s="178"/>
      <c r="X48" s="178"/>
      <c r="Y48" s="178"/>
      <c r="Z48" s="178"/>
      <c r="AA48" s="178"/>
      <c r="AB48" s="178"/>
      <c r="AC48" s="178"/>
    </row>
    <row r="49" spans="1:29" x14ac:dyDescent="0.25">
      <c r="A49" s="178"/>
      <c r="B49" s="178"/>
      <c r="C49" s="178"/>
      <c r="D49" s="178"/>
      <c r="E49" s="178"/>
      <c r="F49" s="178"/>
      <c r="G49" s="178"/>
      <c r="H49" s="178"/>
      <c r="I49" s="178"/>
      <c r="J49" s="178"/>
      <c r="K49" s="178"/>
      <c r="L49" s="178"/>
      <c r="M49" s="178"/>
      <c r="N49" s="178"/>
      <c r="O49" s="178"/>
      <c r="P49" s="178"/>
      <c r="Q49" s="178"/>
      <c r="R49" s="178"/>
      <c r="S49" s="178"/>
      <c r="T49" s="178"/>
      <c r="U49" s="178"/>
      <c r="V49" s="178"/>
      <c r="W49" s="178"/>
      <c r="X49" s="178"/>
      <c r="Y49" s="178"/>
      <c r="Z49" s="178"/>
      <c r="AA49" s="178"/>
      <c r="AB49" s="178"/>
      <c r="AC49" s="178"/>
    </row>
    <row r="50" spans="1:29" x14ac:dyDescent="0.25">
      <c r="A50" s="178"/>
      <c r="B50" s="178"/>
      <c r="C50" s="178"/>
      <c r="D50" s="178"/>
      <c r="E50" s="178"/>
      <c r="F50" s="178"/>
      <c r="G50" s="178"/>
      <c r="H50" s="178"/>
      <c r="I50" s="178"/>
      <c r="J50" s="178"/>
      <c r="K50" s="178"/>
      <c r="L50" s="178"/>
      <c r="M50" s="178"/>
      <c r="N50" s="178"/>
      <c r="O50" s="178"/>
      <c r="P50" s="178"/>
      <c r="Q50" s="178"/>
      <c r="R50" s="178"/>
      <c r="S50" s="178"/>
      <c r="T50" s="178"/>
      <c r="U50" s="178"/>
      <c r="V50" s="178"/>
      <c r="W50" s="178"/>
      <c r="X50" s="178"/>
      <c r="Y50" s="178"/>
      <c r="Z50" s="178"/>
      <c r="AA50" s="178"/>
      <c r="AB50" s="178"/>
      <c r="AC50" s="178"/>
    </row>
    <row r="51" spans="1:29" x14ac:dyDescent="0.25">
      <c r="A51" s="219" t="s">
        <v>143</v>
      </c>
      <c r="B51" s="103"/>
      <c r="C51" s="127"/>
      <c r="D51" s="104"/>
      <c r="E51" s="104"/>
      <c r="F51" s="130"/>
      <c r="G51" s="130"/>
      <c r="H51" s="130"/>
      <c r="I51" s="132"/>
      <c r="J51" s="103"/>
      <c r="K51" s="103"/>
      <c r="L51" s="103"/>
      <c r="M51" s="103"/>
      <c r="N51" s="103"/>
      <c r="O51" s="103"/>
      <c r="P51" s="103"/>
      <c r="Q51" s="103"/>
      <c r="R51" s="103"/>
      <c r="S51" s="178"/>
      <c r="T51" s="178"/>
      <c r="U51" s="178"/>
      <c r="V51" s="178"/>
      <c r="W51" s="178"/>
      <c r="X51" s="178"/>
      <c r="Y51" s="178"/>
      <c r="Z51" s="178"/>
      <c r="AA51" s="178"/>
      <c r="AB51" s="178"/>
      <c r="AC51" s="178"/>
    </row>
    <row r="52" spans="1:29" x14ac:dyDescent="0.25">
      <c r="A52" s="133" t="s">
        <v>138</v>
      </c>
      <c r="B52" s="103" t="s">
        <v>128</v>
      </c>
      <c r="C52" s="120">
        <f>C25*$E$17</f>
        <v>11296800</v>
      </c>
      <c r="D52" s="120">
        <f t="shared" ref="D52:AB52" si="9">D25*$E$17</f>
        <v>14758596.960000001</v>
      </c>
      <c r="E52" s="120">
        <f t="shared" si="9"/>
        <v>16587233.039999995</v>
      </c>
      <c r="F52" s="120">
        <f t="shared" si="9"/>
        <v>14867234.112000002</v>
      </c>
      <c r="G52" s="120">
        <f t="shared" si="9"/>
        <v>11202072.878399998</v>
      </c>
      <c r="H52" s="120">
        <f t="shared" si="9"/>
        <v>8164373.1211200003</v>
      </c>
      <c r="I52" s="120">
        <f t="shared" si="9"/>
        <v>8164373.1211200003</v>
      </c>
      <c r="J52" s="120">
        <f t="shared" si="9"/>
        <v>8164373.1211200003</v>
      </c>
      <c r="K52" s="120">
        <f t="shared" si="9"/>
        <v>8164373.1211200003</v>
      </c>
      <c r="L52" s="120">
        <f t="shared" si="9"/>
        <v>8164373.1211200003</v>
      </c>
      <c r="M52" s="120">
        <f t="shared" si="9"/>
        <v>8164373.1211200003</v>
      </c>
      <c r="N52" s="120">
        <f t="shared" si="9"/>
        <v>8164373.1211200003</v>
      </c>
      <c r="O52" s="120">
        <f t="shared" si="9"/>
        <v>8164373.1211200003</v>
      </c>
      <c r="P52" s="120">
        <f t="shared" si="9"/>
        <v>8164373.1211200003</v>
      </c>
      <c r="Q52" s="120">
        <f t="shared" si="9"/>
        <v>8164373.1211200003</v>
      </c>
      <c r="R52" s="120">
        <f t="shared" si="9"/>
        <v>8164373.1211200003</v>
      </c>
      <c r="S52" s="120">
        <f t="shared" si="9"/>
        <v>8164373.1211200003</v>
      </c>
      <c r="T52" s="120">
        <f t="shared" si="9"/>
        <v>8164373.1211200003</v>
      </c>
      <c r="U52" s="120">
        <f t="shared" si="9"/>
        <v>8164373.1211200003</v>
      </c>
      <c r="V52" s="120">
        <f t="shared" si="9"/>
        <v>8164373.1211200003</v>
      </c>
      <c r="W52" s="120">
        <f t="shared" si="9"/>
        <v>8164373.1211200003</v>
      </c>
      <c r="X52" s="120">
        <f t="shared" si="9"/>
        <v>8164373.1211200003</v>
      </c>
      <c r="Y52" s="120">
        <f t="shared" si="9"/>
        <v>8164373.1211200003</v>
      </c>
      <c r="Z52" s="120">
        <f t="shared" si="9"/>
        <v>8164373.1211200003</v>
      </c>
      <c r="AA52" s="120">
        <f t="shared" si="9"/>
        <v>8164373.1211200003</v>
      </c>
      <c r="AB52" s="120">
        <f t="shared" si="9"/>
        <v>8164373.1211200003</v>
      </c>
      <c r="AC52" s="178"/>
    </row>
    <row r="53" spans="1:29" x14ac:dyDescent="0.25">
      <c r="A53" s="103" t="s">
        <v>44</v>
      </c>
      <c r="B53" s="147"/>
      <c r="C53" s="135">
        <f>310+60+((1/C20)-1)*22</f>
        <v>410.85714285714289</v>
      </c>
      <c r="D53" s="135">
        <f>310+60+((1/D20)-1)*22</f>
        <v>407.45945945945948</v>
      </c>
      <c r="E53" s="135">
        <f>C53-D53</f>
        <v>3.3976833976834087</v>
      </c>
      <c r="F53" s="130"/>
      <c r="G53" s="130"/>
      <c r="H53" s="130"/>
      <c r="I53" s="132"/>
      <c r="J53" s="103"/>
      <c r="K53" s="103"/>
      <c r="L53" s="103"/>
      <c r="M53" s="103"/>
      <c r="N53" s="103"/>
      <c r="O53" s="103"/>
      <c r="P53" s="103"/>
      <c r="Q53" s="103"/>
      <c r="R53" s="103"/>
      <c r="S53" s="178"/>
      <c r="T53" s="178"/>
      <c r="U53" s="178"/>
      <c r="V53" s="178"/>
      <c r="W53" s="178"/>
      <c r="X53" s="178"/>
      <c r="Y53" s="178"/>
      <c r="Z53" s="178"/>
      <c r="AA53" s="178"/>
      <c r="AB53" s="178"/>
      <c r="AC53" s="178"/>
    </row>
    <row r="54" spans="1:29" x14ac:dyDescent="0.25">
      <c r="A54" s="103"/>
      <c r="B54" s="147"/>
      <c r="C54" s="133"/>
      <c r="D54" s="135"/>
      <c r="E54" s="135"/>
      <c r="F54" s="130"/>
      <c r="G54" s="130"/>
      <c r="H54" s="130"/>
      <c r="I54" s="132"/>
      <c r="J54" s="103"/>
      <c r="K54" s="103"/>
      <c r="L54" s="103"/>
      <c r="M54" s="103"/>
      <c r="N54" s="103"/>
      <c r="O54" s="103"/>
      <c r="P54" s="103"/>
      <c r="Q54" s="103"/>
      <c r="R54" s="103"/>
      <c r="S54" s="178"/>
      <c r="T54" s="178"/>
      <c r="U54" s="178"/>
      <c r="V54" s="178"/>
      <c r="W54" s="178"/>
      <c r="X54" s="178"/>
      <c r="Y54" s="178"/>
      <c r="Z54" s="178"/>
      <c r="AA54" s="178"/>
      <c r="AB54" s="178"/>
      <c r="AC54" s="178"/>
    </row>
    <row r="55" spans="1:29" x14ac:dyDescent="0.25">
      <c r="A55" s="220" t="s">
        <v>139</v>
      </c>
      <c r="B55" s="147"/>
      <c r="C55" s="133"/>
      <c r="D55" s="130"/>
      <c r="E55" s="130"/>
      <c r="F55" s="130"/>
      <c r="G55" s="130"/>
      <c r="H55" s="130"/>
      <c r="I55" s="130"/>
      <c r="J55" s="130"/>
      <c r="K55" s="130"/>
      <c r="L55" s="130"/>
      <c r="M55" s="130"/>
      <c r="N55" s="130"/>
      <c r="O55" s="130"/>
      <c r="P55" s="130"/>
      <c r="Q55" s="130"/>
      <c r="R55" s="130"/>
      <c r="S55" s="178"/>
      <c r="T55" s="178"/>
      <c r="U55" s="178"/>
      <c r="V55" s="178"/>
      <c r="W55" s="178"/>
      <c r="X55" s="178"/>
      <c r="Y55" s="178"/>
      <c r="Z55" s="178"/>
      <c r="AA55" s="178"/>
      <c r="AB55" s="178"/>
      <c r="AC55" s="178"/>
    </row>
    <row r="56" spans="1:29" x14ac:dyDescent="0.25">
      <c r="A56" s="123" t="s">
        <v>198</v>
      </c>
      <c r="B56" s="103" t="s">
        <v>51</v>
      </c>
      <c r="C56" s="103">
        <f>E11/305</f>
        <v>5.470213114754098</v>
      </c>
      <c r="D56" s="103"/>
      <c r="E56" s="103"/>
      <c r="F56" s="103"/>
      <c r="G56" s="103"/>
      <c r="H56" s="103"/>
      <c r="I56" s="103"/>
      <c r="J56" s="103"/>
      <c r="K56" s="103"/>
      <c r="L56" s="103"/>
      <c r="M56" s="103"/>
      <c r="N56" s="103"/>
      <c r="O56" s="103"/>
      <c r="P56" s="103"/>
      <c r="Q56" s="103"/>
      <c r="R56" s="103"/>
      <c r="S56" s="178"/>
      <c r="T56" s="178"/>
      <c r="U56" s="178"/>
      <c r="V56" s="178"/>
      <c r="W56" s="178"/>
      <c r="X56" s="178"/>
      <c r="Y56" s="178"/>
      <c r="Z56" s="178"/>
      <c r="AA56" s="178"/>
      <c r="AB56" s="178"/>
      <c r="AC56" s="178"/>
    </row>
    <row r="57" spans="1:29" ht="45" x14ac:dyDescent="0.25">
      <c r="A57" s="123" t="s">
        <v>199</v>
      </c>
      <c r="B57" s="103" t="s">
        <v>51</v>
      </c>
      <c r="C57" s="103">
        <f>C56*E53</f>
        <v>18.586052281790046</v>
      </c>
      <c r="D57" s="103"/>
      <c r="E57" s="103"/>
      <c r="F57" s="103"/>
      <c r="G57" s="103"/>
      <c r="H57" s="103"/>
      <c r="I57" s="103"/>
      <c r="J57" s="103"/>
      <c r="K57" s="103"/>
      <c r="L57" s="103"/>
      <c r="M57" s="103"/>
      <c r="N57" s="103"/>
      <c r="O57" s="103"/>
      <c r="P57" s="103"/>
      <c r="Q57" s="103"/>
      <c r="R57" s="103"/>
      <c r="S57" s="178"/>
      <c r="T57" s="178"/>
      <c r="U57" s="178"/>
      <c r="V57" s="178"/>
      <c r="W57" s="178"/>
      <c r="X57" s="178"/>
      <c r="Y57" s="178"/>
      <c r="Z57" s="178"/>
      <c r="AA57" s="178"/>
      <c r="AB57" s="178"/>
      <c r="AC57" s="178"/>
    </row>
    <row r="58" spans="1:29" x14ac:dyDescent="0.25">
      <c r="A58" s="120" t="s">
        <v>80</v>
      </c>
      <c r="B58" s="103" t="s">
        <v>54</v>
      </c>
      <c r="C58" s="103"/>
      <c r="D58" s="130">
        <f>C52*$D$20*$E$15*365/$D$53</f>
        <v>3369831.0939241177</v>
      </c>
      <c r="E58" s="130">
        <f t="shared" ref="E58:AB58" si="10">((D52*$D$20*$E$15*(365/$D$53))+(C52*$D$20*$E$15*($D$53-365)/$D$53))</f>
        <v>4794487.1013543652</v>
      </c>
      <c r="F58" s="130">
        <f t="shared" si="10"/>
        <v>5460094.2268358227</v>
      </c>
      <c r="G58" s="130">
        <f t="shared" si="10"/>
        <v>5010473.5838111714</v>
      </c>
      <c r="H58" s="130">
        <f t="shared" si="10"/>
        <v>3857472.773364536</v>
      </c>
      <c r="I58" s="130">
        <f t="shared" si="10"/>
        <v>2824145.5995666254</v>
      </c>
      <c r="J58" s="130">
        <f t="shared" si="10"/>
        <v>2718736.2493329607</v>
      </c>
      <c r="K58" s="130">
        <f t="shared" si="10"/>
        <v>2718736.2493329607</v>
      </c>
      <c r="L58" s="130">
        <f t="shared" si="10"/>
        <v>2718736.2493329607</v>
      </c>
      <c r="M58" s="130">
        <f t="shared" si="10"/>
        <v>2718736.2493329607</v>
      </c>
      <c r="N58" s="130">
        <f t="shared" si="10"/>
        <v>2718736.2493329607</v>
      </c>
      <c r="O58" s="130">
        <f t="shared" si="10"/>
        <v>2718736.2493329607</v>
      </c>
      <c r="P58" s="130">
        <f t="shared" si="10"/>
        <v>2718736.2493329607</v>
      </c>
      <c r="Q58" s="130">
        <f t="shared" si="10"/>
        <v>2718736.2493329607</v>
      </c>
      <c r="R58" s="130">
        <f t="shared" si="10"/>
        <v>2718736.2493329607</v>
      </c>
      <c r="S58" s="130">
        <f t="shared" si="10"/>
        <v>2718736.2493329607</v>
      </c>
      <c r="T58" s="130">
        <f t="shared" si="10"/>
        <v>2718736.2493329607</v>
      </c>
      <c r="U58" s="130">
        <f t="shared" si="10"/>
        <v>2718736.2493329607</v>
      </c>
      <c r="V58" s="130">
        <f t="shared" si="10"/>
        <v>2718736.2493329607</v>
      </c>
      <c r="W58" s="130">
        <f t="shared" si="10"/>
        <v>2718736.2493329607</v>
      </c>
      <c r="X58" s="130">
        <f t="shared" si="10"/>
        <v>2718736.2493329607</v>
      </c>
      <c r="Y58" s="130">
        <f t="shared" si="10"/>
        <v>2718736.2493329607</v>
      </c>
      <c r="Z58" s="130">
        <f t="shared" si="10"/>
        <v>2718736.2493329607</v>
      </c>
      <c r="AA58" s="130">
        <f t="shared" si="10"/>
        <v>2718736.2493329607</v>
      </c>
      <c r="AB58" s="130">
        <f t="shared" si="10"/>
        <v>2718736.2493329607</v>
      </c>
      <c r="AC58" s="178"/>
    </row>
    <row r="59" spans="1:29" ht="25.5" x14ac:dyDescent="0.25">
      <c r="A59" s="215" t="s">
        <v>200</v>
      </c>
      <c r="B59" s="216" t="s">
        <v>201</v>
      </c>
      <c r="C59" s="217"/>
      <c r="D59" s="218">
        <f>D58*$C$57*1.03/1000/1000</f>
        <v>64.510812599249661</v>
      </c>
      <c r="E59" s="218">
        <f t="shared" ref="E59:AB59" si="11">E58*$C$57*1.03/1000/1000</f>
        <v>91.78390556804446</v>
      </c>
      <c r="F59" s="218">
        <f t="shared" si="11"/>
        <v>104.52604466637473</v>
      </c>
      <c r="G59" s="218">
        <f t="shared" si="11"/>
        <v>95.918671704799635</v>
      </c>
      <c r="H59" s="218">
        <f t="shared" si="11"/>
        <v>73.84604636057496</v>
      </c>
      <c r="I59" s="218">
        <f t="shared" si="11"/>
        <v>54.06440929788058</v>
      </c>
      <c r="J59" s="218">
        <f t="shared" si="11"/>
        <v>52.046491292615194</v>
      </c>
      <c r="K59" s="218">
        <f t="shared" si="11"/>
        <v>52.046491292615194</v>
      </c>
      <c r="L59" s="218">
        <f t="shared" si="11"/>
        <v>52.046491292615194</v>
      </c>
      <c r="M59" s="218">
        <f t="shared" si="11"/>
        <v>52.046491292615194</v>
      </c>
      <c r="N59" s="218">
        <f t="shared" si="11"/>
        <v>52.046491292615194</v>
      </c>
      <c r="O59" s="218">
        <f t="shared" si="11"/>
        <v>52.046491292615194</v>
      </c>
      <c r="P59" s="218">
        <f t="shared" si="11"/>
        <v>52.046491292615194</v>
      </c>
      <c r="Q59" s="218">
        <f t="shared" si="11"/>
        <v>52.046491292615194</v>
      </c>
      <c r="R59" s="218">
        <f t="shared" si="11"/>
        <v>52.046491292615194</v>
      </c>
      <c r="S59" s="218">
        <f t="shared" si="11"/>
        <v>52.046491292615194</v>
      </c>
      <c r="T59" s="218">
        <f t="shared" si="11"/>
        <v>52.046491292615194</v>
      </c>
      <c r="U59" s="218">
        <f t="shared" si="11"/>
        <v>52.046491292615194</v>
      </c>
      <c r="V59" s="218">
        <f t="shared" si="11"/>
        <v>52.046491292615194</v>
      </c>
      <c r="W59" s="218">
        <f t="shared" si="11"/>
        <v>52.046491292615194</v>
      </c>
      <c r="X59" s="218">
        <f t="shared" si="11"/>
        <v>52.046491292615194</v>
      </c>
      <c r="Y59" s="218">
        <f t="shared" si="11"/>
        <v>52.046491292615194</v>
      </c>
      <c r="Z59" s="218">
        <f t="shared" si="11"/>
        <v>52.046491292615194</v>
      </c>
      <c r="AA59" s="218">
        <f t="shared" si="11"/>
        <v>52.046491292615194</v>
      </c>
      <c r="AB59" s="218">
        <f t="shared" si="11"/>
        <v>52.046491292615194</v>
      </c>
      <c r="AC59" s="178"/>
    </row>
    <row r="60" spans="1:29" x14ac:dyDescent="0.25">
      <c r="A60" s="120"/>
      <c r="B60" s="103"/>
      <c r="C60" s="103"/>
      <c r="D60" s="103"/>
      <c r="E60" s="103"/>
      <c r="F60" s="103"/>
      <c r="G60" s="103"/>
      <c r="H60" s="103"/>
      <c r="I60" s="103"/>
      <c r="J60" s="103"/>
      <c r="K60" s="103"/>
      <c r="L60" s="103"/>
      <c r="M60" s="103"/>
      <c r="N60" s="103"/>
      <c r="O60" s="103"/>
      <c r="P60" s="103"/>
      <c r="Q60" s="103"/>
      <c r="R60" s="103"/>
      <c r="S60" s="178"/>
      <c r="T60" s="178"/>
      <c r="U60" s="178"/>
      <c r="V60" s="178"/>
      <c r="W60" s="178"/>
      <c r="X60" s="178"/>
      <c r="Y60" s="178"/>
      <c r="Z60" s="178"/>
      <c r="AA60" s="178"/>
      <c r="AB60" s="178"/>
      <c r="AC60" s="178"/>
    </row>
    <row r="61" spans="1:29" x14ac:dyDescent="0.25">
      <c r="A61" s="178"/>
      <c r="B61" s="178"/>
      <c r="C61" s="178"/>
      <c r="D61" s="178"/>
      <c r="E61" s="178"/>
      <c r="F61" s="178"/>
      <c r="G61" s="178"/>
      <c r="H61" s="178"/>
      <c r="I61" s="178"/>
      <c r="J61" s="178"/>
      <c r="K61" s="178"/>
      <c r="L61" s="178"/>
      <c r="M61" s="178"/>
      <c r="N61" s="178"/>
      <c r="O61" s="178"/>
      <c r="P61" s="178"/>
      <c r="Q61" s="178"/>
      <c r="R61" s="178"/>
      <c r="S61" s="178"/>
      <c r="T61" s="178"/>
      <c r="U61" s="178"/>
      <c r="V61" s="178"/>
      <c r="W61" s="178"/>
      <c r="X61" s="178"/>
      <c r="Y61" s="178"/>
      <c r="Z61" s="178"/>
      <c r="AA61" s="178"/>
      <c r="AB61" s="178"/>
      <c r="AC61" s="178"/>
    </row>
    <row r="62" spans="1:29" x14ac:dyDescent="0.25">
      <c r="A62" s="107"/>
      <c r="B62" s="178"/>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c r="AA62" s="178"/>
      <c r="AB62" s="178"/>
      <c r="AC62" s="178"/>
    </row>
    <row r="63" spans="1:29" x14ac:dyDescent="0.25">
      <c r="A63" s="107" t="s">
        <v>302</v>
      </c>
      <c r="B63" s="178"/>
      <c r="C63" s="178"/>
      <c r="D63" s="178"/>
      <c r="E63" s="178"/>
      <c r="F63" s="178"/>
      <c r="G63" s="178"/>
      <c r="H63" s="178"/>
      <c r="I63" s="178"/>
      <c r="J63" s="178"/>
      <c r="K63" s="178"/>
      <c r="L63" s="178"/>
      <c r="M63" s="178"/>
      <c r="N63" s="178"/>
      <c r="O63" s="178"/>
      <c r="P63" s="178"/>
      <c r="Q63" s="178"/>
      <c r="R63" s="178"/>
      <c r="S63" s="112"/>
      <c r="T63" s="112"/>
      <c r="U63" s="112"/>
      <c r="V63" s="112"/>
      <c r="W63" s="112"/>
      <c r="X63" s="112"/>
      <c r="Y63" s="112"/>
      <c r="Z63" s="112"/>
      <c r="AA63" s="112"/>
      <c r="AB63" s="112"/>
      <c r="AC63" s="178"/>
    </row>
    <row r="64" spans="1:29" x14ac:dyDescent="0.25">
      <c r="A64" s="179" t="s">
        <v>206</v>
      </c>
      <c r="B64" s="140" t="s">
        <v>55</v>
      </c>
      <c r="C64" s="112">
        <f t="shared" ref="C64:AB64" si="12">C36+C47+C59</f>
        <v>0</v>
      </c>
      <c r="D64" s="112">
        <f t="shared" si="12"/>
        <v>260.61761557046736</v>
      </c>
      <c r="E64" s="112">
        <f t="shared" si="12"/>
        <v>354.67997872505998</v>
      </c>
      <c r="F64" s="112">
        <f t="shared" si="12"/>
        <v>401.21770182607241</v>
      </c>
      <c r="G64" s="112">
        <f t="shared" si="12"/>
        <v>363.8356115628722</v>
      </c>
      <c r="H64" s="112">
        <f t="shared" si="12"/>
        <v>277.11838978256077</v>
      </c>
      <c r="I64" s="112">
        <f t="shared" si="12"/>
        <v>202.43191880201417</v>
      </c>
      <c r="J64" s="112">
        <f t="shared" si="12"/>
        <v>198.61393490429174</v>
      </c>
      <c r="K64" s="112">
        <f t="shared" si="12"/>
        <v>198.61393490429174</v>
      </c>
      <c r="L64" s="112">
        <f t="shared" si="12"/>
        <v>198.61393490429174</v>
      </c>
      <c r="M64" s="112">
        <f t="shared" si="12"/>
        <v>198.61393490429174</v>
      </c>
      <c r="N64" s="112">
        <f t="shared" si="12"/>
        <v>198.61393490429174</v>
      </c>
      <c r="O64" s="112">
        <f t="shared" si="12"/>
        <v>198.61393490429174</v>
      </c>
      <c r="P64" s="112">
        <f t="shared" si="12"/>
        <v>198.61393490429174</v>
      </c>
      <c r="Q64" s="112">
        <f t="shared" si="12"/>
        <v>198.61393490429174</v>
      </c>
      <c r="R64" s="112">
        <f t="shared" si="12"/>
        <v>198.61393490429174</v>
      </c>
      <c r="S64" s="112">
        <f t="shared" si="12"/>
        <v>198.61393490429174</v>
      </c>
      <c r="T64" s="112">
        <f t="shared" si="12"/>
        <v>198.61393490429174</v>
      </c>
      <c r="U64" s="112">
        <f t="shared" si="12"/>
        <v>198.61393490429174</v>
      </c>
      <c r="V64" s="112">
        <f t="shared" si="12"/>
        <v>198.61393490429174</v>
      </c>
      <c r="W64" s="112">
        <f t="shared" si="12"/>
        <v>198.61393490429174</v>
      </c>
      <c r="X64" s="112">
        <f t="shared" si="12"/>
        <v>198.61393490429174</v>
      </c>
      <c r="Y64" s="112">
        <f t="shared" si="12"/>
        <v>198.61393490429174</v>
      </c>
      <c r="Z64" s="112">
        <f t="shared" si="12"/>
        <v>198.61393490429174</v>
      </c>
      <c r="AA64" s="112">
        <f t="shared" si="12"/>
        <v>198.61393490429174</v>
      </c>
      <c r="AB64" s="112">
        <f t="shared" si="12"/>
        <v>198.61393490429174</v>
      </c>
      <c r="AC64" s="178"/>
    </row>
    <row r="65" spans="1:29" x14ac:dyDescent="0.25">
      <c r="A65" s="107" t="s">
        <v>17</v>
      </c>
      <c r="B65" s="137" t="s">
        <v>55</v>
      </c>
      <c r="C65" s="148">
        <f t="shared" ref="C65:AB65" si="13">SUM(C64:C64)</f>
        <v>0</v>
      </c>
      <c r="D65" s="148">
        <f t="shared" si="13"/>
        <v>260.61761557046736</v>
      </c>
      <c r="E65" s="148">
        <f t="shared" si="13"/>
        <v>354.67997872505998</v>
      </c>
      <c r="F65" s="148">
        <f t="shared" si="13"/>
        <v>401.21770182607241</v>
      </c>
      <c r="G65" s="148">
        <f t="shared" si="13"/>
        <v>363.8356115628722</v>
      </c>
      <c r="H65" s="148">
        <f t="shared" si="13"/>
        <v>277.11838978256077</v>
      </c>
      <c r="I65" s="148">
        <f t="shared" si="13"/>
        <v>202.43191880201417</v>
      </c>
      <c r="J65" s="148">
        <f t="shared" si="13"/>
        <v>198.61393490429174</v>
      </c>
      <c r="K65" s="148">
        <f t="shared" si="13"/>
        <v>198.61393490429174</v>
      </c>
      <c r="L65" s="148">
        <f t="shared" si="13"/>
        <v>198.61393490429174</v>
      </c>
      <c r="M65" s="148">
        <f t="shared" si="13"/>
        <v>198.61393490429174</v>
      </c>
      <c r="N65" s="148">
        <f t="shared" si="13"/>
        <v>198.61393490429174</v>
      </c>
      <c r="O65" s="148">
        <f t="shared" si="13"/>
        <v>198.61393490429174</v>
      </c>
      <c r="P65" s="148">
        <f t="shared" si="13"/>
        <v>198.61393490429174</v>
      </c>
      <c r="Q65" s="148">
        <f t="shared" si="13"/>
        <v>198.61393490429174</v>
      </c>
      <c r="R65" s="148">
        <f t="shared" si="13"/>
        <v>198.61393490429174</v>
      </c>
      <c r="S65" s="148">
        <f t="shared" si="13"/>
        <v>198.61393490429174</v>
      </c>
      <c r="T65" s="148">
        <f t="shared" si="13"/>
        <v>198.61393490429174</v>
      </c>
      <c r="U65" s="148">
        <f t="shared" si="13"/>
        <v>198.61393490429174</v>
      </c>
      <c r="V65" s="148">
        <f t="shared" si="13"/>
        <v>198.61393490429174</v>
      </c>
      <c r="W65" s="148">
        <f t="shared" si="13"/>
        <v>198.61393490429174</v>
      </c>
      <c r="X65" s="148">
        <f t="shared" si="13"/>
        <v>198.61393490429174</v>
      </c>
      <c r="Y65" s="148">
        <f t="shared" si="13"/>
        <v>198.61393490429174</v>
      </c>
      <c r="Z65" s="148">
        <f t="shared" si="13"/>
        <v>198.61393490429174</v>
      </c>
      <c r="AA65" s="148">
        <f t="shared" si="13"/>
        <v>198.61393490429174</v>
      </c>
      <c r="AB65" s="148">
        <f t="shared" si="13"/>
        <v>198.61393490429174</v>
      </c>
      <c r="AC65" s="178"/>
    </row>
    <row r="66" spans="1:29" x14ac:dyDescent="0.25">
      <c r="A66" s="107"/>
      <c r="B66" s="149"/>
      <c r="C66" s="148"/>
      <c r="D66" s="148"/>
      <c r="E66" s="148"/>
      <c r="F66" s="148"/>
      <c r="G66" s="148"/>
      <c r="H66" s="148"/>
      <c r="I66" s="148"/>
      <c r="J66" s="148"/>
      <c r="K66" s="148"/>
      <c r="L66" s="148"/>
      <c r="M66" s="148"/>
      <c r="N66" s="148"/>
      <c r="O66" s="148"/>
      <c r="P66" s="148"/>
      <c r="Q66" s="148"/>
      <c r="R66" s="148"/>
      <c r="S66" s="112"/>
      <c r="T66" s="112"/>
      <c r="U66" s="112"/>
      <c r="V66" s="112"/>
      <c r="W66" s="112"/>
      <c r="X66" s="112"/>
      <c r="Y66" s="112"/>
      <c r="Z66" s="112"/>
      <c r="AA66" s="112"/>
      <c r="AB66" s="112"/>
      <c r="AC66" s="178"/>
    </row>
  </sheetData>
  <mergeCells count="5">
    <mergeCell ref="A3:H3"/>
    <mergeCell ref="A4:H4"/>
    <mergeCell ref="A5:H5"/>
    <mergeCell ref="A6:H6"/>
    <mergeCell ref="A7:H7"/>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70"/>
  <sheetViews>
    <sheetView topLeftCell="A47" workbookViewId="0">
      <pane xSplit="2" ySplit="2" topLeftCell="C49" activePane="bottomRight" state="frozen"/>
      <selection activeCell="A47" sqref="A47"/>
      <selection pane="topRight" activeCell="C47" sqref="C47"/>
      <selection pane="bottomLeft" activeCell="A49" sqref="A49"/>
      <selection pane="bottomRight" activeCell="K66" sqref="K66"/>
    </sheetView>
  </sheetViews>
  <sheetFormatPr defaultRowHeight="15" x14ac:dyDescent="0.25"/>
  <cols>
    <col min="1" max="1" width="4.85546875" customWidth="1"/>
    <col min="2" max="2" width="23.5703125" customWidth="1"/>
    <col min="3" max="3" width="16.140625" customWidth="1"/>
    <col min="4" max="7" width="9.28515625" bestFit="1" customWidth="1"/>
    <col min="8" max="8" width="9.42578125" bestFit="1" customWidth="1"/>
    <col min="9" max="9" width="9.5703125" bestFit="1" customWidth="1"/>
    <col min="10" max="10" width="13.28515625" customWidth="1"/>
    <col min="11" max="11" width="9.42578125" bestFit="1" customWidth="1"/>
  </cols>
  <sheetData>
    <row r="1" spans="1:11" x14ac:dyDescent="0.25">
      <c r="A1" s="443" t="s">
        <v>84</v>
      </c>
      <c r="B1" s="443"/>
      <c r="C1" s="443"/>
      <c r="D1" s="443"/>
      <c r="E1" s="443"/>
      <c r="F1" s="443"/>
      <c r="G1" s="443"/>
      <c r="H1" s="443"/>
      <c r="I1" s="443"/>
      <c r="J1" s="443"/>
      <c r="K1" s="158"/>
    </row>
    <row r="2" spans="1:11" x14ac:dyDescent="0.25">
      <c r="A2" s="159"/>
      <c r="B2" s="159"/>
      <c r="C2" s="159"/>
      <c r="D2" s="160" t="s">
        <v>3</v>
      </c>
      <c r="E2" s="161" t="s">
        <v>4</v>
      </c>
      <c r="F2" s="161" t="s">
        <v>5</v>
      </c>
      <c r="G2" s="161" t="s">
        <v>6</v>
      </c>
      <c r="H2" s="161" t="s">
        <v>7</v>
      </c>
      <c r="I2" s="161" t="s">
        <v>8</v>
      </c>
      <c r="J2" s="161" t="s">
        <v>9</v>
      </c>
      <c r="K2" s="162"/>
    </row>
    <row r="3" spans="1:11" ht="25.5" x14ac:dyDescent="0.25">
      <c r="A3" s="163" t="s">
        <v>237</v>
      </c>
      <c r="B3" s="163" t="s">
        <v>86</v>
      </c>
      <c r="C3" s="163" t="s">
        <v>64</v>
      </c>
      <c r="D3" s="164" t="s">
        <v>87</v>
      </c>
      <c r="E3" s="164" t="s">
        <v>88</v>
      </c>
      <c r="F3" s="164" t="s">
        <v>89</v>
      </c>
      <c r="G3" s="164" t="s">
        <v>90</v>
      </c>
      <c r="H3" s="164" t="s">
        <v>91</v>
      </c>
      <c r="I3" s="164" t="s">
        <v>92</v>
      </c>
      <c r="J3" s="164" t="s">
        <v>93</v>
      </c>
      <c r="K3" s="162"/>
    </row>
    <row r="4" spans="1:11" x14ac:dyDescent="0.25">
      <c r="A4" s="165">
        <v>1</v>
      </c>
      <c r="B4" s="165" t="s">
        <v>95</v>
      </c>
      <c r="C4" s="165" t="s">
        <v>96</v>
      </c>
      <c r="D4" s="166">
        <v>0</v>
      </c>
      <c r="E4" s="166">
        <f>12*0.3/0.5</f>
        <v>7.1999999999999993</v>
      </c>
      <c r="F4" s="167">
        <f>23*0.4/0.5</f>
        <v>18.400000000000002</v>
      </c>
      <c r="G4" s="167">
        <v>34</v>
      </c>
      <c r="H4" s="167">
        <v>45</v>
      </c>
      <c r="I4" s="167">
        <v>62</v>
      </c>
      <c r="J4" s="167">
        <v>66</v>
      </c>
      <c r="K4" s="168"/>
    </row>
    <row r="5" spans="1:11" hidden="1" x14ac:dyDescent="0.25">
      <c r="A5" s="165">
        <v>2</v>
      </c>
      <c r="B5" s="165" t="s">
        <v>97</v>
      </c>
      <c r="C5" s="165" t="s">
        <v>98</v>
      </c>
      <c r="D5" s="166">
        <v>0</v>
      </c>
      <c r="E5" s="167">
        <f>14*0.3/0.5</f>
        <v>8.4</v>
      </c>
      <c r="F5" s="167">
        <f>22*0.4/0.5</f>
        <v>17.600000000000001</v>
      </c>
      <c r="G5" s="167">
        <v>30</v>
      </c>
      <c r="H5" s="167">
        <v>37</v>
      </c>
      <c r="I5" s="167">
        <v>55</v>
      </c>
      <c r="J5" s="167">
        <v>71</v>
      </c>
      <c r="K5" s="168"/>
    </row>
    <row r="6" spans="1:11" hidden="1" x14ac:dyDescent="0.25">
      <c r="A6" s="165">
        <v>3</v>
      </c>
      <c r="B6" s="165" t="s">
        <v>97</v>
      </c>
      <c r="C6" s="165" t="s">
        <v>65</v>
      </c>
      <c r="D6" s="167">
        <v>0</v>
      </c>
      <c r="E6" s="167">
        <f>14*0.3/0.5</f>
        <v>8.4</v>
      </c>
      <c r="F6" s="167">
        <f>22*0.4/0.5</f>
        <v>17.600000000000001</v>
      </c>
      <c r="G6" s="167">
        <v>29</v>
      </c>
      <c r="H6" s="167">
        <v>36</v>
      </c>
      <c r="I6" s="167">
        <v>42</v>
      </c>
      <c r="J6" s="165">
        <v>55</v>
      </c>
      <c r="K6" s="169"/>
    </row>
    <row r="7" spans="1:11" hidden="1" x14ac:dyDescent="0.25">
      <c r="A7" s="165">
        <v>4</v>
      </c>
      <c r="B7" s="165" t="s">
        <v>99</v>
      </c>
      <c r="C7" s="165" t="s">
        <v>66</v>
      </c>
      <c r="D7" s="167">
        <v>0</v>
      </c>
      <c r="E7" s="167">
        <f>6*0.3/0.5</f>
        <v>3.5999999999999996</v>
      </c>
      <c r="F7" s="167">
        <f>11*0.4/0.5</f>
        <v>8.8000000000000007</v>
      </c>
      <c r="G7" s="167">
        <v>16</v>
      </c>
      <c r="H7" s="167">
        <v>21</v>
      </c>
      <c r="I7" s="167">
        <v>25</v>
      </c>
      <c r="J7" s="165">
        <v>24</v>
      </c>
      <c r="K7" s="169"/>
    </row>
    <row r="8" spans="1:11" hidden="1" x14ac:dyDescent="0.25">
      <c r="A8" s="165">
        <v>5</v>
      </c>
      <c r="B8" s="165" t="s">
        <v>100</v>
      </c>
      <c r="C8" s="165" t="s">
        <v>66</v>
      </c>
      <c r="D8" s="167">
        <v>0</v>
      </c>
      <c r="E8" s="167">
        <f>6*0.3/0.5</f>
        <v>3.5999999999999996</v>
      </c>
      <c r="F8" s="167">
        <f>12*0.4/0.5</f>
        <v>9.6000000000000014</v>
      </c>
      <c r="G8" s="167">
        <v>17</v>
      </c>
      <c r="H8" s="167">
        <v>22</v>
      </c>
      <c r="I8" s="167">
        <v>26</v>
      </c>
      <c r="J8" s="165">
        <v>25</v>
      </c>
      <c r="K8" s="169"/>
    </row>
    <row r="9" spans="1:11" hidden="1" x14ac:dyDescent="0.25">
      <c r="A9" s="165">
        <v>6</v>
      </c>
      <c r="B9" s="165" t="s">
        <v>101</v>
      </c>
      <c r="C9" s="165" t="s">
        <v>65</v>
      </c>
      <c r="D9" s="167">
        <v>0</v>
      </c>
      <c r="E9" s="166">
        <v>0</v>
      </c>
      <c r="F9" s="167">
        <f>8*0.4/0.5</f>
        <v>6.4</v>
      </c>
      <c r="G9" s="167">
        <v>16</v>
      </c>
      <c r="H9" s="167">
        <v>23</v>
      </c>
      <c r="I9" s="167">
        <v>29</v>
      </c>
      <c r="J9" s="167">
        <v>34</v>
      </c>
      <c r="K9" s="169"/>
    </row>
    <row r="10" spans="1:11" hidden="1" x14ac:dyDescent="0.25">
      <c r="A10" s="165">
        <v>7</v>
      </c>
      <c r="B10" s="165" t="s">
        <v>102</v>
      </c>
      <c r="C10" s="165" t="s">
        <v>65</v>
      </c>
      <c r="D10" s="166"/>
      <c r="E10" s="167">
        <v>0</v>
      </c>
      <c r="F10" s="166">
        <v>0</v>
      </c>
      <c r="G10" s="167">
        <v>0</v>
      </c>
      <c r="H10" s="167">
        <v>6</v>
      </c>
      <c r="I10" s="167">
        <v>11</v>
      </c>
      <c r="J10" s="167">
        <v>16</v>
      </c>
      <c r="K10" s="169"/>
    </row>
    <row r="11" spans="1:11" hidden="1" x14ac:dyDescent="0.25">
      <c r="A11" s="165">
        <v>8</v>
      </c>
      <c r="B11" s="165" t="s">
        <v>103</v>
      </c>
      <c r="C11" s="165" t="s">
        <v>104</v>
      </c>
      <c r="D11" s="166"/>
      <c r="E11" s="166">
        <v>0</v>
      </c>
      <c r="F11" s="166">
        <v>0</v>
      </c>
      <c r="G11" s="166">
        <v>12</v>
      </c>
      <c r="H11" s="166">
        <v>24</v>
      </c>
      <c r="I11" s="166">
        <v>35</v>
      </c>
      <c r="J11" s="166">
        <v>45</v>
      </c>
      <c r="K11" s="170"/>
    </row>
    <row r="12" spans="1:11" hidden="1" x14ac:dyDescent="0.25">
      <c r="A12" s="165">
        <v>9</v>
      </c>
      <c r="B12" s="165" t="s">
        <v>105</v>
      </c>
      <c r="C12" s="165" t="s">
        <v>65</v>
      </c>
      <c r="D12" s="166"/>
      <c r="E12" s="166"/>
      <c r="F12" s="167">
        <v>0</v>
      </c>
      <c r="G12" s="167">
        <v>0</v>
      </c>
      <c r="H12" s="167">
        <v>0</v>
      </c>
      <c r="I12" s="167">
        <v>17</v>
      </c>
      <c r="J12" s="167">
        <v>32</v>
      </c>
      <c r="K12" s="169"/>
    </row>
    <row r="13" spans="1:11" hidden="1" x14ac:dyDescent="0.25">
      <c r="A13" s="165">
        <v>10</v>
      </c>
      <c r="B13" s="165" t="s">
        <v>238</v>
      </c>
      <c r="C13" s="171" t="s">
        <v>239</v>
      </c>
      <c r="D13" s="166"/>
      <c r="E13" s="166">
        <v>0</v>
      </c>
      <c r="F13" s="167">
        <f>21.4032*0.4/0.5</f>
        <v>17.12256</v>
      </c>
      <c r="G13" s="167">
        <v>27.662879999999994</v>
      </c>
      <c r="H13" s="167">
        <v>37.597391999999999</v>
      </c>
      <c r="I13" s="167">
        <v>42.583732799999993</v>
      </c>
      <c r="J13" s="167">
        <v>50.564159519999997</v>
      </c>
      <c r="K13" s="169"/>
    </row>
    <row r="14" spans="1:11" hidden="1" x14ac:dyDescent="0.25">
      <c r="A14" s="165">
        <v>11</v>
      </c>
      <c r="B14" s="165" t="s">
        <v>240</v>
      </c>
      <c r="C14" s="171" t="s">
        <v>104</v>
      </c>
      <c r="D14" s="166"/>
      <c r="E14" s="166"/>
      <c r="F14" s="167">
        <v>0</v>
      </c>
      <c r="G14" s="162">
        <v>0</v>
      </c>
      <c r="H14" s="167">
        <v>12</v>
      </c>
      <c r="I14" s="167">
        <v>24</v>
      </c>
      <c r="J14" s="167">
        <v>35</v>
      </c>
      <c r="K14" s="162"/>
    </row>
    <row r="15" spans="1:11" hidden="1" x14ac:dyDescent="0.25">
      <c r="A15" s="165">
        <v>12</v>
      </c>
      <c r="B15" s="165" t="s">
        <v>241</v>
      </c>
      <c r="C15" s="171" t="s">
        <v>65</v>
      </c>
      <c r="D15" s="172"/>
      <c r="E15" s="172"/>
      <c r="F15" s="167">
        <v>0</v>
      </c>
      <c r="G15" s="167">
        <v>0</v>
      </c>
      <c r="H15" s="167">
        <v>16.660000000000004</v>
      </c>
      <c r="I15" s="167">
        <v>31.654000000000003</v>
      </c>
      <c r="J15" s="167">
        <v>45.148600000000002</v>
      </c>
      <c r="K15" s="169"/>
    </row>
    <row r="16" spans="1:11" hidden="1" x14ac:dyDescent="0.25">
      <c r="A16" s="165">
        <v>13</v>
      </c>
      <c r="B16" s="165" t="s">
        <v>242</v>
      </c>
      <c r="C16" s="171" t="s">
        <v>65</v>
      </c>
      <c r="D16" s="172"/>
      <c r="E16" s="172"/>
      <c r="F16" s="167">
        <v>0</v>
      </c>
      <c r="G16" s="167">
        <v>0</v>
      </c>
      <c r="H16" s="167">
        <v>16.660000000000004</v>
      </c>
      <c r="I16" s="167">
        <v>31.654000000000003</v>
      </c>
      <c r="J16" s="167">
        <v>45.148600000000002</v>
      </c>
      <c r="K16" s="169"/>
    </row>
    <row r="17" spans="1:11" hidden="1" x14ac:dyDescent="0.25">
      <c r="A17" s="165">
        <v>14</v>
      </c>
      <c r="B17" s="165" t="s">
        <v>243</v>
      </c>
      <c r="C17" s="165" t="s">
        <v>104</v>
      </c>
      <c r="D17" s="172"/>
      <c r="E17" s="172"/>
      <c r="F17" s="167">
        <v>0</v>
      </c>
      <c r="G17" s="167">
        <v>12</v>
      </c>
      <c r="H17" s="167">
        <v>24</v>
      </c>
      <c r="I17" s="167">
        <v>35</v>
      </c>
      <c r="J17" s="166">
        <v>45</v>
      </c>
      <c r="K17" s="169"/>
    </row>
    <row r="18" spans="1:11" hidden="1" x14ac:dyDescent="0.25">
      <c r="A18" s="165">
        <v>15</v>
      </c>
      <c r="B18" s="165" t="s">
        <v>244</v>
      </c>
      <c r="C18" s="165" t="s">
        <v>98</v>
      </c>
      <c r="D18" s="172"/>
      <c r="E18" s="172"/>
      <c r="F18" s="167">
        <v>0</v>
      </c>
      <c r="G18" s="167">
        <v>12</v>
      </c>
      <c r="H18" s="167">
        <v>24</v>
      </c>
      <c r="I18" s="167">
        <v>35</v>
      </c>
      <c r="J18" s="166">
        <v>45</v>
      </c>
      <c r="K18" s="173"/>
    </row>
    <row r="19" spans="1:11" hidden="1" x14ac:dyDescent="0.25">
      <c r="A19" s="165">
        <v>16</v>
      </c>
      <c r="B19" s="165" t="s">
        <v>245</v>
      </c>
      <c r="C19" s="165" t="s">
        <v>98</v>
      </c>
      <c r="D19" s="172"/>
      <c r="E19" s="172"/>
      <c r="F19" s="167"/>
      <c r="G19" s="167">
        <v>0</v>
      </c>
      <c r="H19" s="167">
        <v>0</v>
      </c>
      <c r="I19" s="167">
        <f>G18</f>
        <v>12</v>
      </c>
      <c r="J19" s="167">
        <f>H18</f>
        <v>24</v>
      </c>
      <c r="K19" s="173">
        <f>SUM(J4:J19)</f>
        <v>657.86135951999995</v>
      </c>
    </row>
    <row r="20" spans="1:11" hidden="1" x14ac:dyDescent="0.25">
      <c r="A20" s="165">
        <v>17</v>
      </c>
      <c r="B20" s="165" t="s">
        <v>246</v>
      </c>
      <c r="C20" s="165" t="s">
        <v>68</v>
      </c>
      <c r="D20" s="172"/>
      <c r="E20" s="166">
        <v>0</v>
      </c>
      <c r="F20" s="167">
        <f>11*0.4/0.5</f>
        <v>8.8000000000000007</v>
      </c>
      <c r="G20" s="167">
        <v>17</v>
      </c>
      <c r="H20" s="167">
        <v>19</v>
      </c>
      <c r="I20" s="167">
        <v>20</v>
      </c>
      <c r="J20" s="166">
        <v>20</v>
      </c>
      <c r="K20" s="173"/>
    </row>
    <row r="21" spans="1:11" hidden="1" x14ac:dyDescent="0.25">
      <c r="A21" s="165">
        <v>18</v>
      </c>
      <c r="B21" s="165" t="s">
        <v>247</v>
      </c>
      <c r="C21" s="165" t="s">
        <v>69</v>
      </c>
      <c r="D21" s="172"/>
      <c r="E21" s="166">
        <v>0</v>
      </c>
      <c r="F21" s="167">
        <v>0</v>
      </c>
      <c r="G21" s="167">
        <v>11</v>
      </c>
      <c r="H21" s="167">
        <v>17</v>
      </c>
      <c r="I21" s="167">
        <v>19</v>
      </c>
      <c r="J21" s="166">
        <v>20</v>
      </c>
      <c r="K21" s="173"/>
    </row>
    <row r="22" spans="1:11" hidden="1" x14ac:dyDescent="0.25">
      <c r="A22" s="165">
        <v>19</v>
      </c>
      <c r="B22" s="165" t="s">
        <v>248</v>
      </c>
      <c r="C22" s="165" t="s">
        <v>70</v>
      </c>
      <c r="D22" s="172"/>
      <c r="E22" s="166">
        <v>0</v>
      </c>
      <c r="F22" s="167">
        <f>11*0.4/0.5</f>
        <v>8.8000000000000007</v>
      </c>
      <c r="G22" s="167">
        <v>17</v>
      </c>
      <c r="H22" s="167">
        <v>19</v>
      </c>
      <c r="I22" s="167">
        <v>20</v>
      </c>
      <c r="J22" s="166">
        <v>20</v>
      </c>
      <c r="K22" s="173"/>
    </row>
    <row r="23" spans="1:11" hidden="1" x14ac:dyDescent="0.25">
      <c r="A23" s="165">
        <v>20</v>
      </c>
      <c r="B23" s="165" t="s">
        <v>249</v>
      </c>
      <c r="C23" s="165" t="s">
        <v>233</v>
      </c>
      <c r="D23" s="172"/>
      <c r="E23" s="172"/>
      <c r="F23" s="167"/>
      <c r="G23" s="167">
        <v>0</v>
      </c>
      <c r="H23" s="167">
        <v>11</v>
      </c>
      <c r="I23" s="167">
        <v>17</v>
      </c>
      <c r="J23" s="166">
        <v>19</v>
      </c>
      <c r="K23" s="173"/>
    </row>
    <row r="24" spans="1:11" hidden="1" x14ac:dyDescent="0.25">
      <c r="A24" s="165">
        <v>21</v>
      </c>
      <c r="B24" s="165" t="s">
        <v>249</v>
      </c>
      <c r="C24" s="165" t="s">
        <v>234</v>
      </c>
      <c r="D24" s="172"/>
      <c r="E24" s="172"/>
      <c r="F24" s="167"/>
      <c r="G24" s="167">
        <v>0</v>
      </c>
      <c r="H24" s="167">
        <v>11</v>
      </c>
      <c r="I24" s="167">
        <v>17</v>
      </c>
      <c r="J24" s="166">
        <v>19</v>
      </c>
      <c r="K24" s="173"/>
    </row>
    <row r="25" spans="1:11" hidden="1" x14ac:dyDescent="0.25">
      <c r="A25" s="165">
        <v>22</v>
      </c>
      <c r="B25" s="165" t="s">
        <v>250</v>
      </c>
      <c r="C25" s="165" t="s">
        <v>251</v>
      </c>
      <c r="D25" s="172"/>
      <c r="E25" s="172"/>
      <c r="F25" s="167"/>
      <c r="G25" s="167"/>
      <c r="H25" s="167">
        <v>11</v>
      </c>
      <c r="I25" s="167">
        <v>17</v>
      </c>
      <c r="J25" s="166">
        <v>19</v>
      </c>
      <c r="K25" s="173"/>
    </row>
    <row r="26" spans="1:11" hidden="1" x14ac:dyDescent="0.25">
      <c r="A26" s="165">
        <v>23</v>
      </c>
      <c r="B26" s="165" t="s">
        <v>252</v>
      </c>
      <c r="C26" s="165" t="s">
        <v>253</v>
      </c>
      <c r="D26" s="172"/>
      <c r="E26" s="172"/>
      <c r="F26" s="167"/>
      <c r="G26" s="167"/>
      <c r="H26" s="167">
        <v>11</v>
      </c>
      <c r="I26" s="167">
        <v>17</v>
      </c>
      <c r="J26" s="166">
        <v>19</v>
      </c>
      <c r="K26" s="173"/>
    </row>
    <row r="27" spans="1:11" hidden="1" x14ac:dyDescent="0.25">
      <c r="A27" s="165">
        <v>24</v>
      </c>
      <c r="B27" s="165" t="s">
        <v>67</v>
      </c>
      <c r="C27" s="165" t="s">
        <v>254</v>
      </c>
      <c r="D27" s="172"/>
      <c r="E27" s="172"/>
      <c r="F27" s="167"/>
      <c r="G27" s="167"/>
      <c r="H27" s="167">
        <v>11</v>
      </c>
      <c r="I27" s="167">
        <v>17</v>
      </c>
      <c r="J27" s="166">
        <v>19</v>
      </c>
      <c r="K27" s="173"/>
    </row>
    <row r="28" spans="1:11" hidden="1" x14ac:dyDescent="0.25">
      <c r="A28" s="165">
        <v>25</v>
      </c>
      <c r="B28" s="165" t="s">
        <v>67</v>
      </c>
      <c r="C28" s="165" t="s">
        <v>255</v>
      </c>
      <c r="D28" s="172"/>
      <c r="E28" s="172"/>
      <c r="F28" s="169"/>
      <c r="G28" s="167"/>
      <c r="H28" s="167"/>
      <c r="I28" s="167">
        <f>H27</f>
        <v>11</v>
      </c>
      <c r="J28" s="167">
        <f>I27</f>
        <v>17</v>
      </c>
      <c r="K28" s="173">
        <f>SUM(J20:J28)</f>
        <v>172</v>
      </c>
    </row>
    <row r="29" spans="1:11" ht="25.5" x14ac:dyDescent="0.25">
      <c r="A29" s="165">
        <v>26</v>
      </c>
      <c r="B29" s="163" t="s">
        <v>109</v>
      </c>
      <c r="C29" s="165" t="s">
        <v>96</v>
      </c>
      <c r="D29" s="172"/>
      <c r="E29" s="166">
        <v>0</v>
      </c>
      <c r="F29" s="166">
        <v>0</v>
      </c>
      <c r="G29" s="166">
        <v>15.912000000000001</v>
      </c>
      <c r="H29" s="166">
        <v>30.232799999999997</v>
      </c>
      <c r="I29" s="166">
        <v>44.553599999999996</v>
      </c>
      <c r="J29" s="166">
        <v>58.874399999999994</v>
      </c>
      <c r="K29" s="173">
        <f>J29</f>
        <v>58.874399999999994</v>
      </c>
    </row>
    <row r="30" spans="1:11" x14ac:dyDescent="0.25">
      <c r="A30" s="165">
        <v>27</v>
      </c>
      <c r="B30" s="165" t="s">
        <v>23</v>
      </c>
      <c r="C30" s="165" t="s">
        <v>96</v>
      </c>
      <c r="D30" s="172"/>
      <c r="E30" s="172"/>
      <c r="F30" s="167">
        <v>50</v>
      </c>
      <c r="G30" s="167">
        <v>0</v>
      </c>
      <c r="H30" s="167">
        <v>0</v>
      </c>
      <c r="I30" s="167">
        <v>0</v>
      </c>
      <c r="J30" s="167">
        <v>50</v>
      </c>
      <c r="K30" s="173"/>
    </row>
    <row r="31" spans="1:11" x14ac:dyDescent="0.25">
      <c r="A31" s="165">
        <v>28</v>
      </c>
      <c r="B31" s="165" t="s">
        <v>23</v>
      </c>
      <c r="C31" s="165" t="s">
        <v>110</v>
      </c>
      <c r="D31" s="172"/>
      <c r="E31" s="172"/>
      <c r="F31" s="167">
        <v>100</v>
      </c>
      <c r="G31" s="167">
        <v>100</v>
      </c>
      <c r="H31" s="167">
        <v>50</v>
      </c>
      <c r="I31" s="167">
        <v>50</v>
      </c>
      <c r="J31" s="167"/>
      <c r="K31" s="173">
        <f>J30+J31</f>
        <v>50</v>
      </c>
    </row>
    <row r="32" spans="1:11" x14ac:dyDescent="0.25">
      <c r="A32" s="165"/>
      <c r="B32" s="174" t="s">
        <v>31</v>
      </c>
      <c r="C32" s="165"/>
      <c r="D32" s="175">
        <f>SUM(D4:D31)</f>
        <v>0</v>
      </c>
      <c r="E32" s="175">
        <f t="shared" ref="E32:J32" si="0">SUM(E4:E31)</f>
        <v>31.200000000000003</v>
      </c>
      <c r="F32" s="175">
        <f t="shared" si="0"/>
        <v>263.12256000000002</v>
      </c>
      <c r="G32" s="175">
        <f t="shared" si="0"/>
        <v>366.57488000000001</v>
      </c>
      <c r="H32" s="175">
        <f t="shared" si="0"/>
        <v>535.15019200000006</v>
      </c>
      <c r="I32" s="175">
        <f t="shared" si="0"/>
        <v>763.44533279999996</v>
      </c>
      <c r="J32" s="175">
        <f t="shared" si="0"/>
        <v>938.73575951999999</v>
      </c>
      <c r="K32" s="173">
        <f>SUM(K18:K31)</f>
        <v>938.73575951999999</v>
      </c>
    </row>
    <row r="33" spans="1:11" x14ac:dyDescent="0.25">
      <c r="A33" s="162"/>
      <c r="B33" s="162"/>
      <c r="C33" s="162"/>
      <c r="D33" s="162"/>
      <c r="E33" s="162"/>
      <c r="F33" s="162"/>
      <c r="G33" s="162"/>
      <c r="H33" s="162"/>
      <c r="I33" s="162"/>
      <c r="J33" s="162"/>
      <c r="K33" s="162"/>
    </row>
    <row r="34" spans="1:11" x14ac:dyDescent="0.25">
      <c r="A34" s="162"/>
      <c r="B34" s="444" t="s">
        <v>256</v>
      </c>
      <c r="C34" s="445"/>
      <c r="D34" s="445"/>
      <c r="E34" s="445"/>
      <c r="F34" s="445"/>
      <c r="G34" s="445"/>
      <c r="H34" s="445"/>
      <c r="I34" s="445"/>
      <c r="J34" s="162"/>
      <c r="K34" s="162"/>
    </row>
    <row r="35" spans="1:11" x14ac:dyDescent="0.25">
      <c r="A35" s="162"/>
      <c r="B35" s="163" t="s">
        <v>112</v>
      </c>
      <c r="C35" s="160" t="s">
        <v>3</v>
      </c>
      <c r="D35" s="161" t="s">
        <v>4</v>
      </c>
      <c r="E35" s="161" t="s">
        <v>5</v>
      </c>
      <c r="F35" s="161" t="s">
        <v>6</v>
      </c>
      <c r="G35" s="161" t="s">
        <v>7</v>
      </c>
      <c r="H35" s="161" t="s">
        <v>8</v>
      </c>
      <c r="I35" s="161" t="s">
        <v>9</v>
      </c>
      <c r="J35" s="162"/>
      <c r="K35" s="162"/>
    </row>
    <row r="36" spans="1:11" x14ac:dyDescent="0.25">
      <c r="A36" s="162"/>
      <c r="B36" s="165" t="s">
        <v>96</v>
      </c>
      <c r="C36" s="166">
        <f t="shared" ref="C36:I42" si="1">SUMIF($C$4:$C$31,$B36,D$4:D$31)</f>
        <v>0</v>
      </c>
      <c r="D36" s="166">
        <f t="shared" si="1"/>
        <v>7.1999999999999993</v>
      </c>
      <c r="E36" s="166">
        <f t="shared" si="1"/>
        <v>68.400000000000006</v>
      </c>
      <c r="F36" s="166">
        <f t="shared" si="1"/>
        <v>49.911999999999999</v>
      </c>
      <c r="G36" s="166">
        <f t="shared" si="1"/>
        <v>75.232799999999997</v>
      </c>
      <c r="H36" s="166">
        <f t="shared" si="1"/>
        <v>106.55359999999999</v>
      </c>
      <c r="I36" s="166">
        <f t="shared" si="1"/>
        <v>174.87439999999998</v>
      </c>
      <c r="J36" s="162"/>
      <c r="K36" s="162"/>
    </row>
    <row r="37" spans="1:11" hidden="1" x14ac:dyDescent="0.25">
      <c r="A37" s="162"/>
      <c r="B37" s="165" t="s">
        <v>110</v>
      </c>
      <c r="C37" s="166">
        <f t="shared" si="1"/>
        <v>0</v>
      </c>
      <c r="D37" s="166">
        <f t="shared" si="1"/>
        <v>0</v>
      </c>
      <c r="E37" s="166">
        <f t="shared" si="1"/>
        <v>100</v>
      </c>
      <c r="F37" s="166">
        <f t="shared" si="1"/>
        <v>100</v>
      </c>
      <c r="G37" s="166">
        <f t="shared" si="1"/>
        <v>50</v>
      </c>
      <c r="H37" s="166">
        <f t="shared" si="1"/>
        <v>50</v>
      </c>
      <c r="I37" s="166">
        <f t="shared" si="1"/>
        <v>0</v>
      </c>
      <c r="J37" s="162"/>
      <c r="K37" s="162"/>
    </row>
    <row r="38" spans="1:11" hidden="1" x14ac:dyDescent="0.25">
      <c r="A38" s="162"/>
      <c r="B38" s="165" t="s">
        <v>98</v>
      </c>
      <c r="C38" s="166">
        <f t="shared" si="1"/>
        <v>0</v>
      </c>
      <c r="D38" s="166">
        <f t="shared" si="1"/>
        <v>8.4</v>
      </c>
      <c r="E38" s="166">
        <f t="shared" si="1"/>
        <v>17.600000000000001</v>
      </c>
      <c r="F38" s="166">
        <f t="shared" si="1"/>
        <v>42</v>
      </c>
      <c r="G38" s="166">
        <f t="shared" si="1"/>
        <v>61</v>
      </c>
      <c r="H38" s="166">
        <f t="shared" si="1"/>
        <v>102</v>
      </c>
      <c r="I38" s="166">
        <f t="shared" si="1"/>
        <v>140</v>
      </c>
      <c r="J38" s="162"/>
      <c r="K38" s="162"/>
    </row>
    <row r="39" spans="1:11" hidden="1" x14ac:dyDescent="0.25">
      <c r="A39" s="162"/>
      <c r="B39" s="165" t="s">
        <v>104</v>
      </c>
      <c r="C39" s="166">
        <f t="shared" si="1"/>
        <v>0</v>
      </c>
      <c r="D39" s="166">
        <f t="shared" si="1"/>
        <v>0</v>
      </c>
      <c r="E39" s="166">
        <f t="shared" si="1"/>
        <v>0</v>
      </c>
      <c r="F39" s="166">
        <f t="shared" si="1"/>
        <v>24</v>
      </c>
      <c r="G39" s="166">
        <f t="shared" si="1"/>
        <v>60</v>
      </c>
      <c r="H39" s="166">
        <f t="shared" si="1"/>
        <v>94</v>
      </c>
      <c r="I39" s="166">
        <f t="shared" si="1"/>
        <v>125</v>
      </c>
      <c r="J39" s="162"/>
      <c r="K39" s="162"/>
    </row>
    <row r="40" spans="1:11" hidden="1" x14ac:dyDescent="0.25">
      <c r="A40" s="162"/>
      <c r="B40" s="165" t="s">
        <v>239</v>
      </c>
      <c r="C40" s="166">
        <f t="shared" si="1"/>
        <v>0</v>
      </c>
      <c r="D40" s="166">
        <f t="shared" si="1"/>
        <v>0</v>
      </c>
      <c r="E40" s="166">
        <f t="shared" si="1"/>
        <v>17.12256</v>
      </c>
      <c r="F40" s="166">
        <f t="shared" si="1"/>
        <v>27.662879999999994</v>
      </c>
      <c r="G40" s="166">
        <f t="shared" si="1"/>
        <v>37.597391999999999</v>
      </c>
      <c r="H40" s="166">
        <f t="shared" si="1"/>
        <v>42.583732799999993</v>
      </c>
      <c r="I40" s="166">
        <f t="shared" si="1"/>
        <v>50.564159519999997</v>
      </c>
      <c r="J40" s="162"/>
      <c r="K40" s="162"/>
    </row>
    <row r="41" spans="1:11" hidden="1" x14ac:dyDescent="0.25">
      <c r="A41" s="162"/>
      <c r="B41" s="165" t="s">
        <v>65</v>
      </c>
      <c r="C41" s="166">
        <f t="shared" si="1"/>
        <v>0</v>
      </c>
      <c r="D41" s="166">
        <f t="shared" si="1"/>
        <v>8.4</v>
      </c>
      <c r="E41" s="166">
        <f t="shared" si="1"/>
        <v>24</v>
      </c>
      <c r="F41" s="166">
        <f t="shared" si="1"/>
        <v>45</v>
      </c>
      <c r="G41" s="166">
        <f t="shared" si="1"/>
        <v>98.32</v>
      </c>
      <c r="H41" s="166">
        <f t="shared" si="1"/>
        <v>162.30799999999999</v>
      </c>
      <c r="I41" s="166">
        <f t="shared" si="1"/>
        <v>227.29719999999998</v>
      </c>
      <c r="J41" s="162"/>
      <c r="K41" s="162"/>
    </row>
    <row r="42" spans="1:11" hidden="1" x14ac:dyDescent="0.25">
      <c r="A42" s="162"/>
      <c r="B42" s="165" t="s">
        <v>66</v>
      </c>
      <c r="C42" s="166">
        <f t="shared" si="1"/>
        <v>0</v>
      </c>
      <c r="D42" s="166">
        <f t="shared" si="1"/>
        <v>7.1999999999999993</v>
      </c>
      <c r="E42" s="166">
        <f t="shared" si="1"/>
        <v>18.400000000000002</v>
      </c>
      <c r="F42" s="166">
        <f t="shared" si="1"/>
        <v>33</v>
      </c>
      <c r="G42" s="166">
        <f t="shared" si="1"/>
        <v>43</v>
      </c>
      <c r="H42" s="166">
        <f t="shared" si="1"/>
        <v>51</v>
      </c>
      <c r="I42" s="166">
        <f t="shared" si="1"/>
        <v>49</v>
      </c>
      <c r="J42" s="162"/>
      <c r="K42" s="162"/>
    </row>
    <row r="43" spans="1:11" x14ac:dyDescent="0.25">
      <c r="A43" s="162"/>
      <c r="B43" s="165" t="s">
        <v>11</v>
      </c>
      <c r="C43" s="166">
        <f>SUM(D20:D28)</f>
        <v>0</v>
      </c>
      <c r="D43" s="166">
        <f t="shared" ref="D43:I43" si="2">SUM(E20:E28)</f>
        <v>0</v>
      </c>
      <c r="E43" s="166">
        <f t="shared" si="2"/>
        <v>17.600000000000001</v>
      </c>
      <c r="F43" s="166">
        <f t="shared" si="2"/>
        <v>45</v>
      </c>
      <c r="G43" s="166">
        <f t="shared" si="2"/>
        <v>110</v>
      </c>
      <c r="H43" s="166">
        <f t="shared" si="2"/>
        <v>155</v>
      </c>
      <c r="I43" s="166">
        <f t="shared" si="2"/>
        <v>172</v>
      </c>
      <c r="J43" s="162"/>
      <c r="K43" s="162"/>
    </row>
    <row r="44" spans="1:11" x14ac:dyDescent="0.25">
      <c r="A44" s="162"/>
      <c r="B44" s="163" t="s">
        <v>31</v>
      </c>
      <c r="C44" s="175">
        <f t="shared" ref="C44:I44" si="3">SUM(C36:C43)</f>
        <v>0</v>
      </c>
      <c r="D44" s="175">
        <f t="shared" si="3"/>
        <v>31.2</v>
      </c>
      <c r="E44" s="175">
        <f t="shared" si="3"/>
        <v>263.12256000000002</v>
      </c>
      <c r="F44" s="175">
        <f t="shared" si="3"/>
        <v>366.57488000000001</v>
      </c>
      <c r="G44" s="175">
        <f t="shared" si="3"/>
        <v>535.15019200000006</v>
      </c>
      <c r="H44" s="175">
        <f t="shared" si="3"/>
        <v>763.44533279999996</v>
      </c>
      <c r="I44" s="175">
        <f t="shared" si="3"/>
        <v>938.73575951999987</v>
      </c>
      <c r="J44" s="162"/>
      <c r="K44" s="162"/>
    </row>
    <row r="45" spans="1:11" x14ac:dyDescent="0.25">
      <c r="A45" s="162"/>
      <c r="B45" s="162"/>
      <c r="C45" s="162"/>
      <c r="D45" s="162"/>
      <c r="E45" s="162"/>
      <c r="F45" s="170"/>
      <c r="G45" s="170"/>
      <c r="H45" s="170"/>
      <c r="I45" s="170"/>
      <c r="J45" s="170"/>
      <c r="K45" s="162"/>
    </row>
    <row r="46" spans="1:11" x14ac:dyDescent="0.25">
      <c r="A46" s="162"/>
      <c r="B46" s="162"/>
      <c r="C46" s="162"/>
      <c r="D46" s="162"/>
      <c r="E46" s="162"/>
      <c r="F46" s="162"/>
      <c r="G46" s="162"/>
      <c r="H46" s="162"/>
      <c r="I46" s="162"/>
      <c r="J46" s="162"/>
      <c r="K46" s="162"/>
    </row>
    <row r="47" spans="1:11" x14ac:dyDescent="0.25">
      <c r="A47" s="162"/>
      <c r="B47" s="444" t="s">
        <v>257</v>
      </c>
      <c r="C47" s="445"/>
      <c r="D47" s="445"/>
      <c r="E47" s="445"/>
      <c r="F47" s="445"/>
      <c r="G47" s="445"/>
      <c r="H47" s="445"/>
      <c r="I47" s="445"/>
      <c r="J47" s="162"/>
      <c r="K47" s="162"/>
    </row>
    <row r="48" spans="1:11" x14ac:dyDescent="0.25">
      <c r="A48" s="162"/>
      <c r="B48" s="163" t="s">
        <v>112</v>
      </c>
      <c r="C48" s="160" t="s">
        <v>3</v>
      </c>
      <c r="D48" s="161" t="s">
        <v>4</v>
      </c>
      <c r="E48" s="161" t="s">
        <v>5</v>
      </c>
      <c r="F48" s="161" t="s">
        <v>6</v>
      </c>
      <c r="G48" s="161" t="s">
        <v>7</v>
      </c>
      <c r="H48" s="161" t="s">
        <v>8</v>
      </c>
      <c r="I48" s="161" t="s">
        <v>9</v>
      </c>
      <c r="J48" s="162" t="s">
        <v>114</v>
      </c>
      <c r="K48" s="162"/>
    </row>
    <row r="49" spans="1:11" x14ac:dyDescent="0.25">
      <c r="A49" s="162"/>
      <c r="B49" s="165" t="s">
        <v>96</v>
      </c>
      <c r="C49" s="166">
        <f>C36</f>
        <v>0</v>
      </c>
      <c r="D49" s="166">
        <f>SUM($C36:D36)</f>
        <v>7.1999999999999993</v>
      </c>
      <c r="E49" s="166">
        <f>SUM($C36:E36)</f>
        <v>75.600000000000009</v>
      </c>
      <c r="F49" s="166">
        <f>SUM($C36:F36)</f>
        <v>125.512</v>
      </c>
      <c r="G49" s="166">
        <f>SUM($D36:G36)</f>
        <v>200.7448</v>
      </c>
      <c r="H49" s="166">
        <f t="shared" ref="H49:I56" si="4">SUM(E36:H36)</f>
        <v>300.09839999999997</v>
      </c>
      <c r="I49" s="166">
        <f t="shared" si="4"/>
        <v>406.57279999999997</v>
      </c>
      <c r="J49" s="162">
        <v>35000</v>
      </c>
      <c r="K49" s="162"/>
    </row>
    <row r="50" spans="1:11" x14ac:dyDescent="0.25">
      <c r="A50" s="162"/>
      <c r="B50" s="165" t="s">
        <v>110</v>
      </c>
      <c r="C50" s="166">
        <f>C37</f>
        <v>0</v>
      </c>
      <c r="D50" s="166">
        <f>SUM($C37:D37)</f>
        <v>0</v>
      </c>
      <c r="E50" s="166">
        <f>SUM($C37:E37)</f>
        <v>100</v>
      </c>
      <c r="F50" s="166">
        <f>SUM($C37:F37)</f>
        <v>200</v>
      </c>
      <c r="G50" s="166">
        <f>SUM($D37:G37)</f>
        <v>250</v>
      </c>
      <c r="H50" s="166">
        <f t="shared" si="4"/>
        <v>300</v>
      </c>
      <c r="I50" s="166">
        <f t="shared" si="4"/>
        <v>200</v>
      </c>
      <c r="J50" s="162">
        <v>35000</v>
      </c>
      <c r="K50" s="162"/>
    </row>
    <row r="51" spans="1:11" x14ac:dyDescent="0.25">
      <c r="A51" s="162"/>
      <c r="B51" s="165" t="s">
        <v>98</v>
      </c>
      <c r="C51" s="166">
        <f t="shared" ref="C51:C56" si="5">C38</f>
        <v>0</v>
      </c>
      <c r="D51" s="166">
        <f>SUM($C38:D38)</f>
        <v>8.4</v>
      </c>
      <c r="E51" s="166">
        <f>SUM($C38:E38)</f>
        <v>26</v>
      </c>
      <c r="F51" s="166">
        <f>SUM($C38:F38)</f>
        <v>68</v>
      </c>
      <c r="G51" s="166">
        <f>SUM($D38:G38)</f>
        <v>129</v>
      </c>
      <c r="H51" s="166">
        <f t="shared" si="4"/>
        <v>222.6</v>
      </c>
      <c r="I51" s="166">
        <f t="shared" si="4"/>
        <v>345</v>
      </c>
      <c r="J51" s="162">
        <v>30000</v>
      </c>
      <c r="K51" s="162"/>
    </row>
    <row r="52" spans="1:11" x14ac:dyDescent="0.25">
      <c r="A52" s="162"/>
      <c r="B52" s="165" t="s">
        <v>104</v>
      </c>
      <c r="C52" s="166">
        <f t="shared" si="5"/>
        <v>0</v>
      </c>
      <c r="D52" s="166">
        <f>SUM($C39:D39)</f>
        <v>0</v>
      </c>
      <c r="E52" s="166">
        <f>SUM($C39:E39)</f>
        <v>0</v>
      </c>
      <c r="F52" s="166">
        <f>SUM($C39:F39)</f>
        <v>24</v>
      </c>
      <c r="G52" s="166">
        <f>SUM($D39:G39)</f>
        <v>84</v>
      </c>
      <c r="H52" s="166">
        <f t="shared" si="4"/>
        <v>178</v>
      </c>
      <c r="I52" s="166">
        <f t="shared" si="4"/>
        <v>303</v>
      </c>
      <c r="J52" s="162">
        <v>30000</v>
      </c>
      <c r="K52" s="162"/>
    </row>
    <row r="53" spans="1:11" x14ac:dyDescent="0.25">
      <c r="A53" s="162"/>
      <c r="B53" s="165" t="s">
        <v>239</v>
      </c>
      <c r="C53" s="166">
        <f t="shared" si="5"/>
        <v>0</v>
      </c>
      <c r="D53" s="166">
        <f>SUM($C40:D40)</f>
        <v>0</v>
      </c>
      <c r="E53" s="166">
        <f>SUM($C40:E40)</f>
        <v>17.12256</v>
      </c>
      <c r="F53" s="166">
        <f>SUM($C40:F40)</f>
        <v>44.785439999999994</v>
      </c>
      <c r="G53" s="166">
        <f>SUM($D40:G40)</f>
        <v>82.382831999999993</v>
      </c>
      <c r="H53" s="166">
        <f t="shared" si="4"/>
        <v>124.96656479999999</v>
      </c>
      <c r="I53" s="166">
        <f t="shared" si="4"/>
        <v>158.40816431999997</v>
      </c>
      <c r="J53" s="162">
        <v>30000</v>
      </c>
      <c r="K53" s="162"/>
    </row>
    <row r="54" spans="1:11" x14ac:dyDescent="0.25">
      <c r="A54" s="162"/>
      <c r="B54" s="165" t="s">
        <v>65</v>
      </c>
      <c r="C54" s="166">
        <f t="shared" si="5"/>
        <v>0</v>
      </c>
      <c r="D54" s="166">
        <f>SUM($C41:D41)</f>
        <v>8.4</v>
      </c>
      <c r="E54" s="166">
        <f>SUM($C41:E41)</f>
        <v>32.4</v>
      </c>
      <c r="F54" s="166">
        <f>SUM($C41:F41)</f>
        <v>77.400000000000006</v>
      </c>
      <c r="G54" s="166">
        <f>SUM($D41:G41)</f>
        <v>175.72</v>
      </c>
      <c r="H54" s="166">
        <f t="shared" si="4"/>
        <v>329.62799999999999</v>
      </c>
      <c r="I54" s="166">
        <f t="shared" si="4"/>
        <v>532.9251999999999</v>
      </c>
      <c r="J54" s="162">
        <v>25000</v>
      </c>
      <c r="K54" s="162"/>
    </row>
    <row r="55" spans="1:11" x14ac:dyDescent="0.25">
      <c r="A55" s="162"/>
      <c r="B55" s="165" t="s">
        <v>66</v>
      </c>
      <c r="C55" s="166">
        <f t="shared" si="5"/>
        <v>0</v>
      </c>
      <c r="D55" s="166">
        <f>SUM($C42:D42)</f>
        <v>7.1999999999999993</v>
      </c>
      <c r="E55" s="166">
        <f>SUM($C42:E42)</f>
        <v>25.6</v>
      </c>
      <c r="F55" s="166">
        <f>SUM($C42:F42)</f>
        <v>58.6</v>
      </c>
      <c r="G55" s="166">
        <f>SUM($D42:G42)</f>
        <v>101.6</v>
      </c>
      <c r="H55" s="166">
        <f t="shared" si="4"/>
        <v>145.4</v>
      </c>
      <c r="I55" s="166">
        <f t="shared" si="4"/>
        <v>176</v>
      </c>
      <c r="J55" s="162">
        <v>25000</v>
      </c>
      <c r="K55" s="162"/>
    </row>
    <row r="56" spans="1:11" x14ac:dyDescent="0.25">
      <c r="A56" s="162"/>
      <c r="B56" s="165" t="s">
        <v>11</v>
      </c>
      <c r="C56" s="166">
        <f t="shared" si="5"/>
        <v>0</v>
      </c>
      <c r="D56" s="166">
        <f>SUM($C43:D43)</f>
        <v>0</v>
      </c>
      <c r="E56" s="166">
        <f>SUM($C43:E43)</f>
        <v>17.600000000000001</v>
      </c>
      <c r="F56" s="166">
        <f>SUM($C43:F43)</f>
        <v>62.6</v>
      </c>
      <c r="G56" s="166">
        <f>SUM($D43:G43)</f>
        <v>172.6</v>
      </c>
      <c r="H56" s="166">
        <f t="shared" si="4"/>
        <v>327.60000000000002</v>
      </c>
      <c r="I56" s="166">
        <f t="shared" si="4"/>
        <v>482</v>
      </c>
      <c r="J56" s="162">
        <v>20000</v>
      </c>
      <c r="K56" s="162"/>
    </row>
    <row r="57" spans="1:11" x14ac:dyDescent="0.25">
      <c r="A57" s="162"/>
      <c r="B57" s="163" t="s">
        <v>31</v>
      </c>
      <c r="C57" s="175">
        <f t="shared" ref="C57:I57" si="6">SUM(C49:C56)</f>
        <v>0</v>
      </c>
      <c r="D57" s="175">
        <f t="shared" si="6"/>
        <v>31.2</v>
      </c>
      <c r="E57" s="175">
        <f t="shared" si="6"/>
        <v>294.32256000000007</v>
      </c>
      <c r="F57" s="175">
        <f t="shared" si="6"/>
        <v>660.89744000000007</v>
      </c>
      <c r="G57" s="175">
        <f t="shared" si="6"/>
        <v>1196.047632</v>
      </c>
      <c r="H57" s="175">
        <f t="shared" si="6"/>
        <v>1928.2929647999999</v>
      </c>
      <c r="I57" s="175">
        <f t="shared" si="6"/>
        <v>2603.9061643199998</v>
      </c>
      <c r="J57" s="162"/>
      <c r="K57" s="162"/>
    </row>
    <row r="58" spans="1:11" ht="5.25" customHeight="1" x14ac:dyDescent="0.25">
      <c r="A58" s="162"/>
      <c r="B58" s="162"/>
      <c r="C58" s="162"/>
      <c r="D58" s="162"/>
      <c r="E58" s="162"/>
      <c r="F58" s="162"/>
      <c r="G58" s="162"/>
      <c r="H58" s="162"/>
      <c r="I58" s="162"/>
      <c r="J58" s="162"/>
      <c r="K58" s="162"/>
    </row>
    <row r="59" spans="1:11" ht="3.75" customHeight="1" x14ac:dyDescent="0.25">
      <c r="A59" s="162"/>
      <c r="B59" s="162"/>
      <c r="C59" s="162"/>
      <c r="D59" s="162"/>
      <c r="E59" s="162"/>
      <c r="F59" s="162"/>
      <c r="G59" s="162"/>
      <c r="H59" s="162"/>
      <c r="I59" s="162"/>
      <c r="J59" s="162"/>
      <c r="K59" s="162"/>
    </row>
    <row r="60" spans="1:11" x14ac:dyDescent="0.25">
      <c r="A60" s="162"/>
      <c r="B60" s="443" t="s">
        <v>258</v>
      </c>
      <c r="C60" s="443"/>
      <c r="D60" s="443"/>
      <c r="E60" s="443"/>
      <c r="F60" s="443"/>
      <c r="G60" s="443"/>
      <c r="H60" s="443"/>
      <c r="I60" s="443"/>
      <c r="J60" s="162"/>
      <c r="K60" s="162"/>
    </row>
    <row r="61" spans="1:11" x14ac:dyDescent="0.25">
      <c r="A61" s="162"/>
      <c r="B61" s="163" t="s">
        <v>112</v>
      </c>
      <c r="C61" s="160" t="s">
        <v>3</v>
      </c>
      <c r="D61" s="161" t="s">
        <v>4</v>
      </c>
      <c r="E61" s="161" t="s">
        <v>5</v>
      </c>
      <c r="F61" s="161" t="s">
        <v>6</v>
      </c>
      <c r="G61" s="161" t="s">
        <v>7</v>
      </c>
      <c r="H61" s="161" t="s">
        <v>8</v>
      </c>
      <c r="I61" s="161" t="s">
        <v>9</v>
      </c>
      <c r="J61" s="162"/>
      <c r="K61" s="162"/>
    </row>
    <row r="62" spans="1:11" x14ac:dyDescent="0.25">
      <c r="A62" s="162"/>
      <c r="B62" s="165" t="s">
        <v>96</v>
      </c>
      <c r="C62" s="166">
        <f t="shared" ref="C62:I63" si="7">C49*$J$49/100000</f>
        <v>0</v>
      </c>
      <c r="D62" s="166">
        <f t="shared" si="7"/>
        <v>2.5199999999999996</v>
      </c>
      <c r="E62" s="166">
        <f t="shared" si="7"/>
        <v>26.460000000000004</v>
      </c>
      <c r="F62" s="166">
        <f t="shared" si="7"/>
        <v>43.929200000000002</v>
      </c>
      <c r="G62" s="166">
        <f t="shared" si="7"/>
        <v>70.260679999999994</v>
      </c>
      <c r="H62" s="166">
        <f t="shared" si="7"/>
        <v>105.03443999999998</v>
      </c>
      <c r="I62" s="166">
        <f t="shared" si="7"/>
        <v>142.30047999999999</v>
      </c>
      <c r="J62" s="162"/>
      <c r="K62" s="162"/>
    </row>
    <row r="63" spans="1:11" x14ac:dyDescent="0.25">
      <c r="A63" s="162"/>
      <c r="B63" s="165" t="s">
        <v>110</v>
      </c>
      <c r="C63" s="166">
        <f t="shared" si="7"/>
        <v>0</v>
      </c>
      <c r="D63" s="166">
        <f t="shared" si="7"/>
        <v>0</v>
      </c>
      <c r="E63" s="166">
        <f t="shared" si="7"/>
        <v>35</v>
      </c>
      <c r="F63" s="166">
        <f t="shared" si="7"/>
        <v>70</v>
      </c>
      <c r="G63" s="166">
        <f t="shared" si="7"/>
        <v>87.5</v>
      </c>
      <c r="H63" s="166">
        <f t="shared" si="7"/>
        <v>105</v>
      </c>
      <c r="I63" s="166">
        <f t="shared" si="7"/>
        <v>70</v>
      </c>
      <c r="J63" s="162"/>
      <c r="K63" s="162"/>
    </row>
    <row r="64" spans="1:11" x14ac:dyDescent="0.25">
      <c r="A64" s="162"/>
      <c r="B64" s="165" t="s">
        <v>98</v>
      </c>
      <c r="C64" s="166">
        <f t="shared" ref="C64:I66" si="8">C51*$J$51/100000</f>
        <v>0</v>
      </c>
      <c r="D64" s="166">
        <f t="shared" si="8"/>
        <v>2.52</v>
      </c>
      <c r="E64" s="166">
        <f t="shared" si="8"/>
        <v>7.8</v>
      </c>
      <c r="F64" s="166">
        <f t="shared" si="8"/>
        <v>20.399999999999999</v>
      </c>
      <c r="G64" s="166">
        <f t="shared" si="8"/>
        <v>38.700000000000003</v>
      </c>
      <c r="H64" s="166">
        <f t="shared" si="8"/>
        <v>66.78</v>
      </c>
      <c r="I64" s="166">
        <f t="shared" si="8"/>
        <v>103.5</v>
      </c>
      <c r="J64" s="162"/>
      <c r="K64" s="162"/>
    </row>
    <row r="65" spans="1:11" x14ac:dyDescent="0.25">
      <c r="A65" s="162"/>
      <c r="B65" s="165" t="s">
        <v>104</v>
      </c>
      <c r="C65" s="166">
        <f t="shared" si="8"/>
        <v>0</v>
      </c>
      <c r="D65" s="166">
        <f t="shared" si="8"/>
        <v>0</v>
      </c>
      <c r="E65" s="166">
        <f t="shared" si="8"/>
        <v>0</v>
      </c>
      <c r="F65" s="166">
        <f t="shared" si="8"/>
        <v>7.2</v>
      </c>
      <c r="G65" s="166">
        <f t="shared" si="8"/>
        <v>25.2</v>
      </c>
      <c r="H65" s="166">
        <f t="shared" si="8"/>
        <v>53.4</v>
      </c>
      <c r="I65" s="166">
        <f t="shared" si="8"/>
        <v>90.9</v>
      </c>
      <c r="J65" s="162"/>
      <c r="K65" s="162"/>
    </row>
    <row r="66" spans="1:11" x14ac:dyDescent="0.25">
      <c r="A66" s="162"/>
      <c r="B66" s="165" t="s">
        <v>239</v>
      </c>
      <c r="C66" s="166">
        <f t="shared" si="8"/>
        <v>0</v>
      </c>
      <c r="D66" s="166">
        <f t="shared" si="8"/>
        <v>0</v>
      </c>
      <c r="E66" s="166">
        <f t="shared" si="8"/>
        <v>5.136768</v>
      </c>
      <c r="F66" s="166">
        <f t="shared" si="8"/>
        <v>13.435631999999996</v>
      </c>
      <c r="G66" s="166">
        <f t="shared" si="8"/>
        <v>24.714849600000001</v>
      </c>
      <c r="H66" s="166">
        <f t="shared" si="8"/>
        <v>37.489969439999996</v>
      </c>
      <c r="I66" s="166">
        <f t="shared" si="8"/>
        <v>47.522449295999998</v>
      </c>
      <c r="J66" s="162"/>
      <c r="K66" s="162"/>
    </row>
    <row r="67" spans="1:11" x14ac:dyDescent="0.25">
      <c r="A67" s="162"/>
      <c r="B67" s="165" t="s">
        <v>65</v>
      </c>
      <c r="C67" s="166">
        <f t="shared" ref="C67:I68" si="9">C54*$J$54/100000</f>
        <v>0</v>
      </c>
      <c r="D67" s="166">
        <f t="shared" si="9"/>
        <v>2.1</v>
      </c>
      <c r="E67" s="166">
        <f t="shared" si="9"/>
        <v>8.1</v>
      </c>
      <c r="F67" s="166">
        <f t="shared" si="9"/>
        <v>19.350000000000001</v>
      </c>
      <c r="G67" s="166">
        <f t="shared" si="9"/>
        <v>43.93</v>
      </c>
      <c r="H67" s="166">
        <f t="shared" si="9"/>
        <v>82.406999999999996</v>
      </c>
      <c r="I67" s="166">
        <f t="shared" si="9"/>
        <v>133.23129999999998</v>
      </c>
      <c r="J67" s="162"/>
      <c r="K67" s="162"/>
    </row>
    <row r="68" spans="1:11" x14ac:dyDescent="0.25">
      <c r="A68" s="162"/>
      <c r="B68" s="165" t="s">
        <v>66</v>
      </c>
      <c r="C68" s="166">
        <f t="shared" si="9"/>
        <v>0</v>
      </c>
      <c r="D68" s="166">
        <f t="shared" si="9"/>
        <v>1.7999999999999996</v>
      </c>
      <c r="E68" s="166">
        <f t="shared" si="9"/>
        <v>6.4</v>
      </c>
      <c r="F68" s="166">
        <f t="shared" si="9"/>
        <v>14.65</v>
      </c>
      <c r="G68" s="166">
        <f t="shared" si="9"/>
        <v>25.4</v>
      </c>
      <c r="H68" s="166">
        <f t="shared" si="9"/>
        <v>36.35</v>
      </c>
      <c r="I68" s="166">
        <f t="shared" si="9"/>
        <v>44</v>
      </c>
      <c r="J68" s="162"/>
      <c r="K68" s="162"/>
    </row>
    <row r="69" spans="1:11" x14ac:dyDescent="0.25">
      <c r="A69" s="162"/>
      <c r="B69" s="165" t="s">
        <v>11</v>
      </c>
      <c r="C69" s="166">
        <f t="shared" ref="C69:I69" si="10">C56*$J$56/100000</f>
        <v>0</v>
      </c>
      <c r="D69" s="166">
        <f t="shared" si="10"/>
        <v>0</v>
      </c>
      <c r="E69" s="166">
        <f t="shared" si="10"/>
        <v>3.52</v>
      </c>
      <c r="F69" s="166">
        <f t="shared" si="10"/>
        <v>12.52</v>
      </c>
      <c r="G69" s="166">
        <f t="shared" si="10"/>
        <v>34.520000000000003</v>
      </c>
      <c r="H69" s="166">
        <f t="shared" si="10"/>
        <v>65.52</v>
      </c>
      <c r="I69" s="166">
        <f t="shared" si="10"/>
        <v>96.4</v>
      </c>
      <c r="J69" s="162"/>
      <c r="K69" s="162"/>
    </row>
    <row r="70" spans="1:11" x14ac:dyDescent="0.25">
      <c r="A70" s="162"/>
      <c r="B70" s="163" t="s">
        <v>31</v>
      </c>
      <c r="C70" s="175">
        <f t="shared" ref="C70:I70" si="11">SUM(C62:C69)</f>
        <v>0</v>
      </c>
      <c r="D70" s="175">
        <f t="shared" si="11"/>
        <v>8.9399999999999977</v>
      </c>
      <c r="E70" s="175">
        <f t="shared" si="11"/>
        <v>92.416768000000005</v>
      </c>
      <c r="F70" s="175">
        <f t="shared" si="11"/>
        <v>201.48483200000001</v>
      </c>
      <c r="G70" s="175">
        <f t="shared" si="11"/>
        <v>350.2255295999999</v>
      </c>
      <c r="H70" s="175">
        <f t="shared" si="11"/>
        <v>551.98140943999999</v>
      </c>
      <c r="I70" s="175">
        <f t="shared" si="11"/>
        <v>727.85422929599997</v>
      </c>
      <c r="J70" s="162"/>
      <c r="K70" s="162"/>
    </row>
  </sheetData>
  <mergeCells count="4">
    <mergeCell ref="A1:J1"/>
    <mergeCell ref="B34:I34"/>
    <mergeCell ref="B47:I47"/>
    <mergeCell ref="B60:I6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47"/>
  <sheetViews>
    <sheetView workbookViewId="0">
      <pane xSplit="4" ySplit="2" topLeftCell="E3" activePane="bottomRight" state="frozen"/>
      <selection pane="topRight" activeCell="E1" sqref="E1"/>
      <selection pane="bottomLeft" activeCell="A3" sqref="A3"/>
      <selection pane="bottomRight" activeCell="L30" sqref="L30"/>
    </sheetView>
  </sheetViews>
  <sheetFormatPr defaultRowHeight="15" x14ac:dyDescent="0.25"/>
  <cols>
    <col min="1" max="1" width="8.140625" customWidth="1"/>
    <col min="2" max="2" width="5.7109375" customWidth="1"/>
    <col min="3" max="3" width="13.42578125" customWidth="1"/>
    <col min="4" max="4" width="14.7109375" customWidth="1"/>
  </cols>
  <sheetData>
    <row r="1" spans="1:12" x14ac:dyDescent="0.25">
      <c r="A1" s="446" t="s">
        <v>300</v>
      </c>
      <c r="B1" s="447"/>
      <c r="C1" s="447"/>
      <c r="D1" s="447"/>
      <c r="E1" s="447"/>
      <c r="F1" s="447"/>
      <c r="G1" s="447"/>
      <c r="H1" s="447"/>
      <c r="I1" s="447"/>
      <c r="J1" s="447"/>
      <c r="K1" s="447"/>
      <c r="L1" s="447"/>
    </row>
    <row r="2" spans="1:12" x14ac:dyDescent="0.25">
      <c r="A2" s="180" t="s">
        <v>265</v>
      </c>
      <c r="B2" s="180" t="s">
        <v>266</v>
      </c>
      <c r="C2" s="180"/>
      <c r="D2" s="180" t="s">
        <v>267</v>
      </c>
      <c r="E2" s="180" t="s">
        <v>2</v>
      </c>
      <c r="F2" s="180" t="s">
        <v>3</v>
      </c>
      <c r="G2" s="180" t="s">
        <v>4</v>
      </c>
      <c r="H2" s="180" t="s">
        <v>5</v>
      </c>
      <c r="I2" s="180" t="s">
        <v>6</v>
      </c>
      <c r="J2" s="180" t="s">
        <v>7</v>
      </c>
      <c r="K2" s="180" t="s">
        <v>8</v>
      </c>
      <c r="L2" s="180" t="s">
        <v>9</v>
      </c>
    </row>
    <row r="3" spans="1:12" x14ac:dyDescent="0.25">
      <c r="A3" s="180" t="s">
        <v>30</v>
      </c>
      <c r="B3" s="180">
        <v>1</v>
      </c>
      <c r="C3" s="180"/>
      <c r="D3" s="180" t="s">
        <v>268</v>
      </c>
      <c r="E3" s="181">
        <v>33.82</v>
      </c>
      <c r="F3" s="181">
        <v>38</v>
      </c>
      <c r="G3" s="181">
        <v>50</v>
      </c>
      <c r="H3" s="181">
        <v>60</v>
      </c>
      <c r="I3" s="181">
        <v>70</v>
      </c>
      <c r="J3" s="181">
        <v>81</v>
      </c>
      <c r="K3" s="181">
        <v>90.5</v>
      </c>
      <c r="L3" s="181">
        <v>100</v>
      </c>
    </row>
    <row r="4" spans="1:12" hidden="1" x14ac:dyDescent="0.25">
      <c r="A4" s="180"/>
      <c r="B4" s="180">
        <v>2</v>
      </c>
      <c r="C4" s="180"/>
      <c r="D4" s="180" t="s">
        <v>269</v>
      </c>
      <c r="E4" s="181">
        <v>73.72</v>
      </c>
      <c r="F4" s="181">
        <v>80</v>
      </c>
      <c r="G4" s="181">
        <v>85</v>
      </c>
      <c r="H4" s="181">
        <v>92</v>
      </c>
      <c r="I4" s="181">
        <v>100</v>
      </c>
      <c r="J4" s="181">
        <v>107</v>
      </c>
      <c r="K4" s="181">
        <v>113</v>
      </c>
      <c r="L4" s="181">
        <v>120</v>
      </c>
    </row>
    <row r="5" spans="1:12" hidden="1" x14ac:dyDescent="0.25">
      <c r="A5" s="180"/>
      <c r="B5" s="180">
        <v>3</v>
      </c>
      <c r="C5" s="180"/>
      <c r="D5" s="180" t="s">
        <v>270</v>
      </c>
      <c r="E5" s="181">
        <v>0.7</v>
      </c>
      <c r="F5" s="181">
        <v>1.2066666666666701</v>
      </c>
      <c r="G5" s="181">
        <v>7.9649999999999999</v>
      </c>
      <c r="H5" s="181">
        <v>12.87</v>
      </c>
      <c r="I5" s="181">
        <v>16.635000000000002</v>
      </c>
      <c r="J5" s="181">
        <v>19.8</v>
      </c>
      <c r="K5" s="181">
        <v>19.899999999999999</v>
      </c>
      <c r="L5" s="181">
        <v>20</v>
      </c>
    </row>
    <row r="6" spans="1:12" hidden="1" x14ac:dyDescent="0.25">
      <c r="A6" s="180" t="s">
        <v>273</v>
      </c>
      <c r="B6" s="180">
        <v>4</v>
      </c>
      <c r="C6" s="180"/>
      <c r="D6" s="180" t="s">
        <v>274</v>
      </c>
      <c r="E6" s="181">
        <v>24.009999999999998</v>
      </c>
      <c r="F6" s="181">
        <v>26</v>
      </c>
      <c r="G6" s="181">
        <v>28</v>
      </c>
      <c r="H6" s="181">
        <v>30</v>
      </c>
      <c r="I6" s="181">
        <v>32</v>
      </c>
      <c r="J6" s="181">
        <v>35</v>
      </c>
      <c r="K6" s="181">
        <v>38</v>
      </c>
      <c r="L6" s="181">
        <v>40</v>
      </c>
    </row>
    <row r="7" spans="1:12" hidden="1" x14ac:dyDescent="0.25">
      <c r="A7" s="180"/>
      <c r="B7" s="180">
        <v>5</v>
      </c>
      <c r="C7" s="180"/>
      <c r="D7" s="180" t="s">
        <v>275</v>
      </c>
      <c r="E7" s="181">
        <v>5.96</v>
      </c>
      <c r="F7" s="181">
        <v>6</v>
      </c>
      <c r="G7" s="181">
        <v>6.5</v>
      </c>
      <c r="H7" s="181">
        <v>7</v>
      </c>
      <c r="I7" s="181">
        <v>7.5</v>
      </c>
      <c r="J7" s="181">
        <v>8.5</v>
      </c>
      <c r="K7" s="181">
        <v>9.5</v>
      </c>
      <c r="L7" s="181">
        <v>10</v>
      </c>
    </row>
    <row r="8" spans="1:12" hidden="1" x14ac:dyDescent="0.25">
      <c r="A8" s="180"/>
      <c r="B8" s="180">
        <v>6</v>
      </c>
      <c r="C8" s="180"/>
      <c r="D8" s="180" t="s">
        <v>276</v>
      </c>
      <c r="E8" s="181">
        <v>19.39</v>
      </c>
      <c r="F8" s="181">
        <v>20</v>
      </c>
      <c r="G8" s="181">
        <v>21</v>
      </c>
      <c r="H8" s="181">
        <v>23</v>
      </c>
      <c r="I8" s="181">
        <v>25</v>
      </c>
      <c r="J8" s="181">
        <v>27</v>
      </c>
      <c r="K8" s="181">
        <v>29</v>
      </c>
      <c r="L8" s="181">
        <v>30</v>
      </c>
    </row>
    <row r="9" spans="1:12" hidden="1" x14ac:dyDescent="0.25">
      <c r="A9" s="180"/>
      <c r="B9" s="180">
        <v>7</v>
      </c>
      <c r="C9" s="180"/>
      <c r="D9" s="180" t="s">
        <v>66</v>
      </c>
      <c r="E9" s="181">
        <v>17.759999999999998</v>
      </c>
      <c r="F9" s="181">
        <v>18</v>
      </c>
      <c r="G9" s="181">
        <v>21</v>
      </c>
      <c r="H9" s="181">
        <v>23</v>
      </c>
      <c r="I9" s="181">
        <v>25</v>
      </c>
      <c r="J9" s="181">
        <v>27</v>
      </c>
      <c r="K9" s="181">
        <v>29</v>
      </c>
      <c r="L9" s="181">
        <v>30</v>
      </c>
    </row>
    <row r="10" spans="1:12" hidden="1" x14ac:dyDescent="0.25">
      <c r="A10" s="180"/>
      <c r="B10" s="180">
        <v>8</v>
      </c>
      <c r="C10" s="180"/>
      <c r="D10" s="180" t="s">
        <v>277</v>
      </c>
      <c r="E10" s="181">
        <v>2.34</v>
      </c>
      <c r="F10" s="181">
        <v>3</v>
      </c>
      <c r="G10" s="181">
        <v>4</v>
      </c>
      <c r="H10" s="181">
        <v>5</v>
      </c>
      <c r="I10" s="181">
        <v>7</v>
      </c>
      <c r="J10" s="181">
        <v>8</v>
      </c>
      <c r="K10" s="181">
        <v>9</v>
      </c>
      <c r="L10" s="181">
        <v>10</v>
      </c>
    </row>
    <row r="11" spans="1:12" hidden="1" x14ac:dyDescent="0.25">
      <c r="A11" s="180"/>
      <c r="B11" s="180">
        <v>9</v>
      </c>
      <c r="C11" s="180"/>
      <c r="D11" s="180" t="s">
        <v>278</v>
      </c>
      <c r="E11" s="181">
        <v>25.63</v>
      </c>
      <c r="F11" s="181">
        <v>28</v>
      </c>
      <c r="G11" s="181">
        <v>30</v>
      </c>
      <c r="H11" s="181">
        <v>32</v>
      </c>
      <c r="I11" s="181">
        <v>34</v>
      </c>
      <c r="J11" s="181">
        <v>36</v>
      </c>
      <c r="K11" s="181">
        <v>38</v>
      </c>
      <c r="L11" s="181">
        <v>40</v>
      </c>
    </row>
    <row r="12" spans="1:12" hidden="1" x14ac:dyDescent="0.25">
      <c r="A12" s="180"/>
      <c r="B12" s="180">
        <v>10</v>
      </c>
      <c r="C12" s="180"/>
      <c r="D12" s="180" t="s">
        <v>279</v>
      </c>
      <c r="E12" s="181">
        <v>23.92</v>
      </c>
      <c r="F12" s="181">
        <v>24</v>
      </c>
      <c r="G12" s="181">
        <v>25.5</v>
      </c>
      <c r="H12" s="181">
        <v>27</v>
      </c>
      <c r="I12" s="181">
        <v>29</v>
      </c>
      <c r="J12" s="181">
        <v>31.5</v>
      </c>
      <c r="K12" s="181">
        <v>33</v>
      </c>
      <c r="L12" s="181">
        <v>35</v>
      </c>
    </row>
    <row r="13" spans="1:12" hidden="1" x14ac:dyDescent="0.25">
      <c r="A13" s="180" t="s">
        <v>280</v>
      </c>
      <c r="B13" s="180">
        <v>11</v>
      </c>
      <c r="C13" s="180"/>
      <c r="D13" s="180" t="s">
        <v>244</v>
      </c>
      <c r="E13" s="181">
        <v>64.150000000000006</v>
      </c>
      <c r="F13" s="181">
        <v>66</v>
      </c>
      <c r="G13" s="181">
        <v>68</v>
      </c>
      <c r="H13" s="181">
        <v>70</v>
      </c>
      <c r="I13" s="181">
        <v>73</v>
      </c>
      <c r="J13" s="181">
        <v>75</v>
      </c>
      <c r="K13" s="181">
        <v>77</v>
      </c>
      <c r="L13" s="181">
        <v>80</v>
      </c>
    </row>
    <row r="14" spans="1:12" hidden="1" x14ac:dyDescent="0.25">
      <c r="A14" s="180" t="s">
        <v>281</v>
      </c>
      <c r="B14" s="180">
        <v>12</v>
      </c>
      <c r="C14" s="180"/>
      <c r="D14" s="180" t="s">
        <v>282</v>
      </c>
      <c r="E14" s="181">
        <v>10.28</v>
      </c>
      <c r="F14" s="181">
        <v>11</v>
      </c>
      <c r="G14" s="181">
        <v>12.5</v>
      </c>
      <c r="H14" s="181">
        <v>14</v>
      </c>
      <c r="I14" s="181">
        <v>16</v>
      </c>
      <c r="J14" s="181">
        <v>17.5</v>
      </c>
      <c r="K14" s="181">
        <v>18.5</v>
      </c>
      <c r="L14" s="181">
        <v>20</v>
      </c>
    </row>
    <row r="15" spans="1:12" hidden="1" x14ac:dyDescent="0.25">
      <c r="A15" s="180" t="s">
        <v>283</v>
      </c>
      <c r="B15" s="180">
        <v>13</v>
      </c>
      <c r="C15" s="180"/>
      <c r="D15" s="180" t="s">
        <v>284</v>
      </c>
      <c r="E15" s="181">
        <v>15.25</v>
      </c>
      <c r="F15" s="181">
        <v>16</v>
      </c>
      <c r="G15" s="181">
        <v>17</v>
      </c>
      <c r="H15" s="181">
        <v>18</v>
      </c>
      <c r="I15" s="181">
        <v>19</v>
      </c>
      <c r="J15" s="181">
        <v>21</v>
      </c>
      <c r="K15" s="181">
        <v>23</v>
      </c>
      <c r="L15" s="181">
        <v>25</v>
      </c>
    </row>
    <row r="16" spans="1:12" hidden="1" x14ac:dyDescent="0.25">
      <c r="A16" s="180"/>
      <c r="B16" s="180">
        <v>14</v>
      </c>
      <c r="C16" s="180"/>
      <c r="D16" s="180" t="s">
        <v>285</v>
      </c>
      <c r="E16" s="181">
        <v>31.5</v>
      </c>
      <c r="F16" s="181">
        <v>32</v>
      </c>
      <c r="G16" s="181">
        <v>33</v>
      </c>
      <c r="H16" s="181">
        <v>34</v>
      </c>
      <c r="I16" s="181">
        <v>36</v>
      </c>
      <c r="J16" s="181">
        <v>37</v>
      </c>
      <c r="K16" s="181">
        <v>38.5</v>
      </c>
      <c r="L16" s="181">
        <v>40</v>
      </c>
    </row>
    <row r="17" spans="1:12" hidden="1" x14ac:dyDescent="0.25">
      <c r="A17" s="180"/>
      <c r="B17" s="180">
        <v>15</v>
      </c>
      <c r="C17" s="180"/>
      <c r="D17" s="180" t="s">
        <v>286</v>
      </c>
      <c r="E17" s="181">
        <v>17.28</v>
      </c>
      <c r="F17" s="181">
        <v>20</v>
      </c>
      <c r="G17" s="181">
        <v>23</v>
      </c>
      <c r="H17" s="181">
        <v>26</v>
      </c>
      <c r="I17" s="181">
        <v>30</v>
      </c>
      <c r="J17" s="181">
        <v>33</v>
      </c>
      <c r="K17" s="181">
        <v>36</v>
      </c>
      <c r="L17" s="181">
        <v>40</v>
      </c>
    </row>
    <row r="18" spans="1:12" hidden="1" x14ac:dyDescent="0.25">
      <c r="A18" s="180"/>
      <c r="B18" s="180">
        <v>16</v>
      </c>
      <c r="C18" s="180"/>
      <c r="D18" s="180" t="s">
        <v>287</v>
      </c>
      <c r="E18" s="181">
        <v>9.9099999999999984</v>
      </c>
      <c r="F18" s="181">
        <v>10.5</v>
      </c>
      <c r="G18" s="181">
        <v>11</v>
      </c>
      <c r="H18" s="181">
        <v>11.5</v>
      </c>
      <c r="I18" s="181">
        <v>12.5</v>
      </c>
      <c r="J18" s="181">
        <v>13</v>
      </c>
      <c r="K18" s="181">
        <v>14</v>
      </c>
      <c r="L18" s="181">
        <v>15</v>
      </c>
    </row>
    <row r="19" spans="1:12" hidden="1" x14ac:dyDescent="0.25">
      <c r="A19" s="180"/>
      <c r="B19" s="180">
        <v>17</v>
      </c>
      <c r="C19" s="180"/>
      <c r="D19" s="180" t="s">
        <v>288</v>
      </c>
      <c r="E19" s="181">
        <v>7.6</v>
      </c>
      <c r="F19" s="181">
        <v>8</v>
      </c>
      <c r="G19" s="181">
        <v>8.25</v>
      </c>
      <c r="H19" s="181">
        <v>8.5</v>
      </c>
      <c r="I19" s="181">
        <v>9</v>
      </c>
      <c r="J19" s="181">
        <v>9.5</v>
      </c>
      <c r="K19" s="181">
        <v>10</v>
      </c>
      <c r="L19" s="181">
        <v>10</v>
      </c>
    </row>
    <row r="20" spans="1:12" hidden="1" x14ac:dyDescent="0.25">
      <c r="A20" s="180"/>
      <c r="B20" s="180">
        <v>18</v>
      </c>
      <c r="C20" s="180"/>
      <c r="D20" s="180" t="s">
        <v>289</v>
      </c>
      <c r="E20" s="181">
        <v>8.2700000000000014</v>
      </c>
      <c r="F20" s="181">
        <v>10.5</v>
      </c>
      <c r="G20" s="181">
        <v>11</v>
      </c>
      <c r="H20" s="181">
        <v>11.5</v>
      </c>
      <c r="I20" s="181">
        <v>12</v>
      </c>
      <c r="J20" s="181">
        <v>13</v>
      </c>
      <c r="K20" s="181">
        <v>14</v>
      </c>
      <c r="L20" s="181">
        <v>15</v>
      </c>
    </row>
    <row r="21" spans="1:12" hidden="1" x14ac:dyDescent="0.25">
      <c r="A21" s="180"/>
      <c r="B21" s="180">
        <v>19</v>
      </c>
      <c r="C21" s="180"/>
      <c r="D21" s="180" t="s">
        <v>290</v>
      </c>
      <c r="E21" s="181">
        <v>10.75</v>
      </c>
      <c r="F21" s="181">
        <v>11</v>
      </c>
      <c r="G21" s="181">
        <v>12</v>
      </c>
      <c r="H21" s="181">
        <v>14</v>
      </c>
      <c r="I21" s="181">
        <v>15.5</v>
      </c>
      <c r="J21" s="181">
        <v>17</v>
      </c>
      <c r="K21" s="181">
        <v>18.5</v>
      </c>
      <c r="L21" s="181">
        <v>20</v>
      </c>
    </row>
    <row r="22" spans="1:12" hidden="1" x14ac:dyDescent="0.25">
      <c r="A22" s="180"/>
      <c r="B22" s="180">
        <v>20</v>
      </c>
      <c r="C22" s="180"/>
      <c r="D22" s="180" t="s">
        <v>291</v>
      </c>
      <c r="E22" s="181">
        <v>5.0599999999999996</v>
      </c>
      <c r="F22" s="181">
        <v>6</v>
      </c>
      <c r="G22" s="181">
        <v>7.5</v>
      </c>
      <c r="H22" s="181">
        <v>9</v>
      </c>
      <c r="I22" s="181">
        <v>11</v>
      </c>
      <c r="J22" s="181">
        <v>12.5</v>
      </c>
      <c r="K22" s="181">
        <v>13.5</v>
      </c>
      <c r="L22" s="181">
        <v>15</v>
      </c>
    </row>
    <row r="23" spans="1:12" hidden="1" x14ac:dyDescent="0.25">
      <c r="A23" s="180"/>
      <c r="B23" s="180">
        <v>21</v>
      </c>
      <c r="C23" s="180"/>
      <c r="D23" s="180" t="s">
        <v>292</v>
      </c>
      <c r="E23" s="181">
        <v>9.120000000000001</v>
      </c>
      <c r="F23" s="181">
        <v>10</v>
      </c>
      <c r="G23" s="181">
        <v>10.5</v>
      </c>
      <c r="H23" s="181">
        <v>11.5</v>
      </c>
      <c r="I23" s="181">
        <v>12.5</v>
      </c>
      <c r="J23" s="181">
        <v>13</v>
      </c>
      <c r="K23" s="181">
        <v>14</v>
      </c>
      <c r="L23" s="181">
        <v>15</v>
      </c>
    </row>
    <row r="24" spans="1:12" hidden="1" x14ac:dyDescent="0.25">
      <c r="A24" s="180"/>
      <c r="B24" s="180">
        <v>22</v>
      </c>
      <c r="C24" s="180"/>
      <c r="D24" s="180" t="s">
        <v>293</v>
      </c>
      <c r="E24" s="181">
        <v>23.189999999999998</v>
      </c>
      <c r="F24" s="181">
        <v>25</v>
      </c>
      <c r="G24" s="181">
        <v>28</v>
      </c>
      <c r="H24" s="181">
        <v>32</v>
      </c>
      <c r="I24" s="181">
        <v>36</v>
      </c>
      <c r="J24" s="181">
        <v>41</v>
      </c>
      <c r="K24" s="181">
        <v>45</v>
      </c>
      <c r="L24" s="181">
        <v>50</v>
      </c>
    </row>
    <row r="25" spans="1:12" hidden="1" x14ac:dyDescent="0.25">
      <c r="A25" s="180"/>
      <c r="B25" s="180">
        <v>23</v>
      </c>
      <c r="C25" s="180"/>
      <c r="D25" s="180" t="s">
        <v>294</v>
      </c>
      <c r="E25" s="181">
        <v>10.99</v>
      </c>
      <c r="F25" s="181">
        <v>12</v>
      </c>
      <c r="G25" s="181">
        <v>15</v>
      </c>
      <c r="H25" s="181">
        <v>18</v>
      </c>
      <c r="I25" s="181">
        <v>23</v>
      </c>
      <c r="J25" s="181">
        <v>27</v>
      </c>
      <c r="K25" s="181">
        <v>31</v>
      </c>
      <c r="L25" s="181">
        <v>35</v>
      </c>
    </row>
    <row r="26" spans="1:12" hidden="1" x14ac:dyDescent="0.25">
      <c r="A26" s="180"/>
      <c r="B26" s="180">
        <v>24</v>
      </c>
      <c r="C26" s="180"/>
      <c r="D26" s="180" t="s">
        <v>295</v>
      </c>
      <c r="E26" s="181">
        <v>9.1</v>
      </c>
      <c r="F26" s="181">
        <v>9.1999999999999993</v>
      </c>
      <c r="G26" s="181">
        <v>9.4</v>
      </c>
      <c r="H26" s="181">
        <v>9.6</v>
      </c>
      <c r="I26" s="181">
        <v>9.8000000000000007</v>
      </c>
      <c r="J26" s="181">
        <v>10</v>
      </c>
      <c r="K26" s="181">
        <v>10</v>
      </c>
      <c r="L26" s="181">
        <v>10</v>
      </c>
    </row>
    <row r="27" spans="1:12" hidden="1" x14ac:dyDescent="0.25">
      <c r="A27" s="180"/>
      <c r="B27" s="180">
        <v>25</v>
      </c>
      <c r="C27" s="180"/>
      <c r="D27" s="180" t="s">
        <v>296</v>
      </c>
      <c r="E27" s="181">
        <v>15.370000000000001</v>
      </c>
      <c r="F27" s="181">
        <v>16</v>
      </c>
      <c r="G27" s="181">
        <v>17</v>
      </c>
      <c r="H27" s="181">
        <v>18.5</v>
      </c>
      <c r="I27" s="181">
        <v>20</v>
      </c>
      <c r="J27" s="181">
        <v>21.5</v>
      </c>
      <c r="K27" s="181">
        <v>23</v>
      </c>
      <c r="L27" s="181">
        <v>25</v>
      </c>
    </row>
    <row r="28" spans="1:12" hidden="1" x14ac:dyDescent="0.25">
      <c r="A28" s="180"/>
      <c r="B28" s="180">
        <v>26</v>
      </c>
      <c r="C28" s="180"/>
      <c r="D28" s="180" t="s">
        <v>297</v>
      </c>
      <c r="E28" s="181">
        <v>0</v>
      </c>
      <c r="F28" s="181">
        <v>3</v>
      </c>
      <c r="G28" s="181">
        <v>4</v>
      </c>
      <c r="H28" s="181">
        <v>5</v>
      </c>
      <c r="I28" s="181">
        <v>6</v>
      </c>
      <c r="J28" s="181">
        <v>8</v>
      </c>
      <c r="K28" s="181">
        <v>9</v>
      </c>
      <c r="L28" s="181">
        <v>10</v>
      </c>
    </row>
    <row r="29" spans="1:12" hidden="1" x14ac:dyDescent="0.25">
      <c r="A29" s="180"/>
      <c r="B29" s="180">
        <v>27</v>
      </c>
      <c r="C29" s="180"/>
      <c r="D29" s="180" t="s">
        <v>298</v>
      </c>
      <c r="E29" s="181">
        <v>9.93</v>
      </c>
      <c r="F29" s="181">
        <v>12</v>
      </c>
      <c r="G29" s="181">
        <v>15</v>
      </c>
      <c r="H29" s="181">
        <v>17</v>
      </c>
      <c r="I29" s="181">
        <v>20</v>
      </c>
      <c r="J29" s="181">
        <v>23</v>
      </c>
      <c r="K29" s="181">
        <v>26</v>
      </c>
      <c r="L29" s="181">
        <v>30</v>
      </c>
    </row>
    <row r="30" spans="1:12" x14ac:dyDescent="0.25">
      <c r="A30" s="180"/>
      <c r="B30" s="180">
        <v>28</v>
      </c>
      <c r="C30" s="180"/>
      <c r="D30" s="180" t="s">
        <v>299</v>
      </c>
      <c r="E30" s="181">
        <v>9.7100000000000009</v>
      </c>
      <c r="F30" s="181">
        <v>10</v>
      </c>
      <c r="G30" s="181">
        <v>11</v>
      </c>
      <c r="H30" s="181">
        <v>13</v>
      </c>
      <c r="I30" s="181">
        <v>15</v>
      </c>
      <c r="J30" s="181">
        <v>17</v>
      </c>
      <c r="K30" s="181">
        <v>18.5</v>
      </c>
      <c r="L30" s="181">
        <v>20</v>
      </c>
    </row>
    <row r="31" spans="1:12" x14ac:dyDescent="0.25">
      <c r="A31" s="180"/>
      <c r="B31" s="184" t="s">
        <v>31</v>
      </c>
      <c r="C31" s="184"/>
      <c r="D31" s="184"/>
      <c r="E31" s="186">
        <f>SUM(E3:E30)</f>
        <v>494.71</v>
      </c>
      <c r="F31" s="186">
        <f t="shared" ref="F31:L31" si="0">SUM(F3:F30)</f>
        <v>532.40666666666664</v>
      </c>
      <c r="G31" s="186">
        <f t="shared" si="0"/>
        <v>592.11500000000001</v>
      </c>
      <c r="H31" s="186">
        <f t="shared" si="0"/>
        <v>652.97</v>
      </c>
      <c r="I31" s="186">
        <f t="shared" si="0"/>
        <v>722.43499999999995</v>
      </c>
      <c r="J31" s="186">
        <f t="shared" si="0"/>
        <v>789.8</v>
      </c>
      <c r="K31" s="186">
        <f t="shared" si="0"/>
        <v>848.4</v>
      </c>
      <c r="L31" s="186">
        <f t="shared" si="0"/>
        <v>910</v>
      </c>
    </row>
    <row r="36" spans="2:12" x14ac:dyDescent="0.25">
      <c r="B36" s="448" t="s">
        <v>301</v>
      </c>
      <c r="C36" s="448"/>
      <c r="D36" s="448"/>
      <c r="E36" s="448"/>
      <c r="F36" s="448"/>
      <c r="G36" s="448"/>
      <c r="H36" s="448"/>
      <c r="I36" s="448"/>
      <c r="J36" s="448"/>
      <c r="K36" s="448"/>
      <c r="L36" s="448"/>
    </row>
    <row r="37" spans="2:12" x14ac:dyDescent="0.25">
      <c r="B37" s="183"/>
      <c r="C37" s="183"/>
      <c r="D37" s="180" t="s">
        <v>267</v>
      </c>
      <c r="E37" s="180" t="s">
        <v>2</v>
      </c>
      <c r="F37" s="180" t="s">
        <v>3</v>
      </c>
      <c r="G37" s="180" t="s">
        <v>4</v>
      </c>
      <c r="H37" s="180" t="s">
        <v>5</v>
      </c>
      <c r="I37" s="180" t="s">
        <v>6</v>
      </c>
      <c r="J37" s="180" t="s">
        <v>7</v>
      </c>
      <c r="K37" s="180" t="s">
        <v>8</v>
      </c>
      <c r="L37" s="180" t="s">
        <v>9</v>
      </c>
    </row>
    <row r="38" spans="2:12" x14ac:dyDescent="0.25">
      <c r="B38" s="180">
        <v>1</v>
      </c>
      <c r="C38" s="180"/>
      <c r="D38" s="180" t="s">
        <v>271</v>
      </c>
      <c r="E38" s="180">
        <v>0</v>
      </c>
      <c r="F38" s="180">
        <v>0</v>
      </c>
      <c r="G38" s="180">
        <v>0</v>
      </c>
      <c r="H38" s="180">
        <v>10</v>
      </c>
      <c r="I38" s="180">
        <v>22</v>
      </c>
      <c r="J38" s="180">
        <v>35</v>
      </c>
      <c r="K38" s="180">
        <v>42</v>
      </c>
      <c r="L38" s="180">
        <v>50</v>
      </c>
    </row>
    <row r="39" spans="2:12" x14ac:dyDescent="0.25">
      <c r="B39" s="180">
        <v>2</v>
      </c>
      <c r="C39" s="180"/>
      <c r="D39" s="180" t="s">
        <v>272</v>
      </c>
      <c r="E39" s="180">
        <v>0</v>
      </c>
      <c r="F39" s="180">
        <v>0</v>
      </c>
      <c r="G39" s="180">
        <v>0</v>
      </c>
      <c r="H39" s="180">
        <v>0</v>
      </c>
      <c r="I39" s="182">
        <v>9.9575999999999993</v>
      </c>
      <c r="J39" s="180">
        <v>21</v>
      </c>
      <c r="K39" s="181">
        <v>34.983838720000001</v>
      </c>
      <c r="L39" s="180">
        <v>40</v>
      </c>
    </row>
    <row r="40" spans="2:12" x14ac:dyDescent="0.25">
      <c r="B40" s="180"/>
      <c r="C40" s="180"/>
      <c r="D40" s="184" t="s">
        <v>31</v>
      </c>
      <c r="E40" s="184">
        <f>SUM(E38:E39)</f>
        <v>0</v>
      </c>
      <c r="F40" s="184">
        <f t="shared" ref="F40:L40" si="1">SUM(F38:F39)</f>
        <v>0</v>
      </c>
      <c r="G40" s="184">
        <f t="shared" si="1"/>
        <v>0</v>
      </c>
      <c r="H40" s="184">
        <f t="shared" si="1"/>
        <v>10</v>
      </c>
      <c r="I40" s="185">
        <f t="shared" si="1"/>
        <v>31.957599999999999</v>
      </c>
      <c r="J40" s="184">
        <f t="shared" si="1"/>
        <v>56</v>
      </c>
      <c r="K40" s="186">
        <f t="shared" si="1"/>
        <v>76.983838719999994</v>
      </c>
      <c r="L40" s="184">
        <f t="shared" si="1"/>
        <v>90</v>
      </c>
    </row>
    <row r="42" spans="2:12" x14ac:dyDescent="0.25">
      <c r="C42" s="450" t="s">
        <v>333</v>
      </c>
      <c r="D42" s="450"/>
      <c r="E42" s="450"/>
      <c r="F42" s="450"/>
      <c r="G42" s="450"/>
      <c r="H42" s="450"/>
      <c r="I42" s="450"/>
      <c r="J42" s="450"/>
      <c r="K42" s="450"/>
      <c r="L42" s="450"/>
    </row>
    <row r="43" spans="2:12" x14ac:dyDescent="0.25">
      <c r="C43" s="180"/>
      <c r="D43" s="180"/>
      <c r="E43" s="180" t="s">
        <v>2</v>
      </c>
      <c r="F43" s="180" t="s">
        <v>3</v>
      </c>
      <c r="G43" s="180" t="s">
        <v>4</v>
      </c>
      <c r="H43" s="180" t="s">
        <v>5</v>
      </c>
      <c r="I43" s="180" t="s">
        <v>6</v>
      </c>
      <c r="J43" s="180" t="s">
        <v>7</v>
      </c>
      <c r="K43" s="180" t="s">
        <v>8</v>
      </c>
      <c r="L43" s="180" t="s">
        <v>9</v>
      </c>
    </row>
    <row r="44" spans="2:12" x14ac:dyDescent="0.25">
      <c r="C44" s="449" t="s">
        <v>332</v>
      </c>
      <c r="D44" s="180" t="s">
        <v>307</v>
      </c>
      <c r="E44" s="180"/>
      <c r="F44" s="180"/>
      <c r="G44" s="181">
        <f t="shared" ref="G44:L44" si="2">G3+G4+G13+G24+G6+G16+G11+G17+G12+G25</f>
        <v>385.5</v>
      </c>
      <c r="H44" s="181">
        <f t="shared" si="2"/>
        <v>421</v>
      </c>
      <c r="I44" s="181">
        <f t="shared" si="2"/>
        <v>463</v>
      </c>
      <c r="J44" s="181">
        <f t="shared" si="2"/>
        <v>503.5</v>
      </c>
      <c r="K44" s="181">
        <f t="shared" si="2"/>
        <v>540</v>
      </c>
      <c r="L44" s="181">
        <f t="shared" si="2"/>
        <v>580</v>
      </c>
    </row>
    <row r="45" spans="2:12" ht="22.5" customHeight="1" x14ac:dyDescent="0.25">
      <c r="C45" s="449"/>
      <c r="D45" s="180" t="s">
        <v>308</v>
      </c>
      <c r="E45" s="180"/>
      <c r="F45" s="180"/>
      <c r="G45" s="180"/>
      <c r="H45" s="181">
        <f>H9+H8+H29+H15+H27+H5+H21+H30+H14</f>
        <v>153.37</v>
      </c>
      <c r="I45" s="181">
        <f>I9+I8+I29+I15+I27+I5+I21+I30+I14</f>
        <v>172.13499999999999</v>
      </c>
      <c r="J45" s="181">
        <f>J9+J8+J29+J15+J27+J5+J21+J30+J14</f>
        <v>190.8</v>
      </c>
      <c r="K45" s="181">
        <f>K9+K8+K29+K15+K27+K5+K21+K30+K14</f>
        <v>205.4</v>
      </c>
      <c r="L45" s="181">
        <f>L9+L8+L29+L15+L27+L5+L21+L30+L14</f>
        <v>220</v>
      </c>
    </row>
    <row r="46" spans="2:12" ht="21" customHeight="1" x14ac:dyDescent="0.25">
      <c r="C46" s="449"/>
      <c r="D46" s="180" t="s">
        <v>309</v>
      </c>
      <c r="E46" s="180"/>
      <c r="F46" s="180"/>
      <c r="G46" s="180"/>
      <c r="H46" s="180"/>
      <c r="I46" s="181">
        <f>I20+I18+I22+I23+I7+I10+I28+I19+I26</f>
        <v>87.3</v>
      </c>
      <c r="J46" s="181">
        <f>J20+J18+J22+J23+J7+J10+J28+J19+J26</f>
        <v>95.5</v>
      </c>
      <c r="K46" s="181">
        <f>K20+K18+K22+K23+K7+K10+K28+K19+K26</f>
        <v>103</v>
      </c>
      <c r="L46" s="181">
        <f>L20+L18+L22+L23+L7+L10+L28+L19+L26</f>
        <v>110</v>
      </c>
    </row>
    <row r="47" spans="2:12" x14ac:dyDescent="0.25">
      <c r="C47" s="180" t="s">
        <v>31</v>
      </c>
      <c r="D47" s="180"/>
      <c r="E47" s="180"/>
      <c r="F47" s="180"/>
      <c r="G47" s="181">
        <f t="shared" ref="G47:L47" si="3">SUM(G44:G46)</f>
        <v>385.5</v>
      </c>
      <c r="H47" s="181">
        <f t="shared" si="3"/>
        <v>574.37</v>
      </c>
      <c r="I47" s="181">
        <f t="shared" si="3"/>
        <v>722.43499999999995</v>
      </c>
      <c r="J47" s="181">
        <f t="shared" si="3"/>
        <v>789.8</v>
      </c>
      <c r="K47" s="181">
        <f t="shared" si="3"/>
        <v>848.4</v>
      </c>
      <c r="L47" s="181">
        <f t="shared" si="3"/>
        <v>910</v>
      </c>
    </row>
  </sheetData>
  <mergeCells count="4">
    <mergeCell ref="A1:L1"/>
    <mergeCell ref="B36:L36"/>
    <mergeCell ref="C44:C46"/>
    <mergeCell ref="C42:L4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Productivity</vt:lpstr>
      <vt:lpstr>Assumptions</vt:lpstr>
      <vt:lpstr>Summary</vt:lpstr>
      <vt:lpstr>NDSP Bull,SS,AI</vt:lpstr>
      <vt:lpstr>NDSP Bull, SS &amp; Non-NDSP AI</vt:lpstr>
      <vt:lpstr>NDSP-Bull &amp; Non-NDSP SS,AI</vt:lpstr>
      <vt:lpstr>NDSP - Bull &amp; Semen</vt:lpstr>
      <vt:lpstr>NDP Bull reqts.</vt:lpstr>
      <vt:lpstr>NDSP-SS,Non-NDSP bull,AI</vt:lpstr>
      <vt:lpstr>Bull no. &amp; Semen Production</vt:lpstr>
      <vt:lpstr>Semen production</vt:lpstr>
    </vt:vector>
  </TitlesOfParts>
  <Company>nddb</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MARVIND</dc:creator>
  <cp:lastModifiedBy>Subir Mitra</cp:lastModifiedBy>
  <cp:lastPrinted>2011-06-03T09:58:02Z</cp:lastPrinted>
  <dcterms:created xsi:type="dcterms:W3CDTF">2010-07-05T06:22:17Z</dcterms:created>
  <dcterms:modified xsi:type="dcterms:W3CDTF">2020-08-19T12:52:11Z</dcterms:modified>
</cp:coreProperties>
</file>